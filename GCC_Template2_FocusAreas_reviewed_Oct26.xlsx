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9.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6" activeTab="6"/>
  </bookViews>
  <sheets>
    <sheet name="List of Indian companies" sheetId="1" state="hidden" r:id="rId3"/>
    <sheet name="India News Links" sheetId="2" state="hidden" r:id="rId4"/>
    <sheet name="Top 20 GI India" sheetId="3" state="hidden" r:id="rId5"/>
    <sheet name="Top 20 LI India" sheetId="4" state="hidden" r:id="rId6"/>
    <sheet name="Top 20 US" sheetId="5" state="hidden" r:id="rId7"/>
    <sheet name="Top 20 Brokers List" sheetId="6" state="hidden" r:id="rId8"/>
    <sheet name="Top GCCs India" sheetId="7" state="visible" r:id="rId9"/>
    <sheet name="GCCs US" sheetId="8" state="hidden" r:id="rId10"/>
    <sheet name="Indian UK" sheetId="9" state="hidden" r:id="rId11"/>
    <sheet name="Top 20 Africa" sheetId="10" state="hidden" r:id="rId12"/>
    <sheet name="Top 20 UK" sheetId="11" state="hidden" r:id="rId13"/>
    <sheet name="Trends" sheetId="12" state="hidden" r:id="rId14"/>
    <sheet name="Data for Slicer" sheetId="13" state="hidden" r:id="rId15"/>
    <sheet name="Focus Review Log" sheetId="14" state="visible" r:id="rId16"/>
    <sheet name="Focus clean view" sheetId="15" state="visible" r:id="rId17"/>
    <sheet name="GCC Landscape" sheetId="16" state="visible" r:id="rId18"/>
  </sheets>
  <definedNames>
    <definedName function="false" hidden="true" localSheetId="14" name="_xlnm._FilterDatabase" vbProcedure="false">'Focus clean view'!$A$1:$H$761</definedName>
    <definedName function="false" hidden="true" localSheetId="13" name="_xlnm._FilterDatabase" vbProcedure="false">'Focus Review Log'!$A$1:$I$713</definedName>
    <definedName function="false" hidden="false" localSheetId="15" name="_xlnm.Print_Titles" vbProcedure="false">'GCC Landscape'!$2:$3</definedName>
    <definedName function="false" hidden="true" localSheetId="7" name="_xlnm._FilterDatabase" vbProcedure="false">'GCCs US'!$A$3:$T$3</definedName>
    <definedName function="false" hidden="true" localSheetId="8" name="_xlnm._FilterDatabase" vbProcedure="false">'Indian UK'!$A$3:$P$3</definedName>
    <definedName function="false" hidden="true" localSheetId="0" name="_xlnm._FilterDatabase" vbProcedure="false">'List of Indian companies'!$A$4:$H$77</definedName>
    <definedName function="false" hidden="true" localSheetId="9" name="_xlnm._FilterDatabase" vbProcedure="false">'Top 20 Africa'!$A$4:$R$4</definedName>
    <definedName function="false" hidden="true" localSheetId="10" name="_xlnm._FilterDatabase" vbProcedure="false">'Top 20 UK'!$A$4:$Q$4</definedName>
    <definedName function="false" hidden="true" localSheetId="4" name="_xlnm._FilterDatabase" vbProcedure="false">'Top 20 US'!$A$31:$G$66</definedName>
    <definedName function="false" hidden="true" name="CIQWBGuid" vbProcedure="false">"e00427f9-70f5-428f-ad91-2566eaa1c69a"</definedName>
    <definedName function="false" hidden="true" name="CIQWBInfo" vbProcedure="false">"{ ""CIQVersion"":""9.51.3510.3078"" }"</definedName>
  </definedNames>
  <calcPr iterateCount="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<sst xmlns="http://schemas.openxmlformats.org/spreadsheetml/2006/main" count="14158" uniqueCount="5119">
  <si>
    <t xml:space="preserve">List of all insurance companies in India</t>
  </si>
  <si>
    <t xml:space="preserve">GI - 27</t>
  </si>
  <si>
    <t xml:space="preserve">Source</t>
  </si>
  <si>
    <t xml:space="preserve">IRDAI website as on 23-Oct-2025</t>
  </si>
  <si>
    <t xml:space="preserve">LI - 26
H - 7</t>
  </si>
  <si>
    <t xml:space="preserve">RI - 1 (Other - 12 foreign branches)</t>
  </si>
  <si>
    <t xml:space="preserve">Sr. No.</t>
  </si>
  <si>
    <t xml:space="preserve">Name of the insurance company</t>
  </si>
  <si>
    <t xml:space="preserve">Type</t>
  </si>
  <si>
    <t xml:space="preserve">Headquarter</t>
  </si>
  <si>
    <t xml:space="preserve">Foreign Partner</t>
  </si>
  <si>
    <t xml:space="preserve">Stake</t>
  </si>
  <si>
    <t xml:space="preserve">GWP Figures INR Crores</t>
  </si>
  <si>
    <t xml:space="preserve">Rank</t>
  </si>
  <si>
    <t xml:space="preserve">Life Insurance Corporation of India</t>
  </si>
  <si>
    <t xml:space="preserve">Life</t>
  </si>
  <si>
    <t xml:space="preserve">Mumbai, Maharashtra</t>
  </si>
  <si>
    <t xml:space="preserve">NA</t>
  </si>
  <si>
    <t xml:space="preserve">SBI Life Insurance Company Limited</t>
  </si>
  <si>
    <t xml:space="preserve">HDFC Life Insurance Company Limited</t>
  </si>
  <si>
    <t xml:space="preserve">ICICI Prudential Life Insurance Company Limited</t>
  </si>
  <si>
    <t xml:space="preserve">Prudential Corporation Holdings Limited</t>
  </si>
  <si>
    <t xml:space="preserve">Axis Max Life Insurance Company Limited</t>
  </si>
  <si>
    <t xml:space="preserve">New Delhi, Delhi</t>
  </si>
  <si>
    <t xml:space="preserve">TATA AIA Life Insurance Company Limited</t>
  </si>
  <si>
    <t xml:space="preserve">AIA International Limited</t>
  </si>
  <si>
    <t xml:space="preserve">Bajaj Life Insurance Company Limited</t>
  </si>
  <si>
    <t xml:space="preserve">Pune, Maharashtra</t>
  </si>
  <si>
    <t xml:space="preserve">Allianz SE</t>
  </si>
  <si>
    <t xml:space="preserve">Aditya Birla Sun Life Insurance Company Limited</t>
  </si>
  <si>
    <t xml:space="preserve">Sun Life Financial (India) Insurance Investment Inc.</t>
  </si>
  <si>
    <t xml:space="preserve">Kotak Mahindra Life Insurance Company Limited</t>
  </si>
  <si>
    <t xml:space="preserve">PNB MetLife India Insurance Company Limited</t>
  </si>
  <si>
    <t xml:space="preserve">Bengaluru, Karnataka</t>
  </si>
  <si>
    <t xml:space="preserve">MetLife International Holdings LLC</t>
  </si>
  <si>
    <t xml:space="preserve">Star Union Dai-Ichi Life Insurance Company Limited</t>
  </si>
  <si>
    <t xml:space="preserve">Dai-ichi Life International Holdings, LLC</t>
  </si>
  <si>
    <t xml:space="preserve">Canara HSBC Life Insurance Company Limited</t>
  </si>
  <si>
    <t xml:space="preserve">Gurugram, Haryana</t>
  </si>
  <si>
    <t xml:space="preserve">HSBC Insurance (Asia Pacific) Holdings Limited</t>
  </si>
  <si>
    <t xml:space="preserve">IndiaFirst Life Insurance Company Limited</t>
  </si>
  <si>
    <t xml:space="preserve">Carmel Point Investments India Private Limited</t>
  </si>
  <si>
    <t xml:space="preserve">Reliance Nippon Life Insurance Company Limited</t>
  </si>
  <si>
    <t xml:space="preserve">Nippon Life Insurance Company</t>
  </si>
  <si>
    <t xml:space="preserve">Shriram Life Insurance Company Limited</t>
  </si>
  <si>
    <t xml:space="preserve">Hyderabad, Telangana</t>
  </si>
  <si>
    <t xml:space="preserve">Sanlam Group</t>
  </si>
  <si>
    <t xml:space="preserve">Ageas Federal Life Insurance Company Limited</t>
  </si>
  <si>
    <t xml:space="preserve">Ageas Insurance International N.V.</t>
  </si>
  <si>
    <t xml:space="preserve">Bharti AXA Life Insurance Company Limited</t>
  </si>
  <si>
    <t xml:space="preserve">Generali Central Life Insurance Company Limited</t>
  </si>
  <si>
    <t xml:space="preserve">Generali Participations Netherlands N.V.</t>
  </si>
  <si>
    <t xml:space="preserve">Edelweiss Tokio Life Insurance Company Limited</t>
  </si>
  <si>
    <t xml:space="preserve">Tokio Marine &amp; Nichido Fire Insurance Co. Ltd.</t>
  </si>
  <si>
    <t xml:space="preserve">Pramerica Life Insurance Company Limited</t>
  </si>
  <si>
    <t xml:space="preserve">Prudential Financial, Inc.</t>
  </si>
  <si>
    <t xml:space="preserve">Credit Access Life Insurance Limited</t>
  </si>
  <si>
    <t xml:space="preserve">CreditAccess India B.V. </t>
  </si>
  <si>
    <t xml:space="preserve">Aviva Life Insurance Company India Limited</t>
  </si>
  <si>
    <t xml:space="preserve">Aviva Plc.</t>
  </si>
  <si>
    <t xml:space="preserve">Go Digit Life Insurance Limited</t>
  </si>
  <si>
    <t xml:space="preserve">Fairfax Asia Limited</t>
  </si>
  <si>
    <t xml:space="preserve">Bandhan Life Insurance Limited</t>
  </si>
  <si>
    <t xml:space="preserve">Acko Life Insurance Limited</t>
  </si>
  <si>
    <t xml:space="preserve">Sahara India Life Insurance Company Limited</t>
  </si>
  <si>
    <t xml:space="preserve">Lucknow, Uttar Pradesh</t>
  </si>
  <si>
    <t xml:space="preserve">Acquired by SBI LIFE</t>
  </si>
  <si>
    <t xml:space="preserve">The New India Assurance Company Limited</t>
  </si>
  <si>
    <t xml:space="preserve">General</t>
  </si>
  <si>
    <t xml:space="preserve">ICICI LOMBARD General Insurance Company Limited</t>
  </si>
  <si>
    <t xml:space="preserve">Bajaj General Insurance Company Limited</t>
  </si>
  <si>
    <t xml:space="preserve">United India Insurance Company Limited</t>
  </si>
  <si>
    <t xml:space="preserve">Chennai, Tamil Nadu</t>
  </si>
  <si>
    <t xml:space="preserve">The Oriental Insurance Company Limited</t>
  </si>
  <si>
    <t xml:space="preserve">Tata AIG General Insurance Company Limited</t>
  </si>
  <si>
    <t xml:space="preserve">AIG MEA Investments and Services, LLC</t>
  </si>
  <si>
    <t xml:space="preserve">National Insurance Company Limited</t>
  </si>
  <si>
    <t xml:space="preserve">Kolkata, West Bengal</t>
  </si>
  <si>
    <t xml:space="preserve">HDFC ERGO General Insurance Company Limited</t>
  </si>
  <si>
    <t xml:space="preserve">ERGO International AG</t>
  </si>
  <si>
    <t xml:space="preserve">SBI General Insurance Company Limited</t>
  </si>
  <si>
    <t xml:space="preserve">Reliance General Insurance Company Limited</t>
  </si>
  <si>
    <t xml:space="preserve">Agriculture Insurance Company of India Limited</t>
  </si>
  <si>
    <t xml:space="preserve">Go Digit General Insurance Limited</t>
  </si>
  <si>
    <t xml:space="preserve">IFFCO TOKIO General Insurance Company Limited</t>
  </si>
  <si>
    <t xml:space="preserve">Tokio Marine Group</t>
  </si>
  <si>
    <t xml:space="preserve">Cholamandalam MS General Insurance Company Limited</t>
  </si>
  <si>
    <t xml:space="preserve">Generali Central Insurance Company Limited</t>
  </si>
  <si>
    <t xml:space="preserve">Universal Sompo General Insurance Company Limited</t>
  </si>
  <si>
    <t xml:space="preserve">Sompo Japan Insurance Inc. </t>
  </si>
  <si>
    <t xml:space="preserve">Royal Sundaram General Insurance Company Limited</t>
  </si>
  <si>
    <t xml:space="preserve">Ageas Insurance International N V</t>
  </si>
  <si>
    <t xml:space="preserve">Shriram General Insurance Company Limited</t>
  </si>
  <si>
    <t xml:space="preserve">Jaipur, Rajasthan</t>
  </si>
  <si>
    <t xml:space="preserve">Sanlam Emerging Markets (Mauritius) Limited</t>
  </si>
  <si>
    <t xml:space="preserve">Magma General Insurance Company Limited</t>
  </si>
  <si>
    <t xml:space="preserve">Liberty General Insurance Limited</t>
  </si>
  <si>
    <t xml:space="preserve">Summit Asia Investments Holdings Pte Ltd</t>
  </si>
  <si>
    <t xml:space="preserve">Acko General Insurance Limited</t>
  </si>
  <si>
    <t xml:space="preserve">Zurich Kotak General Insurance Company Limited</t>
  </si>
  <si>
    <t xml:space="preserve">Zurich Insurance Company Limited</t>
  </si>
  <si>
    <t xml:space="preserve">ECGC Limited</t>
  </si>
  <si>
    <t xml:space="preserve">Zuno General Insurance Ltd. (formerly known as Edelweiss General Insurance Company Limited)</t>
  </si>
  <si>
    <t xml:space="preserve">Kshema General Insurance Limited</t>
  </si>
  <si>
    <t xml:space="preserve">Raheja QBE General Insurance Co. Ltd.</t>
  </si>
  <si>
    <t xml:space="preserve">QBE Holdings (AAP) Pty. Limited</t>
  </si>
  <si>
    <t xml:space="preserve">Navi General Insurance Limited</t>
  </si>
  <si>
    <t xml:space="preserve">Star Health &amp; Allied Insurance Co. Ltd.</t>
  </si>
  <si>
    <t xml:space="preserve">Health</t>
  </si>
  <si>
    <t xml:space="preserve">Care Health Insurance Ltd. (formerly known as Religare Health Insurance Co. Ltd.)</t>
  </si>
  <si>
    <t xml:space="preserve">Niva Bupa Health Insurance Co Ltd.</t>
  </si>
  <si>
    <t xml:space="preserve">Aditya Birla Health Insurance Co. Ltd.</t>
  </si>
  <si>
    <t xml:space="preserve">Momentum Strategic Investment (Pty) Limited</t>
  </si>
  <si>
    <t xml:space="preserve">Manipal Cigna Health Insurance Company Limited</t>
  </si>
  <si>
    <t xml:space="preserve">Cigna Holding Overseas, Inc.</t>
  </si>
  <si>
    <t xml:space="preserve">Galaxy Health and Allied Insurance Co. Ltd.</t>
  </si>
  <si>
    <t xml:space="preserve">Narayana Health Insurance Ltd.</t>
  </si>
  <si>
    <t xml:space="preserve">General Insurance Corporation of India</t>
  </si>
  <si>
    <t xml:space="preserve">Reinsurer</t>
  </si>
  <si>
    <t xml:space="preserve">Münchener Rückversicherungs-Gesellschaft Aktiengesellschaft - India Branch (Munich Re- India Branch)</t>
  </si>
  <si>
    <t xml:space="preserve">Foreign RI branch in India</t>
  </si>
  <si>
    <t xml:space="preserve">Swiss Reinsurance Company Ltd, India Branch</t>
  </si>
  <si>
    <t xml:space="preserve">SCOR SE - India Branch</t>
  </si>
  <si>
    <t xml:space="preserve">Hannover Rück SE – India Branch</t>
  </si>
  <si>
    <t xml:space="preserve">RGA Life Reinsurance Company of Canada, India Branch</t>
  </si>
  <si>
    <t xml:space="preserve">XL Insurance Company SE, India Reinsurance Branch</t>
  </si>
  <si>
    <t xml:space="preserve">General Reinsurance AG - India Branch</t>
  </si>
  <si>
    <t xml:space="preserve">Allianz Global Corporate &amp; Specialty SE, India Branch</t>
  </si>
  <si>
    <t xml:space="preserve">Factory Mutual Insurance Company, India Branch</t>
  </si>
  <si>
    <t xml:space="preserve">Lloyd’s India Reinsurance Branch</t>
  </si>
  <si>
    <t xml:space="preserve">Markel Services India Private Limited</t>
  </si>
  <si>
    <t xml:space="preserve">Volante Global Services India Pvt.Ltd-lloyd's India</t>
  </si>
  <si>
    <t xml:space="preserve">No.</t>
  </si>
  <si>
    <t xml:space="preserve">Top News:</t>
  </si>
  <si>
    <t xml:space="preserve">Dated</t>
  </si>
  <si>
    <t xml:space="preserve">Links:</t>
  </si>
  <si>
    <t xml:space="preserve">Irdai asks insurers, distributors to form fraud risk management framework</t>
  </si>
  <si>
    <t xml:space="preserve">12th Oct</t>
  </si>
  <si>
    <t xml:space="preserve">https://www.business-standard.com/finance/insurance/irdai-fraud-risk-framework-insurers-reinsurers-cybersecurity-2026-125101200278_1.html</t>
  </si>
  <si>
    <t xml:space="preserve">AHPI, insurers discuss common empanelment and faster claims for patients</t>
  </si>
  <si>
    <t xml:space="preserve">9th Oct</t>
  </si>
  <si>
    <t xml:space="preserve">https://www.business-standard.com/finance/insurance/ahpi-insurers-discuss-common-empanelment-faster-claims-patient-care-125100901184_1.html</t>
  </si>
  <si>
    <t xml:space="preserve">Rethink insurance delivery to reach rural India: Irdai's Deepak Sood</t>
  </si>
  <si>
    <t xml:space="preserve">8th Oct</t>
  </si>
  <si>
    <t xml:space="preserve">https://www.business-standard.com/finance/insurance/irdai-deepak-sood-rethink-distribution-framework-for-universal-insurance-125100801321_1.html</t>
  </si>
  <si>
    <t xml:space="preserve">LIC partners with RBL Bank to expand bancassurance reach</t>
  </si>
  <si>
    <t xml:space="preserve">7th Oct</t>
  </si>
  <si>
    <t xml:space="preserve">https://insuranceasia.com/insurance/news/lic-partners-rbl-bank-expand-bancassurance-reach</t>
  </si>
  <si>
    <t xml:space="preserve">Govt considers introducing nationwide climate-linked insurance scheme</t>
  </si>
  <si>
    <t xml:space="preserve">6th Oct</t>
  </si>
  <si>
    <t xml:space="preserve">https://www.business-standard.com/finance/insurance/govt-considers-introducing-nationwide-climate-linked-insurance-scheme-125100600912_1.html</t>
  </si>
  <si>
    <t xml:space="preserve">Life insurers firms plan to approach regulator for relief after ITC removal</t>
  </si>
  <si>
    <t xml:space="preserve">28th Sep</t>
  </si>
  <si>
    <t xml:space="preserve">https://www.business-standard.com/finance/insurance/life-cos-to-approach-irdai-to-pass-on-impact-of-itc-removal-on-distributor-125092800459_1.html</t>
  </si>
  <si>
    <t xml:space="preserve">Bima Sugam to launch with 2-3 products and e-KYC module by year-end</t>
  </si>
  <si>
    <t xml:space="preserve">26th Sep</t>
  </si>
  <si>
    <t xml:space="preserve">https://www.business-standard.com/finance/insurance/bima-sugam-to-launch-with-2-3-products-and-e-kyc-module-by-year-end-125092600954_1.html</t>
  </si>
  <si>
    <t xml:space="preserve">Irdai Chairman Ajay Seth launches Bima Sugam India Federation website</t>
  </si>
  <si>
    <t xml:space="preserve">17th Sep</t>
  </si>
  <si>
    <t xml:space="preserve">https://www.business-standard.com/finance/insurance/irdai-chairman-ajay-seth-launches-bima-sugam-india-federation-website-125091701252_1.html</t>
  </si>
  <si>
    <t xml:space="preserve">List of Top 20 General insurance companies in India</t>
  </si>
  <si>
    <t xml:space="preserve">Health Insurance</t>
  </si>
  <si>
    <t xml:space="preserve">Source: IRDA Sep-25 business figures</t>
  </si>
  <si>
    <t xml:space="preserve">CCO</t>
  </si>
  <si>
    <t xml:space="preserve">CRO</t>
  </si>
  <si>
    <t xml:space="preserve">CEO</t>
  </si>
  <si>
    <t xml:space="preserve">Channel</t>
  </si>
  <si>
    <t xml:space="preserve">GCSP</t>
  </si>
  <si>
    <t xml:space="preserve">Restrictions, if any</t>
  </si>
  <si>
    <t xml:space="preserve">EY services provided</t>
  </si>
  <si>
    <t xml:space="preserve">Key Trends</t>
  </si>
  <si>
    <t xml:space="preserve">Source links</t>
  </si>
  <si>
    <t xml:space="preserve">Jayashree Nair</t>
  </si>
  <si>
    <t xml:space="preserve">K V Raman</t>
  </si>
  <si>
    <t xml:space="preserve">Ms. Girija Subramanian</t>
  </si>
  <si>
    <t xml:space="preserve">Channel 2</t>
  </si>
  <si>
    <t xml:space="preserve">Pratik Shah</t>
  </si>
  <si>
    <t xml:space="preserve">1. No Restrictions</t>
  </si>
  <si>
    <t xml:space="preserve">New India Assurance gets ₹2,298 cr GST demand notice for 5 financial years
New India Assurance to launch parametric insurance for climate risks: CMD
New India Assurance gets Rs 124.98 cr demand notice from Income Tax dept</t>
  </si>
  <si>
    <t xml:space="preserve">https://www.business-standard.com/search?q=New%20India%20Assurance</t>
  </si>
  <si>
    <t xml:space="preserve">Amit Kushwaha</t>
  </si>
  <si>
    <t xml:space="preserve">Gopal Balachandran</t>
  </si>
  <si>
    <t xml:space="preserve">Mr. Sanjeev Mantri</t>
  </si>
  <si>
    <t xml:space="preserve">Viren Mehta</t>
  </si>
  <si>
    <t xml:space="preserve">1. Scope of Service - No restrictions
2. GCSP Approval - Required</t>
  </si>
  <si>
    <t xml:space="preserve">TCS helps ICICI Lombard achieve DR switchover on AWS Cloud</t>
  </si>
  <si>
    <t xml:space="preserve">https://www.business-standard.com/markets/capital-market-news/tcs-helps-icici-lombard-achieve-dr-switchover-on-aws-cloud-125082500488_1.html</t>
  </si>
  <si>
    <t xml:space="preserve">Krishnan Gopalakrishnan</t>
  </si>
  <si>
    <t xml:space="preserve">Avez Sayed</t>
  </si>
  <si>
    <t xml:space="preserve">Mr. Tapan Singhel</t>
  </si>
  <si>
    <t xml:space="preserve">Channel 1</t>
  </si>
  <si>
    <t xml:space="preserve">Arvind Sethi</t>
  </si>
  <si>
    <t xml:space="preserve">1. Audit Client
2. Scope of Service - Restricted
3. Audit Committee Pre-approval - Required
4. GCSP Approval - Required</t>
  </si>
  <si>
    <t xml:space="preserve">Arun P N</t>
  </si>
  <si>
    <t xml:space="preserve">K. Raj Kumar</t>
  </si>
  <si>
    <t xml:space="preserve">Mr. Bhupesh Sushil Rahul</t>
  </si>
  <si>
    <t xml:space="preserve">A.R. Pote</t>
  </si>
  <si>
    <t xml:space="preserve">Meera Parthasarthy</t>
  </si>
  <si>
    <t xml:space="preserve">Mr. Sanjay Joshi</t>
  </si>
  <si>
    <t xml:space="preserve">Ashish Sarma</t>
  </si>
  <si>
    <t xml:space="preserve">Satyanandan Atyam</t>
  </si>
  <si>
    <t xml:space="preserve">Mr. Amit Ganorkar</t>
  </si>
  <si>
    <t xml:space="preserve">G360, Channel 2</t>
  </si>
  <si>
    <t xml:space="preserve">Aman Dutta</t>
  </si>
  <si>
    <t xml:space="preserve">Central Bank of India, TATA AIG to offer insurance for MSME payments
TATA AIG ties up with Equitas Small Finance Bank for insurance distribution</t>
  </si>
  <si>
    <t xml:space="preserve">https://insuranceasia.com/insurance/news/central-bank-india-tata-aig-offer-insurance-msme-payments</t>
  </si>
  <si>
    <t xml:space="preserve">Princey Mehra</t>
  </si>
  <si>
    <t xml:space="preserve">Prashant Prabhakar Kalaver</t>
  </si>
  <si>
    <t xml:space="preserve">Mr. Anand Roy</t>
  </si>
  <si>
    <t xml:space="preserve">Star Health, CARE, Niva Bupa record most policyholder complaints in FY24</t>
  </si>
  <si>
    <t xml:space="preserve">https://www.business-standard.com/finance/personal-finance/star-health-care-niva-bupa-record-most-policyholder-complaints-in-fy24-125090100487_1.html</t>
  </si>
  <si>
    <t xml:space="preserve">Shashi Kumar M</t>
  </si>
  <si>
    <t xml:space="preserve">Mahua Nandy</t>
  </si>
  <si>
    <t xml:space="preserve">Ms. Rajeshwari Singh Muni</t>
  </si>
  <si>
    <t xml:space="preserve">Vyoma Manek</t>
  </si>
  <si>
    <t xml:space="preserve">Chirag Sheth</t>
  </si>
  <si>
    <t xml:space="preserve">Mr. Anuj Tyagi</t>
  </si>
  <si>
    <t xml:space="preserve">Basant Shroff</t>
  </si>
  <si>
    <t xml:space="preserve">Shatrughan Singh</t>
  </si>
  <si>
    <t xml:space="preserve">Neil Albert Vaz</t>
  </si>
  <si>
    <t xml:space="preserve">Mr. Shri Naveen Chandra Jha</t>
  </si>
  <si>
    <t xml:space="preserve">Charanjit Attra</t>
  </si>
  <si>
    <t xml:space="preserve">SBI General Insurance Launches Unique Health Scanning Feature on Its Mobile App</t>
  </si>
  <si>
    <t xml:space="preserve">https://www.business-standard.com/content/press-releases-ani/sbi-general-insurance-launches-unique-health-scanning-feature-on-its-mobile-app-125091900982_1.html</t>
  </si>
  <si>
    <t xml:space="preserve">Prasun Pratik</t>
  </si>
  <si>
    <t xml:space="preserve">Jasmeet Singh</t>
  </si>
  <si>
    <t xml:space="preserve">Mr. Rakesh Jain</t>
  </si>
  <si>
    <t xml:space="preserve">Reliance General Insurance partners with Mayfair We Care to redefine borderless healthcare</t>
  </si>
  <si>
    <t xml:space="preserve">Kanika Sharma Shandil</t>
  </si>
  <si>
    <t xml:space="preserve">Dilip D. Dange</t>
  </si>
  <si>
    <t xml:space="preserve">Lavanya R. Mundayur</t>
  </si>
  <si>
    <t xml:space="preserve">None</t>
  </si>
  <si>
    <t xml:space="preserve">Rasika Kuber</t>
  </si>
  <si>
    <t xml:space="preserve">Rajeev Singh</t>
  </si>
  <si>
    <t xml:space="preserve">Ms. Jasleen Kohli</t>
  </si>
  <si>
    <t xml:space="preserve">Pramod Achuthan</t>
  </si>
  <si>
    <t xml:space="preserve">Anoop Singh</t>
  </si>
  <si>
    <t xml:space="preserve">Bhawana Jain </t>
  </si>
  <si>
    <t xml:space="preserve">Mr. Anuj Gulati</t>
  </si>
  <si>
    <t xml:space="preserve">Amit Jain</t>
  </si>
  <si>
    <t xml:space="preserve">Takahiro Kondo</t>
  </si>
  <si>
    <t xml:space="preserve">Mr. Subrata Mondal</t>
  </si>
  <si>
    <t xml:space="preserve">Ahmad Abu-Asabeh</t>
  </si>
  <si>
    <t xml:space="preserve">IFFCO-Tokio enters surety bonds business to support infra projects</t>
  </si>
  <si>
    <t xml:space="preserve">https://www.business-standard.com/finance/insurance/iffco-tokio-enters-surety-bonds-market-to-support-infra-growth-125050601178_1.html</t>
  </si>
  <si>
    <t xml:space="preserve">Mahendra Kumar Tripathi</t>
  </si>
  <si>
    <t xml:space="preserve">S K Rangaswamy</t>
  </si>
  <si>
    <t xml:space="preserve">Mr. Venkateswaran Suryanarayanan</t>
  </si>
  <si>
    <t xml:space="preserve">Aravind Krishnan</t>
  </si>
  <si>
    <t xml:space="preserve">Cholamandalam MS General Insurance likely to go public in five years: MD</t>
  </si>
  <si>
    <t xml:space="preserve">https://www.business-standard.com/companies/news/cholamandalam-ms-general-insurance-likely-to-go-public-in-five-years-md-125062301122_1.html</t>
  </si>
  <si>
    <t xml:space="preserve">Rajat Bajaj</t>
  </si>
  <si>
    <t xml:space="preserve">Vipul Sharma</t>
  </si>
  <si>
    <t xml:space="preserve">Mr. Krishnan Ramachandran</t>
  </si>
  <si>
    <t xml:space="preserve">James Tufts</t>
  </si>
  <si>
    <t xml:space="preserve">Shilpa Mantri</t>
  </si>
  <si>
    <t xml:space="preserve">Ajay Panchal</t>
  </si>
  <si>
    <t xml:space="preserve">Mr. Anup Rau</t>
  </si>
  <si>
    <t xml:space="preserve">Francesco Pisapia, Pinakiranjan Mishra</t>
  </si>
  <si>
    <t xml:space="preserve">Sameer Patwardhan</t>
  </si>
  <si>
    <t xml:space="preserve">Rishin Rai</t>
  </si>
  <si>
    <t xml:space="preserve">Mr. Sharad Mathur</t>
  </si>
  <si>
    <t xml:space="preserve">Universal Sompo Extends Insurance Coverage to Pets</t>
  </si>
  <si>
    <t xml:space="preserve">https://www.business-standard.com/content/press-releases-ani/universal-sompo-extends-insurance-coverage-to-pets-125062800275_1.html</t>
  </si>
  <si>
    <t xml:space="preserve">Arpit Patel</t>
  </si>
  <si>
    <t xml:space="preserve">Lalit Vermani</t>
  </si>
  <si>
    <t xml:space="preserve">Mr. Mayank Bathwal</t>
  </si>
  <si>
    <t xml:space="preserve">Neville Dumasia</t>
  </si>
  <si>
    <t xml:space="preserve">Vakrangee partners with Aditya Birla Health Insurance</t>
  </si>
  <si>
    <t xml:space="preserve">https://www.business-standard.com/markets/capital-market-news/vakrangee-partners-with-aditya-birla-health-insurance-125022700332_1.html</t>
  </si>
  <si>
    <t xml:space="preserve">
Balachandher SR</t>
  </si>
  <si>
    <t xml:space="preserve">Lesten Simon Dsouza A</t>
  </si>
  <si>
    <t xml:space="preserve">Vedanarayanan Seshadri</t>
  </si>
  <si>
    <t xml:space="preserve">Binay Shukla</t>
  </si>
  <si>
    <t xml:space="preserve">Royal Sundaram unlocks agility and scalability through digital transformation with FirstApex partnership</t>
  </si>
  <si>
    <t xml:space="preserve">https://www.theweek.in/wire-updates/business/2025/09/16/dcm76-firstapex.html</t>
  </si>
  <si>
    <t xml:space="preserve">Hemant Kumar Sharma</t>
  </si>
  <si>
    <t xml:space="preserve">Rachit Goyal</t>
  </si>
  <si>
    <t xml:space="preserve">Mr. Anil Kumar Aggarwal</t>
  </si>
  <si>
    <t xml:space="preserve">Jaco Louw</t>
  </si>
  <si>
    <t xml:space="preserve">Amit Raheja</t>
  </si>
  <si>
    <t xml:space="preserve">Kishore Khanchandani</t>
  </si>
  <si>
    <t xml:space="preserve">Mr. Rajive Kumaraswami</t>
  </si>
  <si>
    <t xml:space="preserve">Shruti Ladwa</t>
  </si>
  <si>
    <t xml:space="preserve">Magma sells general insurance business to Patanjali
</t>
  </si>
  <si>
    <t xml:space="preserve">https://economictimes.indiatimes.com/markets/stocks/news/magma-sells-general-insurance-business-to-patanjali-ds-group/articleshow/119002582.cms</t>
  </si>
  <si>
    <t xml:space="preserve">Hardik Shah</t>
  </si>
  <si>
    <t xml:space="preserve">Mr. Parag Ved</t>
  </si>
  <si>
    <t xml:space="preserve">John Santosuosso</t>
  </si>
  <si>
    <t xml:space="preserve">1. Scope of Service - Restricted
2. GCSP Approval - Required</t>
  </si>
  <si>
    <t xml:space="preserve">Karishma Desai</t>
  </si>
  <si>
    <t xml:space="preserve">Ketul Patel</t>
  </si>
  <si>
    <t xml:space="preserve">Mr. Animesh Das</t>
  </si>
  <si>
    <t xml:space="preserve">Jim Donnelly</t>
  </si>
  <si>
    <t xml:space="preserve">Prashant Arora</t>
  </si>
  <si>
    <t xml:space="preserve">Nimesh Jayanti Kanabar</t>
  </si>
  <si>
    <t xml:space="preserve">Mr. Alok Kumar Agarwal</t>
  </si>
  <si>
    <t xml:space="preserve">Guillaume Fontaine</t>
  </si>
  <si>
    <t xml:space="preserve">TBD</t>
  </si>
  <si>
    <t xml:space="preserve">Kumar Anshuman</t>
  </si>
  <si>
    <t xml:space="preserve">Mr. Sristiraj Ambastha</t>
  </si>
  <si>
    <t xml:space="preserve">Sameer Karekatte</t>
  </si>
  <si>
    <t xml:space="preserve">Rahul Shankar</t>
  </si>
  <si>
    <t xml:space="preserve">Ms. Shubhdarshini Ghosh</t>
  </si>
  <si>
    <t xml:space="preserve">Shrawan Jalan</t>
  </si>
  <si>
    <t xml:space="preserve">
Badarish H Chimalgi</t>
  </si>
  <si>
    <t xml:space="preserve">Kumar Saurav</t>
  </si>
  <si>
    <t xml:space="preserve">Mr. Vyasa Krishna Burugupalli</t>
  </si>
  <si>
    <t xml:space="preserve">Kshema General Insurance to receive $20 million capital infusion from GCF</t>
  </si>
  <si>
    <t xml:space="preserve">https://www.business-standard.com/finance/insurance/kshema-general-insurance-to-receive-20-million-capital-infusion-from-gcf-125110301379_1.html</t>
  </si>
  <si>
    <t xml:space="preserve">Jigar Shah</t>
  </si>
  <si>
    <t xml:space="preserve">Lokesh Agarwal</t>
  </si>
  <si>
    <t xml:space="preserve">Mr. Rajeev Dogra</t>
  </si>
  <si>
    <t xml:space="preserve">Firoz Pradhan</t>
  </si>
  <si>
    <t xml:space="preserve">Received INR 382.544 million in funding from Prism Johnson Limited</t>
  </si>
  <si>
    <t xml:space="preserve">https://www.marketscreener.com/news/raheja-qbe-general-insurance-company-limited-announced-that-it-has-received-inr-382-544-million-in-f-ce7d5bd9dc89f422</t>
  </si>
  <si>
    <t xml:space="preserve">Ajay Kumar KV</t>
  </si>
  <si>
    <t xml:space="preserve">Shivam Tewari</t>
  </si>
  <si>
    <t xml:space="preserve">Mr. Vaibhav Goyal</t>
  </si>
  <si>
    <t xml:space="preserve">Sameer Bhatnagar</t>
  </si>
  <si>
    <t xml:space="preserve">Rupa Subramanian</t>
  </si>
  <si>
    <t xml:space="preserve">Mr. Joydeep Saha</t>
  </si>
  <si>
    <t xml:space="preserve">Jim Welch</t>
  </si>
  <si>
    <t xml:space="preserve">V Vasudevan</t>
  </si>
  <si>
    <t xml:space="preserve">Gauri Venkatesan</t>
  </si>
  <si>
    <t xml:space="preserve">Mr. G Srinivasan</t>
  </si>
  <si>
    <t xml:space="preserve">Naresh Kumar Katla</t>
  </si>
  <si>
    <t xml:space="preserve">Deepak Murugananthadas</t>
  </si>
  <si>
    <t xml:space="preserve">Ms. Sheela Ananth</t>
  </si>
  <si>
    <t xml:space="preserve">List of Top 20 Life insurance companies in India</t>
  </si>
  <si>
    <t xml:space="preserve">Lockton
Lockton Services India Pvt. Ltd - GCC</t>
  </si>
  <si>
    <t xml:space="preserve">Source Link</t>
  </si>
  <si>
    <t xml:space="preserve">Anshul Kumar Singh</t>
  </si>
  <si>
    <t xml:space="preserve">Srivastava Shatmanyu</t>
  </si>
  <si>
    <t xml:space="preserve">Mr. R. Doraiswamy</t>
  </si>
  <si>
    <t xml:space="preserve">1. Scope of Service - No restrictions
2. Audit Committee Pre approval - Required
3. GCSP Approval - Required</t>
  </si>
  <si>
    <t xml:space="preserve">Pranay Raniwala</t>
  </si>
  <si>
    <t xml:space="preserve">Subhendu Bal</t>
  </si>
  <si>
    <t xml:space="preserve">Mr. Amit Jhingran</t>
  </si>
  <si>
    <t xml:space="preserve">SBI Life, AU Small Finance Bank partner to expand insurance in rural India</t>
  </si>
  <si>
    <t xml:space="preserve">https://insuranceasia.com/insurance/news/sbi-life-au-small-finance-bank-partner-expand-insurance-in-rural-india</t>
  </si>
  <si>
    <t xml:space="preserve">Nagesh Pai</t>
  </si>
  <si>
    <t xml:space="preserve">Khushru Sidhwa</t>
  </si>
  <si>
    <t xml:space="preserve">Ms. Vibha Padalkar</t>
  </si>
  <si>
    <t xml:space="preserve">HDFC Life announces corporate agency tie-up with CARS24 financial services pvt. ltd</t>
  </si>
  <si>
    <t xml:space="preserve">
https://economictimes.indiatimes.com/industry/banking/finance/insure/hdfc-life-announces-corporate-agency-tie-up-with-cars24-financial-services-pvt-ltd/articleshow/117445149.cms?utm_source=contentofinterest&amp;utm_medium=text&amp;utm_campaign=cppst</t>
  </si>
  <si>
    <t xml:space="preserve">Anand Desai</t>
  </si>
  <si>
    <t xml:space="preserve">Deepak Kinger</t>
  </si>
  <si>
    <t xml:space="preserve">Mr. Anup Bagchi</t>
  </si>
  <si>
    <t xml:space="preserve">SBM Bank India, ICICI Prudential Life forge bancassurance partnership</t>
  </si>
  <si>
    <t xml:space="preserve">Anurag Chauhan</t>
  </si>
  <si>
    <t xml:space="preserve">Sachin Saxena</t>
  </si>
  <si>
    <t xml:space="preserve">Mr. Sumit Madan</t>
  </si>
  <si>
    <t xml:space="preserve">Axis Max Life Insurance Partners with India Post Payments Bank to Drive Life Insurance Penetration In Tier 3, Tier 4 and Rural Markets</t>
  </si>
  <si>
    <t xml:space="preserve">https://www.business-standard.com/content/press-releases-ani/axis-max-life-insurance-partners-with-india-post-payments-bank-to-drive-life-insurance-penetration-in-tier-3-tier-4-and-rural-markets-125091001068_1.html</t>
  </si>
  <si>
    <t xml:space="preserve">Gayatri Nathan</t>
  </si>
  <si>
    <t xml:space="preserve">Aditya Kanade</t>
  </si>
  <si>
    <t xml:space="preserve">Mr. Venkatachalam Iyer</t>
  </si>
  <si>
    <t xml:space="preserve">Federal Bank and Tata AIA Life Insurance Announce Strategic Bancassurance Partnership </t>
  </si>
  <si>
    <t xml:space="preserve">Anil P.M.</t>
  </si>
  <si>
    <t xml:space="preserve">Farid Valani</t>
  </si>
  <si>
    <t xml:space="preserve">Mr. Tarun Chugh</t>
  </si>
  <si>
    <t xml:space="preserve">Shailendra Kothavale</t>
  </si>
  <si>
    <t xml:space="preserve">Mr. Kamlesh Rao</t>
  </si>
  <si>
    <t xml:space="preserve">Ajaya Rautaray</t>
  </si>
  <si>
    <t xml:space="preserve">Sarang Cheema</t>
  </si>
  <si>
    <t xml:space="preserve">Mr. Mahesh Balasubramanian</t>
  </si>
  <si>
    <t xml:space="preserve">Rohish Samant</t>
  </si>
  <si>
    <t xml:space="preserve">Vijayalakshmi Natarajan</t>
  </si>
  <si>
    <t xml:space="preserve">Mr. Sameer Bansal</t>
  </si>
  <si>
    <t xml:space="preserve">Nancy Conturso	</t>
  </si>
  <si>
    <t xml:space="preserve">Sreemaya Athikkat</t>
  </si>
  <si>
    <t xml:space="preserve">Ken Obuchi</t>
  </si>
  <si>
    <t xml:space="preserve">Mr. Abhay Tewari</t>
  </si>
  <si>
    <t xml:space="preserve">Manoj Jain</t>
  </si>
  <si>
    <t xml:space="preserve">Vikas Gupta</t>
  </si>
  <si>
    <t xml:space="preserve">Mr. Anuj Mathur</t>
  </si>
  <si>
    <t xml:space="preserve">Canara HSBC Life Insurance launches OmniGen AI, an industry first Generative AI solution to Optimize Risk Evaluation in Underwriting</t>
  </si>
  <si>
    <t xml:space="preserve">https://www.business-standard.com/content/press-releases-ani/canara-hsbc-life-insurance-launches-omnigen-ai-an-industry-first-generative-ai-solution-to-optimize-risk-evaluation-in-underwriting-124112500592_1.html</t>
  </si>
  <si>
    <t xml:space="preserve">Chinmay Kallianpur</t>
  </si>
  <si>
    <t xml:space="preserve">Amrish Maheshwari</t>
  </si>
  <si>
    <t xml:space="preserve">Mr. Rushabh Gandhi</t>
  </si>
  <si>
    <t xml:space="preserve">1. Scope of Service - Fully Restricted
2. GCSP Approval - Required</t>
  </si>
  <si>
    <t xml:space="preserve">Rajesh Kumavat</t>
  </si>
  <si>
    <t xml:space="preserve">R Bharathwaj</t>
  </si>
  <si>
    <t xml:space="preserve">Mr. Ashish Vohra</t>
  </si>
  <si>
    <t xml:space="preserve">Ajay Shah</t>
  </si>
  <si>
    <t xml:space="preserve">Reliance Nippon Life in talks with IndusInd Bank on bancassurance tie up</t>
  </si>
  <si>
    <t xml:space="preserve">https://www.business-standard.com/companies/news/reliance-nippon-life-in-talks-with-indusind-bank-on-bancassurance-tie-up-124121800909_1.html</t>
  </si>
  <si>
    <t xml:space="preserve">Bireswar Chatterjee</t>
  </si>
  <si>
    <t xml:space="preserve">Avanish Bankar</t>
  </si>
  <si>
    <t xml:space="preserve">Mr. Casparus Jacobus Hendri Kromhout</t>
  </si>
  <si>
    <t xml:space="preserve">Shriram Life Partners with JM Financial Services to Expand Insurance Access
A Step Towards Growth, Bharat Bank Ties up with Shriram Life Insurance Co.
Shriram Life Insurance Partners with Muthoot Mercantile to Expand Insurance Distribution Network
Shriram Life Insurance Partners with ESAF Small Finance Bank to Serve Underserved Markets</t>
  </si>
  <si>
    <t xml:space="preserve">https://www.business-standard.com/search?q=Shriram%20Life</t>
  </si>
  <si>
    <t xml:space="preserve">Rajesh Ajgaonkar</t>
  </si>
  <si>
    <t xml:space="preserve">Raju Seetharaman</t>
  </si>
  <si>
    <t xml:space="preserve">Mr. Vighnesh Sahane</t>
  </si>
  <si>
    <t xml:space="preserve">Ageas Federal Life Insurance and CSB Bank forge SME Bancassurance partnership</t>
  </si>
  <si>
    <t xml:space="preserve">https://www.moneycontrol.com/banking/ageas-federal-life-insurance-and-csb-bank-forge-sme-bancassurance-partnership-article-13624207.html#:~:text=Ageas%20Federal%20Life%20Insurance%2C%20one%20of%20India%E2%80%99s%20leading,and%20Individual%20entrepreneurs%2C%20on%20a%20pan%20India%20basis.</t>
  </si>
  <si>
    <t xml:space="preserve">Vinod D'souza</t>
  </si>
  <si>
    <t xml:space="preserve">Neelakshi Shalla</t>
  </si>
  <si>
    <t xml:space="preserve">Mr. Parag Raja</t>
  </si>
  <si>
    <t xml:space="preserve">Prashant Singhal</t>
  </si>
  <si>
    <t xml:space="preserve">Manish Pahwa</t>
  </si>
  <si>
    <t xml:space="preserve">Sunil Kapoor</t>
  </si>
  <si>
    <t xml:space="preserve">Mr. Alok Rungta</t>
  </si>
  <si>
    <t xml:space="preserve">Francesco Pisapia</t>
  </si>
  <si>
    <t xml:space="preserve">Generali Central rebrands insurance venture with digital focus
The move aims to expand insurance access across India.</t>
  </si>
  <si>
    <t xml:space="preserve">https://insuranceasia.com/insurance/news/generali-central-rebrands-insurance-venture-digital-focus</t>
  </si>
  <si>
    <t xml:space="preserve">Supinder Kaur</t>
  </si>
  <si>
    <t xml:space="preserve">Sanjay Malhotra</t>
  </si>
  <si>
    <t xml:space="preserve">Mr. Pankaj Gupta</t>
  </si>
  <si>
    <t xml:space="preserve">Jaishil Shah</t>
  </si>
  <si>
    <t xml:space="preserve">Pramerica Life Partners with Equitas Small Finance Bank to Expand Bancassurance Reach Across 18 States</t>
  </si>
  <si>
    <t xml:space="preserve">https://www.business-standard.com/search?q=Pramerica%20Life</t>
  </si>
  <si>
    <t xml:space="preserve">Abhijeet Dhamale</t>
  </si>
  <si>
    <t xml:space="preserve">Tarun Jain</t>
  </si>
  <si>
    <t xml:space="preserve">Mr. Sabyasachi Sarkar</t>
  </si>
  <si>
    <t xml:space="preserve">Ankur Chadha</t>
  </si>
  <si>
    <t xml:space="preserve">Saddam Hossain</t>
  </si>
  <si>
    <t xml:space="preserve">Mr. Sumit Rai</t>
  </si>
  <si>
    <t xml:space="preserve">Manoj Nair</t>
  </si>
  <si>
    <t xml:space="preserve">Shrinivas Sathya Susarla</t>
  </si>
  <si>
    <t xml:space="preserve">Mr. Diwakar Ram Boddupalli</t>
  </si>
  <si>
    <t xml:space="preserve">Joydev Sengupta</t>
  </si>
  <si>
    <t xml:space="preserve">Gaurav Banka</t>
  </si>
  <si>
    <t xml:space="preserve">Mr. Asit Rath</t>
  </si>
  <si>
    <t xml:space="preserve">Stuart Wilson</t>
  </si>
  <si>
    <t xml:space="preserve">h</t>
  </si>
  <si>
    <t xml:space="preserve">1. CEO of the Company is Karunakaran Azhisur, kindly check
2. CFO of the Company is Ankit Singh Chaudhury, kindly check
3. CRO of the Company is Deepa Baburaaj, kindly check
4. Global Employee count might be incorrect, kindly check and confirm. Can refer below source
https://rocketreach.co/guardian-life-profile_b5c49927f42e0dc7
5. Might add below mentioned point in news/trends
a. Guardian India Continues Operating as a Multi‑Location GCC Across Chennai and Gurugram
https://www.guardianlife.com/about-guardian/where-we-work/india</t>
  </si>
  <si>
    <t xml:space="preserve">Kunal Talreja</t>
  </si>
  <si>
    <t xml:space="preserve">Nikita Musaddi</t>
  </si>
  <si>
    <t xml:space="preserve">Mr. Satishwar Balakrishnan</t>
  </si>
  <si>
    <t xml:space="preserve">Launches iRetire - Turning retirement dreams into reality</t>
  </si>
  <si>
    <t xml:space="preserve">https://www.bandhanlife.com/media-center/bandhan-life-launches-iretire-turning-retirement-dreams-reality</t>
  </si>
  <si>
    <t xml:space="preserve">Sneha Abraham</t>
  </si>
  <si>
    <t xml:space="preserve">Rajesh Kumar</t>
  </si>
  <si>
    <t xml:space="preserve">Mr. Arun Kanti Dasgupta</t>
  </si>
  <si>
    <t xml:space="preserve">SBI life insurance to acquire Sahara India Life assests after SAT ruling</t>
  </si>
  <si>
    <t xml:space="preserve">https://www.angelone.in/news/stocks/sbi-life-insurance-to-acquire-sahara-india-life-assets-after-sat-ruling?msockid=2167906cfca86e7a20de86d2fd7b6f09</t>
  </si>
  <si>
    <t xml:space="preserve">List of Top 20 Insurance Companies in US</t>
  </si>
  <si>
    <t xml:space="preserve">Life / GI / Health</t>
  </si>
  <si>
    <t xml:space="preserve">GWP (USD billion)</t>
  </si>
  <si>
    <t xml:space="preserve">Aflac Incorporated</t>
  </si>
  <si>
    <t xml:space="preserve">Daniel P. Amos</t>
  </si>
  <si>
    <t xml:space="preserve">Dorree Ebner</t>
  </si>
  <si>
    <t xml:space="preserve">No restrictions</t>
  </si>
  <si>
    <t xml:space="preserve">Allstate</t>
  </si>
  <si>
    <t xml:space="preserve">GI and Life</t>
  </si>
  <si>
    <t xml:space="preserve">Thomas J. Wilson</t>
  </si>
  <si>
    <t xml:space="preserve">Rena Weyrauch</t>
  </si>
  <si>
    <t xml:space="preserve">American Family Insurance</t>
  </si>
  <si>
    <t xml:space="preserve">GI</t>
  </si>
  <si>
    <t xml:space="preserve">Bill Westrate</t>
  </si>
  <si>
    <t xml:space="preserve">Chris Raimondo</t>
  </si>
  <si>
    <t xml:space="preserve">American International Group (AIG)</t>
  </si>
  <si>
    <t xml:space="preserve">Peter Zaffino</t>
  </si>
  <si>
    <t xml:space="preserve">John Vale</t>
  </si>
  <si>
    <t xml:space="preserve">1. No scope of services restriction
2. GCSP approval required</t>
  </si>
  <si>
    <t xml:space="preserve">Berkshire Hathaway Inc.</t>
  </si>
  <si>
    <t xml:space="preserve">Warren Buffet</t>
  </si>
  <si>
    <t xml:space="preserve">Kevin Cole</t>
  </si>
  <si>
    <t xml:space="preserve">1. GCSP approval required
2. Audit Committee preapproval and/or IESBA Pre-concurrence required for services</t>
  </si>
  <si>
    <t xml:space="preserve">Consolidated figure</t>
  </si>
  <si>
    <t xml:space="preserve">Chubb Group Holdings Inc.</t>
  </si>
  <si>
    <t xml:space="preserve">Evan G. Greenberg</t>
  </si>
  <si>
    <t xml:space="preserve">Olivia McTavish</t>
  </si>
  <si>
    <t xml:space="preserve">Cigna Group</t>
  </si>
  <si>
    <t xml:space="preserve">David M. Cordani</t>
  </si>
  <si>
    <t xml:space="preserve">Elevance Health, Inc.</t>
  </si>
  <si>
    <t xml:space="preserve">Gail Koziara Boudreaux</t>
  </si>
  <si>
    <t xml:space="preserve">Tom Sand</t>
  </si>
  <si>
    <t xml:space="preserve">1. Audit client 
2. Scope of services restricted
3. Audit Committee preapproval and/or IESBA Pre-concurrence required for services</t>
  </si>
  <si>
    <t xml:space="preserve">Farmers Group Property and Casualty Insurance Company</t>
  </si>
  <si>
    <t xml:space="preserve">Raul Vargas</t>
  </si>
  <si>
    <t xml:space="preserve">Carlos Gutierrez</t>
  </si>
  <si>
    <t xml:space="preserve">1. Scope of services restricted
2. GCSP approval required
3. Audit Committee preapproval and/or IESBA Pre-concurrence required for services</t>
  </si>
  <si>
    <t xml:space="preserve">Humana</t>
  </si>
  <si>
    <t xml:space="preserve">Jim Rechtin</t>
  </si>
  <si>
    <t xml:space="preserve">Abby Johnson</t>
  </si>
  <si>
    <t xml:space="preserve">Liberty Mutual Insurance</t>
  </si>
  <si>
    <t xml:space="preserve">Sweeney</t>
  </si>
  <si>
    <t xml:space="preserve">G360, Channel 1</t>
  </si>
  <si>
    <t xml:space="preserve">1. Audit client 
2. Scope of services restricted
3. GCSP approval required
4. Audit Committee preapproval and/or IESBA Pre-concurrence required for services</t>
  </si>
  <si>
    <t xml:space="preserve">Massachusetts Mutual Life Insurance Company</t>
  </si>
  <si>
    <t xml:space="preserve">Roger W. Crandall</t>
  </si>
  <si>
    <t xml:space="preserve">Steven Waldrop</t>
  </si>
  <si>
    <t xml:space="preserve">MetLife, Inc</t>
  </si>
  <si>
    <t xml:space="preserve">Michel A. Khalaf</t>
  </si>
  <si>
    <t xml:space="preserve">Nancy Conturso</t>
  </si>
  <si>
    <t xml:space="preserve">1. No scope of services restriction
2. GCSP approval required
3. Audit Committee preapproval and/or IESBA Pre-concurrence required for services</t>
  </si>
  <si>
    <t xml:space="preserve">Nationwide Mutual Insurance Company</t>
  </si>
  <si>
    <t xml:space="preserve">Kirt Walker</t>
  </si>
  <si>
    <t xml:space="preserve">Shelly Fliehe</t>
  </si>
  <si>
    <t xml:space="preserve">Progressive Insurance</t>
  </si>
  <si>
    <t xml:space="preserve">Tricia Griffith</t>
  </si>
  <si>
    <t xml:space="preserve">Paul Phillips</t>
  </si>
  <si>
    <t xml:space="preserve">Prudential Financial, Inc</t>
  </si>
  <si>
    <t xml:space="preserve">Andrew Sullivan</t>
  </si>
  <si>
    <t xml:space="preserve">Chad Runchey</t>
  </si>
  <si>
    <t xml:space="preserve">State Farm Insurance Companies</t>
  </si>
  <si>
    <t xml:space="preserve">Jon Farney</t>
  </si>
  <si>
    <t xml:space="preserve">George Haggar</t>
  </si>
  <si>
    <t xml:space="preserve">The Travelers Companies, Inc.</t>
  </si>
  <si>
    <t xml:space="preserve">Alan D. Schnitzer</t>
  </si>
  <si>
    <t xml:space="preserve">Charlie Mihaliak</t>
  </si>
  <si>
    <t xml:space="preserve">United Services Automobile Association (USAA)</t>
  </si>
  <si>
    <t xml:space="preserve">Juan C. Andrade</t>
  </si>
  <si>
    <t xml:space="preserve">Pieter Theron</t>
  </si>
  <si>
    <t xml:space="preserve">1. Scope of services restricted
2. GSCP approval required
3. Audit Committee preapproval and/or IESBA Pre-concurrence required for services
4. Parent company is audit client</t>
  </si>
  <si>
    <t xml:space="preserve">UnitedHealth Group Incorporated</t>
  </si>
  <si>
    <t xml:space="preserve">Stephen J. Hemsley</t>
  </si>
  <si>
    <t xml:space="preserve">Laura Howard</t>
  </si>
  <si>
    <t xml:space="preserve">Premium Written (USD Billions)</t>
  </si>
  <si>
    <t xml:space="preserve">https://stocklight.com/stocks/us/nyse-afl/aflac/annual-reports/nyse-afl-2024-10K-24664211.pdf</t>
  </si>
  <si>
    <t xml:space="preserve">https://www.allstateinvestors.com/static-files/54eca026-32d6-43c0-9783-ebeb65305fa1</t>
  </si>
  <si>
    <t xml:space="preserve">https://newsroom.amfam.com/american-family-insurance-reports-2024-financial-results/</t>
  </si>
  <si>
    <t xml:space="preserve">https://www.aig.com/home/investor-relations/aig-2024-annual-report</t>
  </si>
  <si>
    <t xml:space="preserve">Arthur J. Gallagher &amp; Co.</t>
  </si>
  <si>
    <t xml:space="preserve">Ronald Genty</t>
  </si>
  <si>
    <t xml:space="preserve">Assurant</t>
  </si>
  <si>
    <t xml:space="preserve">Auto-Owners Insurance</t>
  </si>
  <si>
    <t xml:space="preserve">Kristin Schleicher</t>
  </si>
  <si>
    <t xml:space="preserve">https://www.berkshirehathaway.com/2024ar/2024ar.pdf</t>
  </si>
  <si>
    <t xml:space="preserve">Chubb Ltd.</t>
  </si>
  <si>
    <t xml:space="preserve">https://www.chubb.com/content/dam/annual-corporate-governance/2025/a--chubb-limited/chubb-limited-annual-report-2024.pdf</t>
  </si>
  <si>
    <t xml:space="preserve">Cigna</t>
  </si>
  <si>
    <t xml:space="preserve">Sanjay Ramaswamy</t>
  </si>
  <si>
    <t xml:space="preserve">https://investors.thecignagroup.com/financials/annual-reports/default.aspx</t>
  </si>
  <si>
    <t xml:space="preserve">Laura Freitag</t>
  </si>
  <si>
    <t xml:space="preserve">https://www.elevancehealth.com/investors</t>
  </si>
  <si>
    <t xml:space="preserve">Equitable Holdings, Inc. (Axa Equitable)</t>
  </si>
  <si>
    <t xml:space="preserve">Irina Kodes</t>
  </si>
  <si>
    <t xml:space="preserve">Erie Insurance Group</t>
  </si>
  <si>
    <t xml:space="preserve">Jim Babcock</t>
  </si>
  <si>
    <t xml:space="preserve">Farmers Insurance Group</t>
  </si>
  <si>
    <t xml:space="preserve">Isabelle Santenac</t>
  </si>
  <si>
    <t xml:space="preserve">https://content.naic.org/article/naic-releases-2024-market-share-data</t>
  </si>
  <si>
    <t xml:space="preserve">Hartford Financial Services</t>
  </si>
  <si>
    <t xml:space="preserve">Laura Hollerich	</t>
  </si>
  <si>
    <t xml:space="preserve">Greg Pope</t>
  </si>
  <si>
    <t xml:space="preserve">https://policy.humana.com/issue-area/news-and-resources/news-press/2025/humana-reports-fourth-quarter-2024-financial-results--provides</t>
  </si>
  <si>
    <t xml:space="preserve">Kemper Corporation</t>
  </si>
  <si>
    <t xml:space="preserve">Ira Goldstein</t>
  </si>
  <si>
    <t xml:space="preserve">https://www.libertymutualgroup.com/about-lm/investor-relations/documents/q4-2024-earnings-release.pdf</t>
  </si>
  <si>
    <t xml:space="preserve">Lincoln National Corporation</t>
  </si>
  <si>
    <t xml:space="preserve">John Palermo</t>
  </si>
  <si>
    <t xml:space="preserve">Ed Majkowski</t>
  </si>
  <si>
    <t xml:space="preserve">https://www.massmutual.com/global/media/shared/doc/financial-documents/annual-reports/2024_annual_report.pdf</t>
  </si>
  <si>
    <t xml:space="preserve">https://investor.metlife.com/news/news-details/2025/MetLife-Announces-Full-Year-and-Fourth-Quarter-2024-Results/default.aspx</t>
  </si>
  <si>
    <t xml:space="preserve">https://www.nationwide.com/cps/annual-report/strength-and-stability.html</t>
  </si>
  <si>
    <t xml:space="preserve">New York Life Insurance Company</t>
  </si>
  <si>
    <t xml:space="preserve">Wray Broughton</t>
  </si>
  <si>
    <t xml:space="preserve">Northwestern Mutual</t>
  </si>
  <si>
    <t xml:space="preserve">Ugur Hamaloglu</t>
  </si>
  <si>
    <t xml:space="preserve">Pacific Life Insurance Company</t>
  </si>
  <si>
    <t xml:space="preserve">James Rozsypal	</t>
  </si>
  <si>
    <t xml:space="preserve">https://www.progressive.com/content/pdf/art/2024-annual-report.pdf</t>
  </si>
  <si>
    <t xml:space="preserve">https://www3.prudential.com/annualreport/report2025/annual/HTML1/prudential-ar2024_0138.htm</t>
  </si>
  <si>
    <t xml:space="preserve">https://newsroom.statefarm.com/2024-state-farm-financial-results/</t>
  </si>
  <si>
    <t xml:space="preserve">Teachers Insurance and Annuity Association of America</t>
  </si>
  <si>
    <t xml:space="preserve">Jeffrey Gill</t>
  </si>
  <si>
    <t xml:space="preserve">The Hanover Insurance Group</t>
  </si>
  <si>
    <t xml:space="preserve">Thomas Cranley</t>
  </si>
  <si>
    <t xml:space="preserve">Thrivent Financial</t>
  </si>
  <si>
    <t xml:space="preserve">Travelers Insurance</t>
  </si>
  <si>
    <t xml:space="preserve">Bernhard Klein Wassink</t>
  </si>
  <si>
    <t xml:space="preserve">https://investor.travelers.com/newsroom/press-releases/news-details/2025/Travelers-Reports-Exceptional-Fourth-Quarter-and-Full-Year-Results/default.aspx</t>
  </si>
  <si>
    <t xml:space="preserve">https://agencychecklists.com/2025/03/17/naic-2025-market-share-report-pc-insurers-74868/</t>
  </si>
  <si>
    <t xml:space="preserve">Kim Dalla Torre</t>
  </si>
  <si>
    <t xml:space="preserve">https://www.unitedhealthgroup.com/content/dam/UHG/PDF/investors/2024/UNH-Q4-2024-Form-10-K.pdf</t>
  </si>
  <si>
    <t xml:space="preserve">Western &amp; Southern Financial Group</t>
  </si>
  <si>
    <t xml:space="preserve">Julie Middleswart</t>
  </si>
  <si>
    <t xml:space="preserve">List of Top 20 Broker companies</t>
  </si>
  <si>
    <t xml:space="preserve">Sr. No. </t>
  </si>
  <si>
    <t xml:space="preserve">HQ City</t>
  </si>
  <si>
    <t xml:space="preserve">Country</t>
  </si>
  <si>
    <t xml:space="preserve">2024 U.S. brokerage revenue</t>
  </si>
  <si>
    <t xml:space="preserve">Presence beyond base?</t>
  </si>
  <si>
    <t xml:space="preserve">Marsh McLennan (Marsh McLennan Cos. Inc.)</t>
  </si>
  <si>
    <t xml:space="preserve">New York</t>
  </si>
  <si>
    <t xml:space="preserve">USA</t>
  </si>
  <si>
    <t xml:space="preserve">Global network across 130+ countries via Marsh, Guy Carpenter, Mercer, Oliver Wyman [businesswire.com]</t>
  </si>
  <si>
    <t xml:space="preserve">Aon plc</t>
  </si>
  <si>
    <t xml:space="preserve">Dublin</t>
  </si>
  <si>
    <t xml:space="preserve">Ireland</t>
  </si>
  <si>
    <t xml:space="preserve">Global (Risk &amp; Human Capital platforms; presence across all major regions) [aon.mediaroom.com]</t>
  </si>
  <si>
    <t xml:space="preserve">Rolling Meadows</t>
  </si>
  <si>
    <t xml:space="preserve">Global footprint via owned ops &amp; network partners [insuranceb...essmag.com]</t>
  </si>
  <si>
    <t xml:space="preserve">WTW (Willis Towers Watson PLC)</t>
  </si>
  <si>
    <t xml:space="preserve">London</t>
  </si>
  <si>
    <t xml:space="preserve">United Kingdom</t>
  </si>
  <si>
    <t xml:space="preserve">Global (strong in GB/Europe, Americas, APAC) [businessin...urance.com]</t>
  </si>
  <si>
    <t xml:space="preserve">Alliant Insurance Services Inc.</t>
  </si>
  <si>
    <t xml:space="preserve">Irvine</t>
  </si>
  <si>
    <t xml:space="preserve">U.S., Canada &amp; Mexico operations noted [businesswire.com]</t>
  </si>
  <si>
    <t xml:space="preserve">Brown &amp; Brown Inc.</t>
  </si>
  <si>
    <t xml:space="preserve">Daytona Beach</t>
  </si>
  <si>
    <t xml:space="preserve">U.S. with UK/International capabilities (programs/wholesale) [rvbusiness.com]</t>
  </si>
  <si>
    <t xml:space="preserve">HUB International Ltd.</t>
  </si>
  <si>
    <t xml:space="preserve">Chicago</t>
  </si>
  <si>
    <t xml:space="preserve">U.S. &amp; Canada dominant; selected international specialty placements [businessin...urance.com]</t>
  </si>
  <si>
    <t xml:space="preserve">Howden Group Holdings</t>
  </si>
  <si>
    <t xml:space="preserve">Operations in 55 countries (FY2024 release) [howdengrou...ldings.com]</t>
  </si>
  <si>
    <t xml:space="preserve">Acrisure LLC</t>
  </si>
  <si>
    <t xml:space="preserve">Grand Rapids</t>
  </si>
  <si>
    <t xml:space="preserve">Present in 23 countries (broking + fintech adjacencies) [crainsgran...rapids.com]</t>
  </si>
  <si>
    <t xml:space="preserve">Lockton Companies LLC</t>
  </si>
  <si>
    <t xml:space="preserve">Kansas City</t>
  </si>
  <si>
    <t xml:space="preserve">International operations (Europe, Asia, LatAm; &gt;140 countries via network) [businessin...urance.com]</t>
  </si>
  <si>
    <t xml:space="preserve">AssuredPartners Inc.</t>
  </si>
  <si>
    <t xml:space="preserve">Orlando</t>
  </si>
  <si>
    <t xml:space="preserve">U.S., UK &amp; Ireland (international offices) [assuredpartners.com]</t>
  </si>
  <si>
    <t xml:space="preserve">USI Insurance Services LLC</t>
  </si>
  <si>
    <t xml:space="preserve">Valhalla</t>
  </si>
  <si>
    <t xml:space="preserve">Primarily U.S. (select international solutions through partners) [usi.com]</t>
  </si>
  <si>
    <t xml:space="preserve">The Ardonagh Group</t>
  </si>
  <si>
    <t xml:space="preserve">30+ territories; UK, Europe, APAC, LatAm, RoW (Sustainability report) [ardonagh.com]</t>
  </si>
  <si>
    <t xml:space="preserve">BroadStreet Partners Inc.</t>
  </si>
  <si>
    <t xml:space="preserve">Columbus</t>
  </si>
  <si>
    <t xml:space="preserve">Predominantly U.S. network of partner agencies [broadstreetcorp.com]</t>
  </si>
  <si>
    <t xml:space="preserve">Accession Risk Management Group (Risk Strategies + One80)</t>
  </si>
  <si>
    <t xml:space="preserve">Boston</t>
  </si>
  <si>
    <t xml:space="preserve">U.S. &amp; Canada (wholesale/program reach to international markets) [insurancejournal.com]</t>
  </si>
  <si>
    <t xml:space="preserve">Alera Group</t>
  </si>
  <si>
    <t xml:space="preserve">Deerfield</t>
  </si>
  <si>
    <t xml:space="preserve">Primarily U.S.; selective international client servicing [aleragroup.com]</t>
  </si>
  <si>
    <t xml:space="preserve">The Baldwin Insurance Group Inc.</t>
  </si>
  <si>
    <t xml:space="preserve">Tampa</t>
  </si>
  <si>
    <t xml:space="preserve">Predominantly U.S.; specialty lines with international placements [alliant.com]</t>
  </si>
  <si>
    <t xml:space="preserve">EPIC Insurance Brokers &amp; Consultants</t>
  </si>
  <si>
    <t xml:space="preserve">San Francisco</t>
  </si>
  <si>
    <t xml:space="preserve">Primarily U.S. with some international capabilities via specialty alliances [epicbrokers.com]</t>
  </si>
  <si>
    <t xml:space="preserve">Steadfast Group</t>
  </si>
  <si>
    <t xml:space="preserve">Australia</t>
  </si>
  <si>
    <t xml:space="preserve">Australasia + US network (ISU), Singapore etc. [annualreports.com]</t>
  </si>
  <si>
    <t xml:space="preserve">Diot‑Siaci</t>
  </si>
  <si>
    <t xml:space="preserve">France</t>
  </si>
  <si>
    <t xml:space="preserve">~half of revenue now outside France; EMEA &amp; Asia (group release) [diot-siaci.com]</t>
  </si>
  <si>
    <t xml:space="preserve">Other Broker firms that exit in geographies other than US and UK</t>
  </si>
  <si>
    <t xml:space="preserve">Company</t>
  </si>
  <si>
    <t xml:space="preserve">2024 brokerage revenue</t>
  </si>
  <si>
    <t xml:space="preserve">USD equivalent (approx.)</t>
  </si>
  <si>
    <t xml:space="preserve">OneDigital (Digital Insurance Inc.)</t>
  </si>
  <si>
    <t xml:space="preserve">Primarily U.S. (national footprint) [onedigital.com]</t>
  </si>
  <si>
    <t xml:space="preserve">Trucordia (formerly PCF Insurance Services)</t>
  </si>
  <si>
    <t xml:space="preserve">Higginbotham</t>
  </si>
  <si>
    <t xml:space="preserve">Primarily U.S. footprint [alliant.com]</t>
  </si>
  <si>
    <t xml:space="preserve">IMA Financial Group Inc.</t>
  </si>
  <si>
    <t xml:space="preserve">Primarily U.S.; international placements via partner markets [alliant.com]</t>
  </si>
  <si>
    <t xml:space="preserve">AUB Group (incl. Tysers)</t>
  </si>
  <si>
    <t xml:space="preserve">A$ 1,331.7m</t>
  </si>
  <si>
    <t xml:space="preserve">$ 878.9 Mn</t>
  </si>
  <si>
    <t xml:space="preserve">ANZ + UK (Tysers) + India/MENA through network/units [aubgroup.com.au]</t>
  </si>
  <si>
    <t xml:space="preserve">PIB Group</t>
  </si>
  <si>
    <t xml:space="preserve">£ 500m</t>
  </si>
  <si>
    <t xml:space="preserve">$ 630.0 Mn</t>
  </si>
  <si>
    <t xml:space="preserve">Noted pan‑European expansion (UK+EU).</t>
  </si>
  <si>
    <t xml:space="preserve">GGW Group</t>
  </si>
  <si>
    <t xml:space="preserve">€ 400m</t>
  </si>
  <si>
    <t xml:space="preserve">Germany</t>
  </si>
  <si>
    <t xml:space="preserve">$ 432.0 Mn</t>
  </si>
  <si>
    <t xml:space="preserve">Germany + Europe platform (&gt;50 broker/MGA companies under GGW) [permira.com]</t>
  </si>
  <si>
    <t xml:space="preserve">Filhet‑Allard</t>
  </si>
  <si>
    <t xml:space="preserve">€ 323m</t>
  </si>
  <si>
    <t xml:space="preserve">$ 348.8 Mn</t>
  </si>
  <si>
    <t xml:space="preserve">France + Africa (and select overseas).</t>
  </si>
  <si>
    <t xml:space="preserve">Miller Insurance Services</t>
  </si>
  <si>
    <t xml:space="preserve">£ 271m</t>
  </si>
  <si>
    <t xml:space="preserve">$ 341.5 Mn</t>
  </si>
  <si>
    <t xml:space="preserve">International offices (Brussels, Singapore).</t>
  </si>
  <si>
    <t xml:space="preserve">Verlingue</t>
  </si>
  <si>
    <t xml:space="preserve">€ 314m</t>
  </si>
  <si>
    <t xml:space="preserve">$ 339.1 Mn</t>
  </si>
  <si>
    <t xml:space="preserve">France + UK + Portugal footprint.</t>
  </si>
  <si>
    <t xml:space="preserve">Funk Gruppe</t>
  </si>
  <si>
    <t xml:space="preserve">€ 275m</t>
  </si>
  <si>
    <t xml:space="preserve">$ 297.0 Mn</t>
  </si>
  <si>
    <t xml:space="preserve">37 locations across DACH, CEE, IT, CH, AT, PL, RO, etc. (company site) [funk-gruppe.de]</t>
  </si>
  <si>
    <t xml:space="preserve">Kessler</t>
  </si>
  <si>
    <t xml:space="preserve">US$ 262m</t>
  </si>
  <si>
    <t xml:space="preserve">Switzerland</t>
  </si>
  <si>
    <t xml:space="preserve">$ 262.0 Mn</t>
  </si>
  <si>
    <t xml:space="preserve">Private; FY2024 consolidated revenue not public; Swiss + global through networks; own presence in CH &amp; LIE. [kessler.ch]</t>
  </si>
  <si>
    <t xml:space="preserve">Vanbreda Risk &amp; Benefits</t>
  </si>
  <si>
    <t xml:space="preserve">€ 123m</t>
  </si>
  <si>
    <t xml:space="preserve">Belgium</t>
  </si>
  <si>
    <t xml:space="preserve">$ 132.8 Mn</t>
  </si>
  <si>
    <t xml:space="preserve">Benelux + cross‑border service.</t>
  </si>
  <si>
    <t xml:space="preserve">RENOMIA</t>
  </si>
  <si>
    <t xml:space="preserve">CZK 2,600m</t>
  </si>
  <si>
    <t xml:space="preserve">Czech Republic</t>
  </si>
  <si>
    <t xml:space="preserve">$ 114.4 Mn</t>
  </si>
  <si>
    <t xml:space="preserve">RENOMIA GROUP | RENOMIA</t>
  </si>
  <si>
    <t xml:space="preserve">J.B. Boda Group</t>
  </si>
  <si>
    <t xml:space="preserve">₹ 157 crore</t>
  </si>
  <si>
    <t xml:space="preserve">India</t>
  </si>
  <si>
    <t xml:space="preserve">$ 18.8 Mn</t>
  </si>
  <si>
    <t xml:space="preserve">Multiple overseas offices (Africa, MEA, Europe, Asia).</t>
  </si>
  <si>
    <t xml:space="preserve">List of Top Insurance GCCs in India as on Oct'26</t>
  </si>
  <si>
    <t xml:space="preserve">Columns O-R: dark blue = Oct'26 verified additions with source links; red strikethrough = team entry found incorrect, unsupported, outdated or in the wrong bucket (see note beside it). Evidence checked against search-engine indexed page text. Full detail in tabs 'Focus clean view' and 'Focus Review Log'.</t>
  </si>
  <si>
    <t xml:space="preserve">With verifiable source link</t>
  </si>
  <si>
    <t xml:space="preserve">GCC name</t>
  </si>
  <si>
    <t xml:space="preserve">Responsibility</t>
  </si>
  <si>
    <t xml:space="preserve">HO &amp; Other Offices in India</t>
  </si>
  <si>
    <t xml:space="preserve">Live Functions -Finance/Ops/Technology</t>
  </si>
  <si>
    <t xml:space="preserve">Local GCC - FTE(Full time employee count)</t>
  </si>
  <si>
    <t xml:space="preserve">CSP-Local(India)</t>
  </si>
  <si>
    <t xml:space="preserve">Global - No. of people</t>
  </si>
  <si>
    <t xml:space="preserve">Size of GCC (Total No. of people)</t>
  </si>
  <si>
    <t xml:space="preserve">No. of years in existence</t>
  </si>
  <si>
    <t xml:space="preserve">Technology</t>
  </si>
  <si>
    <t xml:space="preserve">Finance</t>
  </si>
  <si>
    <t xml:space="preserve">Insurance Operations (Ex - Reinsurance,underwriting,reporting,customer service)</t>
  </si>
  <si>
    <t xml:space="preserve">Internal Audit (SOX,ICFR)</t>
  </si>
  <si>
    <t xml:space="preserve">Source link for Headcount, CE0</t>
  </si>
  <si>
    <t xml:space="preserve">Audit Head</t>
  </si>
  <si>
    <t xml:space="preserve">CFO </t>
  </si>
  <si>
    <t xml:space="preserve">CRO </t>
  </si>
  <si>
    <t xml:space="preserve">India Head/ Leader </t>
  </si>
  <si>
    <t xml:space="preserve">Comments</t>
  </si>
  <si>
    <t xml:space="preserve">Allianz Service Private limited (India) - GCC
</t>
  </si>
  <si>
    <t xml:space="preserve">Anas</t>
  </si>
  <si>
    <t xml:space="preserve">Trivandrumv- HO
Other Offices : Pune, Mumbai.
https://in.linkedin.com/showcase/allianz-services-india/</t>
  </si>
  <si>
    <t xml:space="preserve">Allianz Services India is the Allianz Group’s largest competence center, delivering insurance operations, business consulting, expert analytics and actuarial services, and corporate functions such as finance, HR, compliance, and design. It also supports the Group globally through transformation, consulting, data &amp; AI, and operations engineering services.
Sources:
https://in.linkedin.com/showcase/allianz-services-india/
https://tech.allianz.com/india.html</t>
  </si>
  <si>
    <t xml:space="preserve">Allianz Services India employs over 4,700 professionals across its key locations
https://in.linkedin.com/showcase/allianz-services-india/</t>
  </si>
  <si>
    <t xml:space="preserve">Not verifiable</t>
  </si>
  <si>
    <t xml:space="preserve">Since 2003</t>
  </si>
  <si>
    <t xml:space="preserve">Jison John</t>
  </si>
  <si>
    <t xml:space="preserve">1. Partial Scope of Service Restriction
2. GCSP Approval is Required
3. Consultation required  
4. Business Relationship Restriction 
5. Firm Loan 
</t>
  </si>
  <si>
    <r>
      <rPr>
        <b val="true"/>
        <sz val="10"/>
        <color rgb="FF00008B"/>
        <rFont val="EYInterstate"/>
        <family val="0"/>
        <charset val="1"/>
      </rPr>
      <t xml:space="preserve">[Oct'26 verified additions]
</t>
    </r>
    <r>
      <rPr>
        <sz val="10"/>
        <color rgb="FF00008B"/>
        <rFont val="EYInterstate"/>
        <family val="0"/>
        <charset val="1"/>
      </rPr>
      <t xml:space="preserve">
(Feb 2026) Allianz Services India ran the Allianz Innovation Marathon 2026 (16 Feb 2026, under its ASPIRE industry-readiness initiative; 120 submissions from Kerala engineering colleges) on AI in insurance; the winning team (Sree Chitra Thirunal College of Engineering) received an internship with the entity's Data and Gen AI pillar, confirming a dedicated Data/GenAI unit in Trivandrum.
https://www.technoparktoday.com/allianz-services-india-hosts-innovation-marathon-2026-sree-chitra-thirunal-college-of-engineering-emerges-as-winner/
(2025-26) Allianz Services' stated mission is to modernise Allianz operations via automation, GenAI and smart services; the India delivery centre (Trivandrum, Mumbai, Pune) covers Insurance, Corporate, Advisory and Transformation Services.
https://careers.allianz.com/global/en/allianz-services</t>
    </r>
  </si>
  <si>
    <r>
      <rPr>
        <b val="true"/>
        <sz val="10"/>
        <color rgb="FF00008B"/>
        <rFont val="EYInterstate"/>
        <family val="0"/>
        <charset val="1"/>
      </rPr>
      <t xml:space="preserve">[Oct'26 verified additions]
</t>
    </r>
    <r>
      <rPr>
        <sz val="10"/>
        <color rgb="FF00008B"/>
        <rFont val="EYInterstate"/>
        <family val="0"/>
        <charset val="1"/>
      </rPr>
      <t xml:space="preserve">
(2025-26) Allianz Services India is Allianz Services' largest centre of competence, and its Business Services line covers Finance (Financial Business Services), HR, Compliance and Design services for Allianz group entities.
https://www.linkedin.com/showcase/allianz-services-india/</t>
    </r>
  </si>
  <si>
    <r>
      <rPr>
        <b val="true"/>
        <sz val="10"/>
        <color rgb="FF00008B"/>
        <rFont val="EYInterstate"/>
        <family val="0"/>
        <charset val="1"/>
      </rPr>
      <t xml:space="preserve">[Oct'26 verified additions]
</t>
    </r>
    <r>
      <rPr>
        <sz val="10"/>
        <color rgb="FF00008B"/>
        <rFont val="EYInterstate"/>
        <family val="0"/>
        <charset val="1"/>
      </rPr>
      <t xml:space="preserve">
(2025) Allianz Services India hosted 'Actuarial Edge 2025', an actuarial talent competition won by IAQS Mumbai, underlining its actuarial services pillar.
https://www.technoparktoday.com/allianz-services-india-actuarial-edge-2025-iaqs-mumbai-wins/
(2025-26) Entity is Allianz Services' largest competence centre for Insurance Operations, Business Consulting and Expert Services (business analytics/BI and actuarial services).
https://www.linkedin.com/showcase/allianz-services-india/</t>
    </r>
  </si>
  <si>
    <t xml:space="preserve">[Oct'26] No publicly verified information found on internal audit/SOX teams at Allianz Services India (searched: 'Allianz Services India internal audit finance shared services', 'Allianz Services India 2026 AI', 'Allianz Services India expansion actuarial GenAI'). Compliance services are listed as a function but no audit-specific news.</t>
  </si>
  <si>
    <r>
      <rPr>
        <sz val="10"/>
        <color rgb="FF000000"/>
        <rFont val="EYInterstate"/>
        <family val="0"/>
        <charset val="1"/>
      </rPr>
      <t xml:space="preserve">1.Allianz UK prevents record level of fraud (12 march 2026)
2.Allianz Jio Re Limited Commences Underwriting Reinsurance Immediately in India and existing facultative reinsurance portfolio from Allianz Commercial / Allianz Global Corporate &amp; Specialty (AGCS) will be transitioned to Allianz Jio Re in a phased manner
3.Allianz Commercial partners with Reel Media to boost Entertainment insurance business (5 March 2026) 
4.Allianz Commercial makes senior leader appointments in large-corp Property business (10 March 2026) 
5.Allianz to Merge AGCS India Business into New JV with Jio Financial Services to Meet IRDAI Norms
</t>
    </r>
    <r>
      <rPr>
        <sz val="10"/>
        <color rgb="FF3C7D22"/>
        <rFont val="EYInterstate"/>
        <family val="0"/>
        <charset val="1"/>
      </rPr>
      <t xml:space="preserve">6.Allianz Services India is positioning itself as an AI-enabled insurance transformation hub, moving beyond traditional shared services into a value-driven GCC model focused on GenAI, automation, and insurance process re-engineering.
</t>
    </r>
    <r>
      <rPr>
        <sz val="10"/>
        <color rgb="FF000000"/>
        <rFont val="EYInterstate"/>
        <family val="0"/>
        <charset val="1"/>
      </rPr>
      <t xml:space="preserve">
</t>
    </r>
    <r>
      <rPr>
        <sz val="10"/>
        <color rgb="FF7030A0"/>
        <rFont val="EYInterstate"/>
        <family val="0"/>
        <charset val="1"/>
      </rPr>
      <t xml:space="preserve">7. Apr' 26 - Allianz Group (through Allianz Europe B.V.) and Jio Financial Services Limited signed a binding agreement (22 April 2026) to form a 50:50 primary insurance joint venture covering general and health insurance in India, formalising the earlier announced plan to merge the AGCS India business into the new JV. Allianz Jio Reinsurance Limited, which has commenced underwriting reinsurance in India, is led by Sonia Rawal as Chief Executive Officer.
8. Allianz Group reported record Q1 2026 operating profit of EUR 4.5 billion (+6.6% YoY), and ranked #1 among 30 insurers in the Evident AI Index 2026, reflecting continued investment in AI capability that its India GCC supports.</t>
    </r>
  </si>
  <si>
    <t xml:space="preserve">https://www.allianz.co.uk/news-and-insight/news/allianz-prevents-record-level-of-fraud.html
https://technopark.in/company-details/5870?company=Allianz%20Services%20%28P%29%20Ltd
https://www.linkedin.com/posts/allianz-reinsurance_allianz-jio-re-limited-commences-underwriting-activity-7442824086717779969-vY4R 
https://commercial.allianz.com/news-and-insights/news/reel-media-partnership-2026.html
https://commercial.allianz.com/news-and-insights/news/uk-property-appointments-2026.html
https://www.etnownews.com/companies/exclusive-allianz-to-merge-agcs-india-business-into-new-jv-with-jio-financial-services-to-meet-irdai-norms-article-152322592
https://www.linkedin.com/posts/allianz-services-india_hfsindiasummit-gcc-activity-7432301647646859264-FiL6
https://www.allianz.com/en/mediacenter/news.html (JFSL-Allianz JV binding agreement, 22 Apr 2026)
https://www.reinsurancene.ws/tag/allianz/ (Allianz Jio Re CEO Sonia Rawal; Q1 2026 results)</t>
  </si>
  <si>
    <t xml:space="preserve">en-Allianz-fact-sheet.pdf</t>
  </si>
  <si>
    <t xml:space="preserve">Not disclosed </t>
  </si>
  <si>
    <t xml:space="preserve">Piyush Patwa</t>
  </si>
  <si>
    <t xml:space="preserve">Not disclosed</t>
  </si>
  <si>
    <t xml:space="preserve">Ritu Arora
https://economictimes.indiatimes.com/news/company/corporate-trends/allianz-has-announced-the-appointment-of-ritu-arora-as-the-country-head-of-india-with-immediate-effect/articleshow/124600238.cms</t>
  </si>
  <si>
    <t xml:space="preserve">Allstate India - GCC</t>
  </si>
  <si>
    <t xml:space="preserve">Registrar of Companies: Bengaluru 
Other oficce: Pune
Source:
https://in.linkedin.com/company/allstateindia</t>
  </si>
  <si>
    <r>
      <rPr>
        <sz val="10"/>
        <color theme="1"/>
        <rFont val="EYInterstate"/>
        <family val="0"/>
        <charset val="1"/>
      </rPr>
      <t xml:space="preserve">Allstate India, the strategic business services arm of The Allstate Corporation
</t>
    </r>
    <r>
      <rPr>
        <b val="true"/>
        <sz val="10"/>
        <color theme="1"/>
        <rFont val="EYInterstate"/>
        <family val="0"/>
        <charset val="1"/>
      </rPr>
      <t xml:space="preserve">Finance:
</t>
    </r>
    <r>
      <rPr>
        <sz val="10"/>
        <color theme="1"/>
        <rFont val="EYInterstate"/>
        <family val="0"/>
        <charset val="1"/>
      </rPr>
      <t xml:space="preserve">Enterprise Financial Services, GL Reconciliations, Payments
</t>
    </r>
    <r>
      <rPr>
        <b val="true"/>
        <sz val="10"/>
        <color theme="1"/>
        <rFont val="EYInterstate"/>
        <family val="0"/>
        <charset val="1"/>
      </rPr>
      <t xml:space="preserve">Operations:
</t>
    </r>
    <r>
      <rPr>
        <sz val="10"/>
        <color theme="1"/>
        <rFont val="EYInterstate"/>
        <family val="0"/>
        <charset val="1"/>
      </rPr>
      <t xml:space="preserve">Claims, Policy Administration, Underwriting, Risk Management
</t>
    </r>
    <r>
      <rPr>
        <b val="true"/>
        <sz val="10"/>
        <color theme="1"/>
        <rFont val="EYInterstate"/>
        <family val="0"/>
        <charset val="1"/>
      </rPr>
      <t xml:space="preserve">Technology:</t>
    </r>
    <r>
      <rPr>
        <sz val="10"/>
        <color theme="1"/>
        <rFont val="EYInterstate"/>
        <family val="0"/>
        <charset val="1"/>
      </rPr>
      <t xml:space="preserve"> 
Engineering, Analytics, AI, Digital Platforms, Technology &amp; Innovation
</t>
    </r>
    <r>
      <rPr>
        <b val="true"/>
        <sz val="10"/>
        <color theme="1"/>
        <rFont val="EYInterstate"/>
        <family val="0"/>
        <charset val="1"/>
      </rPr>
      <t xml:space="preserve">Source;
</t>
    </r>
    <r>
      <rPr>
        <sz val="10"/>
        <color theme="1"/>
        <rFont val="EYInterstate"/>
        <family val="0"/>
        <charset val="1"/>
      </rPr>
      <t xml:space="preserve">https://www.business-standard.com/content/press-releases-ani/reimagining-the-role-of-insurance-gccs-allstate-india-s-journey-towards-a-global-talent-center-124082600741_1.html</t>
    </r>
  </si>
  <si>
    <t xml:space="preserve">8,000 employees spread across
Source:
https://undercodenews.com/allstates-india-operations-a-hub-of-innovation-and-efficiency/</t>
  </si>
  <si>
    <t xml:space="preserve">Since 2012</t>
  </si>
  <si>
    <t xml:space="preserve">Chetan Garga </t>
  </si>
  <si>
    <t xml:space="preserve"> GCSP Approval is required for services
</t>
  </si>
  <si>
    <r>
      <rPr>
        <b val="true"/>
        <sz val="10"/>
        <color rgb="FF00008B"/>
        <rFont val="EYInterstate"/>
        <family val="0"/>
        <charset val="1"/>
      </rPr>
      <t xml:space="preserve">[Oct'26 verified additions]
</t>
    </r>
    <r>
      <rPr>
        <sz val="10"/>
        <color rgb="FF00008B"/>
        <rFont val="EYInterstate"/>
        <family val="0"/>
        <charset val="1"/>
      </rPr>
      <t xml:space="preserve">
(Aug 2026) Allstate Corp disclosed on its Q2 2026 earnings call that it is building ALLIE (Large Language Intelligent Ecosystem), an eight-component agentic-AI architecture for customer interactions, distribution, pricing and claims; not yet fully built or deployed and no timeline given. India delivery role not publicly confirmed - group context only.
https://www.insurancejournal.com/news/national/2026/08/07/880719.htm
(Aug 2024) Allstate India describes itself as architecting infrastructure that integrates AI systems with advanced analytics for pricing and fraud detection at scale, alongside its Technology &amp; Innovation and digital platform teams.
https://www.business-standard.com/content/press-releases-ani/reimagining-the-role-of-insurance-gccs-allstate-india-s-journey-towards-a-global-talent-center-124082600741_1.html</t>
    </r>
  </si>
  <si>
    <r>
      <rPr>
        <b val="true"/>
        <sz val="10"/>
        <color rgb="FF00008B"/>
        <rFont val="EYInterstate"/>
        <family val="0"/>
        <charset val="1"/>
      </rPr>
      <t xml:space="preserve">[Oct'26 verified additions]
</t>
    </r>
    <r>
      <rPr>
        <sz val="10"/>
        <color rgb="FF00008B"/>
        <rFont val="EYInterstate"/>
        <family val="0"/>
        <charset val="1"/>
      </rPr>
      <t xml:space="preserve">
(FY2025) Allstate India Private Limited reported annual revenue of about INR 1,890 crore (FY ending Mar 2025) with ~4,300 employees; finance shared services (Enterprise Financial Services, GL reconciliations, payments) per team col E - no new finance-specific news found.
https://tracxn.com/d/companies/allstateindia/__9hXgvLj6uzJEc20xuVzrjVJQxh1sjroMM9etIjj845E</t>
    </r>
  </si>
  <si>
    <r>
      <rPr>
        <b val="true"/>
        <sz val="10"/>
        <color rgb="FF00008B"/>
        <rFont val="EYInterstate"/>
        <family val="0"/>
        <charset val="1"/>
      </rPr>
      <t xml:space="preserve">[Oct'26 verified additions]
</t>
    </r>
    <r>
      <rPr>
        <sz val="10"/>
        <color rgb="FF00008B"/>
        <rFont val="EYInterstate"/>
        <family val="0"/>
        <charset val="1"/>
      </rPr>
      <t xml:space="preserve">
(Sep 2025) Shibu Mathew Zacharia, previously Director - Claims &amp; Litigation at Allstate India (4+ years with the entity), appointed Vice President &amp; Managing Director to lead strategic operations in India; Ankita Agrawal named head of HR.
https://hrtoday.in/shibu-mathew-zacharia-appointed-as-vice-president-and-managing-director-at-allstate-india/
(Aug 2024) Allstate India's Risk Management Business Centre delivers end-to-end underwriting for auto and property; claims teams handle auto/property/casualty claims; Policy Administration supports 20M+ policies.
https://www.prnewswire.com/in/news-releases/reimagining-the-role-of-insurance-gccs-allstate-indias-journey-towards-a-global-talent-center-302230355.html</t>
    </r>
  </si>
  <si>
    <t xml:space="preserve">[Oct'26] No publicly verified information found on internal audit/SOX at Allstate India (searched: 'Allstate India finance internal audit SOX technology hiring 2025 2026').</t>
  </si>
  <si>
    <r>
      <rPr>
        <sz val="10"/>
        <rFont val="EYInterstate"/>
        <family val="0"/>
        <charset val="1"/>
      </rPr>
      <t xml:space="preserve">1.Allstate India has appointed Shibu Mathew Zacharia as Vice President and Managing Director and Ankita Agrawal as head of human resources to spearhead its growth.
2.Allstate India Scales as a Strategic Global Capability Center Focused on AI‑Led Claims, Underwriting, and Policy Administration
3.Using Indian docs, lawyers &amp; engineers to serve US insurance: Allstate centres in Pune &amp; Bengaluru are becoming critical hubs</t>
    </r>
    <r>
      <rPr>
        <sz val="10"/>
        <color theme="9" tint="-0.25"/>
        <rFont val="EYInterstate"/>
        <family val="0"/>
        <charset val="1"/>
      </rPr>
      <t xml:space="preserve">.
4.Global rollout of ALLIE (Allstate's proprietary agentic AI platform). [actuary.info]</t>
    </r>
  </si>
  <si>
    <t xml:space="preserve">Latest News | Allstate India
https://undercodenews.com/allstates-india-operations-a-hub-of-innovation-and-efficiency/https://undercodenews.com/allstates-india-operations-a-hub-of-innovation-and-efficiency/
https://timesofindia.indiatimes.com/technology/times-techies/using-indian-docs-lawyers-engineers-to-serve-us-insurance-allstate-centres-in-pune-bengaluru-are-becoming-critical-hubs/articleshow/118371257.cms
https://actuary.info/insights/allstate-allie-proprietary-agentic-ai-stack</t>
  </si>
  <si>
    <t xml:space="preserve">The Allstate Corporation (ALL) Number of Employees 1996-2025</t>
  </si>
  <si>
    <t xml:space="preserve">Hemlata Nevetia</t>
  </si>
  <si>
    <t xml:space="preserve">Mark Prindiville</t>
  </si>
  <si>
    <t xml:space="preserve">Shibu Mathew Zacharia</t>
  </si>
  <si>
    <t xml:space="preserve">India head changed.
https://economictimes.indiatimes.com/industry/banking/finance/insure/allstate-india-announces-executive-appointments-shibu-mathew-zacharia-named-vice-president-and-managing-director-ankita-agrawal-named-head-of-human-resources/articleshow/125291782.cms?from=mdr</t>
  </si>
  <si>
    <t xml:space="preserve">Accenture Operations Services Private Limited (formerly known as AIG Analytics &amp; Services Private Limited)</t>
  </si>
  <si>
    <t xml:space="preserve">Bengaluru</t>
  </si>
  <si>
    <r>
      <rPr>
        <sz val="10"/>
        <color theme="1"/>
        <rFont val="EYInterstate"/>
        <family val="0"/>
        <charset val="1"/>
      </rPr>
      <t xml:space="preserve">Accenture Operations Services Private Limited (formerly AIG Analytics &amp; Services Private Limited and Chartis Insurance Services Private Limited)
</t>
    </r>
    <r>
      <rPr>
        <b val="true"/>
        <sz val="10"/>
        <color theme="1"/>
        <rFont val="EYInterstate"/>
        <family val="0"/>
        <charset val="1"/>
      </rPr>
      <t xml:space="preserve">Finance:
</t>
    </r>
    <r>
      <rPr>
        <sz val="10"/>
        <color theme="1"/>
        <rFont val="EYInterstate"/>
        <family val="0"/>
        <charset val="1"/>
      </rPr>
      <t xml:space="preserve">Accounting, FP&amp;A, Reconciliations, Technical Accounting
</t>
    </r>
    <r>
      <rPr>
        <b val="true"/>
        <sz val="10"/>
        <color theme="1"/>
        <rFont val="EYInterstate"/>
        <family val="0"/>
        <charset val="1"/>
      </rPr>
      <t xml:space="preserve">Operations:
</t>
    </r>
    <r>
      <rPr>
        <sz val="10"/>
        <color theme="1"/>
        <rFont val="EYInterstate"/>
        <family val="0"/>
        <charset val="1"/>
      </rPr>
      <t xml:space="preserve">Insurance Operations, Analytics Services, Business Process Services
</t>
    </r>
    <r>
      <rPr>
        <b val="true"/>
        <sz val="10"/>
        <color theme="1"/>
        <rFont val="EYInterstate"/>
        <family val="0"/>
        <charset val="1"/>
      </rPr>
      <t xml:space="preserve">Technology:
</t>
    </r>
    <r>
      <rPr>
        <sz val="10"/>
        <color theme="1"/>
        <rFont val="EYInterstate"/>
        <family val="0"/>
        <charset val="1"/>
      </rPr>
      <t xml:space="preserve">IT Consulting, Data Analytics, Systems Support
Sources:
https://www.thecompanycheck.com/company/accenture-operations-services-private-limited/U74990KA2009PTC076432</t>
    </r>
  </si>
  <si>
    <t xml:space="preserve">The total number of employees is currently 940 (2025)
Sources:
https://www.emis.com/php/company-profile/IN/Accenture_Operations_Services_Private_Limited_en_5867203.html</t>
  </si>
  <si>
    <t xml:space="preserve">Since 2009</t>
  </si>
  <si>
    <t xml:space="preserve">Arundhati Chakraborty</t>
  </si>
  <si>
    <t xml:space="preserve">1. GCSP Approval is required
2. Consultation required - Scope of Service 
3. Firm Loan 
4. Business relationship Restrictions </t>
  </si>
  <si>
    <t xml:space="preserve">[Oct'26] No publicly verified technology news for this entity in Oct 2024-Oct 2026 (searched: entity name + AIG Analytics; 'Accenture acquires AIG Analytics &amp; Services India'; 'AIG Accenture agreement 2024 2025 outsourcing India').</t>
  </si>
  <si>
    <t xml:space="preserve">[Oct'26] No publicly verified finance news for this entity; MCA mirrors only show FY22 revenue band INR 100-500 crore (thecompanycheck/tofler).</t>
  </si>
  <si>
    <r>
      <rPr>
        <b val="true"/>
        <sz val="10"/>
        <color rgb="FF00008B"/>
        <rFont val="EYInterstate"/>
        <family val="0"/>
        <charset val="1"/>
      </rPr>
      <t xml:space="preserve">[Oct'26 verified additions]
</t>
    </r>
    <r>
      <rPr>
        <sz val="10"/>
        <color rgb="FF00008B"/>
        <rFont val="EYInterstate"/>
        <family val="0"/>
        <charset val="1"/>
      </rPr>
      <t xml:space="preserve">
(Jan 2021 handover; no newer entity-specific news) Entity is the former AIG captive AIG Analytics &amp; Services Private Limited (CIN U74990KA2009PTC076432, Whitefield, Bengaluru, incorporated Oct 2009) that passed to Accenture when AIG moved ~6,000 shared-services staff (incl. India) to Accenture in January 2021; it continues as an AIG-focused insurance operations/analytics centre under Accenture.
https://www.zaubacorp.com/company/AIG-ANALYTICS-SERVICES-PRIVATE-LIMITED/U74990KA2009PTC076432
(Jul 2022, context) Fortune: ~6,000 AIG shared-services employees (Malaysia, India, Philippines, Sofia, Olathe) became Accenture employees in a January 2021 handover covering HR operations, claims resolution, actuarial operations and finance; Accenture later reported 17% promoted and ~76% trained on ML/automation, with some claims processed twice as fast.
https://fortune.com/2022/07/21/aig-imploded-2008-recession-financial-crisis-turnaround-plan-6000-employees-accenture/</t>
    </r>
  </si>
  <si>
    <t xml:space="preserve">[Oct'26] No publicly verified internal audit/SOX information found.</t>
  </si>
  <si>
    <r>
      <rPr>
        <sz val="10"/>
        <rFont val="EYInterstate"/>
        <family val="0"/>
        <charset val="1"/>
      </rPr>
      <t xml:space="preserve">1.Manohar Singh Ram Singh Rawat was appointed as a Additional Director was appointed as a Additional Director on 01 Dec 2025
2. Generative AI (GenAI) has the potential to transform the insurance industry by providing underwriters with valuable insights in the areas of 1) risk controls, 2) building &amp; location details and 3) insured operations.
3.Accenture Invests in Reserv to Transform Insurance Claims Processes
4.Accenture’s strategic alliance with ANSR (announced July 2024; still actively referenced in 2025–2026) strengthens the ability to design, set up, and scale AI‑native GCCs. 
</t>
    </r>
    <r>
      <rPr>
        <sz val="10"/>
        <color theme="6"/>
        <rFont val="EYInterstate"/>
        <family val="0"/>
        <charset val="1"/>
      </rPr>
      <t xml:space="preserve">5.ServiceNow and Accenture launch forward deployed engineering program to scale agentic AI across the enterprise</t>
    </r>
  </si>
  <si>
    <t xml:space="preserve">https://www.thecompanycheck.com/company/accenture-operations-services-private-limited/U74990KA2009PTC076432
https://insuranceblog.accenture.com/3-ways-insurance-underwriters-gain-insights-generative-ai
https://in.marketscreener.com/quote/stock/ACCENTURE-PLC-11521/news/Accenture-Invests-in-Reserv-to-Transform-Insurance-Claims-Processes-50158529/
https://ansr.com/press-releases/accenture-invests-in-ansr-and-will-join-its-board-of-directors/
https://newsroom.servicenow.com/press-releases/details/2026/ServiceNow-and-Accenture-launch-forward-deployed-engineering-program-to-scale-agentic-AI-across-the-enterprise/default.aspx</t>
  </si>
  <si>
    <t xml:space="preserve">Accenture Operations Services Private Limited - FY 2026</t>
  </si>
  <si>
    <t xml:space="preserve">Murtuza Jawadwala</t>
  </si>
  <si>
    <t xml:space="preserve">Angie park</t>
  </si>
  <si>
    <t xml:space="preserve">Global role only</t>
  </si>
  <si>
    <t xml:space="preserve">AON Services India Private Limited - GCC </t>
  </si>
  <si>
    <t xml:space="preserve">Gurugram, Mumbai, Bengaluru, Hyderabad (and other delivery presence across India)
Source:
https://www.businessofgcc.com/gcc-partners/aon-india</t>
  </si>
  <si>
    <r>
      <rPr>
        <sz val="10"/>
        <color theme="1"/>
        <rFont val="EYInterstate"/>
        <family val="0"/>
        <charset val="1"/>
      </rPr>
      <t xml:space="preserve">Aon Services India Pvt. Ltd. / Aon Business Services India
</t>
    </r>
    <r>
      <rPr>
        <b val="true"/>
        <sz val="10"/>
        <color theme="1"/>
        <rFont val="EYInterstate"/>
        <family val="0"/>
        <charset val="1"/>
      </rPr>
      <t xml:space="preserve">Finance:
</t>
    </r>
    <r>
      <rPr>
        <sz val="10"/>
        <color theme="1"/>
        <rFont val="EYInterstate"/>
        <family val="0"/>
        <charset val="1"/>
      </rPr>
      <t xml:space="preserve">Financial Reporting, Internal Finance, Pension &amp; Retirement, Reinsurance Analytics
</t>
    </r>
    <r>
      <rPr>
        <b val="true"/>
        <sz val="10"/>
        <color theme="1"/>
        <rFont val="EYInterstate"/>
        <family val="0"/>
        <charset val="1"/>
      </rPr>
      <t xml:space="preserve">Operations:
</t>
    </r>
    <r>
      <rPr>
        <sz val="10"/>
        <color theme="1"/>
        <rFont val="EYInterstate"/>
        <family val="0"/>
        <charset val="1"/>
      </rPr>
      <t xml:space="preserve">Commercial Risk, Insurance Operations, Reinsurance, HR &amp; Health Solutions
</t>
    </r>
    <r>
      <rPr>
        <b val="true"/>
        <sz val="10"/>
        <color theme="1"/>
        <rFont val="EYInterstate"/>
        <family val="0"/>
        <charset val="1"/>
      </rPr>
      <t xml:space="preserve">Technology
</t>
    </r>
    <r>
      <rPr>
        <sz val="10"/>
        <color theme="1"/>
        <rFont val="EYInterstate"/>
        <family val="0"/>
        <charset val="1"/>
      </rPr>
      <t xml:space="preserve">Analytics, HR Technology, Risk Analytics, Shared Platforms
Source:
https://www.aon.com/india/business-services.jsp
https://www.businessofgcc.com/gcc-partners/aon-india</t>
    </r>
  </si>
  <si>
    <t xml:space="preserve">1200+</t>
  </si>
  <si>
    <t xml:space="preserve">Since 1982</t>
  </si>
  <si>
    <t xml:space="preserve">Greg Case</t>
  </si>
  <si>
    <t xml:space="preserve">1. Business Relationship
2. Scope of services restricted
3. Firm Loan Restrictions
4. Audit Client Vendor (ACV)
5. GCSP Approval
6. ACPA and/or IESBA Pre-concurrence Required</t>
  </si>
  <si>
    <r>
      <rPr>
        <b val="true"/>
        <sz val="10"/>
        <color rgb="FF00008B"/>
        <rFont val="EYInterstate"/>
        <family val="0"/>
        <charset val="1"/>
      </rPr>
      <t xml:space="preserve">[Oct'26 verified additions]
</t>
    </r>
    <r>
      <rPr>
        <sz val="10"/>
        <color rgb="FF00008B"/>
        <rFont val="EYInterstate"/>
        <family val="0"/>
        <charset val="1"/>
      </rPr>
      <t xml:space="preserve">
(Jun 2026) Aon expanded its Bengaluru global capability centre with a new LEED-certified facility at The Earth Centre by Vista Spaces, Whitefield (~1.98 lakh sq ft leased over five years, ~INR 98 crore rent per property press); India centres (Bengaluru, Noida, Gurgaon) deliver analytics, technology and operations plus Risk Capital and Human Capital capabilities for Aon globally.
https://www.aon.com/apac/in-the-press/asia-newsroom/2026/aon-reinforces-india-as-key-global-hub
(Jun 2026) Reinsurance News / Insurance Business coverage of the Bengaluru expansion: the centre links talent and technology across Aon's international offices to keep service delivery consistent.
https://www.reinsurancene.ws/aon-expands-bengalurus-global-capability-centre-with-new-facility/</t>
    </r>
  </si>
  <si>
    <t xml:space="preserve">[Oct'26] No publicly verified finance-function news for Aon's India GCC in the window (searched: 'Aon India capability centre Gurugram Noida reinsurance analytics finance AI'; 'Aon India GCC finance internal audit Shiney Prasad'). Team col E lists financial reporting/internal finance but no source news.</t>
  </si>
  <si>
    <r>
      <rPr>
        <b val="true"/>
        <sz val="10"/>
        <color rgb="FF00008B"/>
        <rFont val="EYInterstate"/>
        <family val="0"/>
        <charset val="1"/>
      </rPr>
      <t xml:space="preserve">[Oct'26 verified additions]
</t>
    </r>
    <r>
      <rPr>
        <sz val="10"/>
        <color rgb="FF00008B"/>
        <rFont val="EYInterstate"/>
        <family val="0"/>
        <charset val="1"/>
      </rPr>
      <t xml:space="preserve">
(Mar 2026) Shiney Prasad joined Aon as Head of Global Capability Centers, with 30+ years across insurance, shared services and GCC management; Aon also named Nayana Mitter to lead GCC strategy and programme management.
https://hrtoday.in/shiney-prasad-embarks-on-new-journey-with-aon-as-head-of-global-capability-centers/
(2026, month unconfirmed) Reinsurance Asia headline: Aon taps Nayana Mitter to lead Global Capability Centres strategy and programme management. Weak (headline-only) evidence.
https://reinasia.com/aon-taps-nayana-mitter-to-lead-global-capability-centres-strategy-and-programme-management/</t>
    </r>
  </si>
  <si>
    <r>
      <rPr>
        <sz val="10"/>
        <rFont val="EYInterstate"/>
        <family val="0"/>
        <charset val="1"/>
      </rPr>
      <t xml:space="preserve">1.Leading Indian life insurer to implement Aon’s modelling platform PathWise 
2. Aon expands Data Center Lifecycle Insurance Program capacity to $3.5 billion in support of Digital Infrastructure clients
3. Aon Appoints Shiney Prasad as Head of Global Capability Centers
</t>
    </r>
    <r>
      <rPr>
        <sz val="10"/>
        <color theme="6"/>
        <rFont val="EYInterstate"/>
        <family val="0"/>
        <charset val="1"/>
      </rPr>
      <t xml:space="preserve">4.Aon launched Contract AI, an AI-powered platform for insurers and reinsurers.</t>
    </r>
  </si>
  <si>
    <t xml:space="preserve">https://www.reinsurancene.ws/leading-indian-life-insurer-to-implement-aons-modelling-platform-pathwise/
https://aon.mediaroom.com/2026-04-15-Aon-expands-Data-Center-Lifecycle-Insurance-Program-capacity-to-3-5-billion-in-support-of-Digital-Infrastructure-clients
https://gccrise.com/aon-appoints-shiney-prasad-as-head-of-global-capability-centers/
https://aon.mediaroom.com/news-releases?item=138603</t>
  </si>
  <si>
    <t xml:space="preserve">Rahul Kedia</t>
  </si>
  <si>
    <t xml:space="preserve">Shiney Prasad
https://reinasia.com/aon-names-shiney-prasad-as-head-of-global-capacity-centres/</t>
  </si>
  <si>
    <t xml:space="preserve">Admiral Solutions India Private limited - GCC</t>
  </si>
  <si>
    <t xml:space="preserve">Gurugram, Haryana
Source:
https://in.linkedin.com/company/admiral-solutions
https://www.admiralindia.com/about-us/</t>
  </si>
  <si>
    <r>
      <rPr>
        <sz val="10"/>
        <color theme="1"/>
        <rFont val="EYInterstate"/>
        <family val="0"/>
        <charset val="1"/>
      </rPr>
      <t xml:space="preserve">The India GCC supports Admiral Group's UK insurance business through
</t>
    </r>
    <r>
      <rPr>
        <b val="true"/>
        <sz val="10"/>
        <color theme="1"/>
        <rFont val="EYInterstate"/>
        <family val="0"/>
        <charset val="1"/>
      </rPr>
      <t xml:space="preserve">Finance:
</t>
    </r>
    <r>
      <rPr>
        <sz val="10"/>
        <color theme="1"/>
        <rFont val="EYInterstate"/>
        <family val="0"/>
        <charset val="1"/>
      </rPr>
      <t xml:space="preserve">Not publicly disclosed
</t>
    </r>
    <r>
      <rPr>
        <b val="true"/>
        <sz val="10"/>
        <color theme="1"/>
        <rFont val="EYInterstate"/>
        <family val="0"/>
        <charset val="1"/>
      </rPr>
      <t xml:space="preserve">Operations:
</t>
    </r>
    <r>
      <rPr>
        <sz val="10"/>
        <color theme="1"/>
        <rFont val="EYInterstate"/>
        <family val="0"/>
        <charset val="1"/>
      </rPr>
      <t xml:space="preserve">Customer Service, Insurance Operations, Policy Administration, Back-office Operations
</t>
    </r>
    <r>
      <rPr>
        <b val="true"/>
        <sz val="10"/>
        <color theme="1"/>
        <rFont val="EYInterstate"/>
        <family val="0"/>
        <charset val="1"/>
      </rPr>
      <t xml:space="preserve">Technology:
</t>
    </r>
    <r>
      <rPr>
        <sz val="10"/>
        <color theme="1"/>
        <rFont val="EYInterstate"/>
        <family val="0"/>
        <charset val="1"/>
      </rPr>
      <t xml:space="preserve">Cloud, Infrastructure, IT Operations, Security, Digital Transformation
Source:
https://www.admiralindia.com/
https://www.admiralindia.com/about-us/
https://in.linkedin.com/company/admiral-solutions</t>
    </r>
  </si>
  <si>
    <t xml:space="preserve">1,860 employees in India
Source:
https://gccexplorer.com/companies/admiral-group-plc</t>
  </si>
  <si>
    <t xml:space="preserve">500 - 1000
350 + </t>
  </si>
  <si>
    <t xml:space="preserve">Milena Mondini de Focatiis (CEO of Admiral Group)</t>
  </si>
  <si>
    <t xml:space="preserve">1. GCSP Approval is required
2. Consultation required - Scope of Service </t>
  </si>
  <si>
    <r>
      <rPr>
        <b val="true"/>
        <sz val="10"/>
        <color rgb="FF00008B"/>
        <rFont val="EYInterstate"/>
        <family val="0"/>
        <charset val="1"/>
      </rPr>
      <t xml:space="preserve">[Oct'26 verified additions]
</t>
    </r>
    <r>
      <rPr>
        <sz val="10"/>
        <color rgb="FF00008B"/>
        <rFont val="EYInterstate"/>
        <family val="0"/>
        <charset val="1"/>
      </rPr>
      <t xml:space="preserve">
(2025-26) Admiral India (legal entity Inspop Technologies India Pvt Ltd; captive technology &amp; operations centre set up 2021 at International Tech Park Gurugram SEZ, separate from Admiral Solutions) provides IT and technology support - infrastructure, cloud, security and IT operations - to Admiral Group operations globally and is hiring engineering-management roles.
https://www.admiralindia.com/
(2025-26) Admiral India careers page shows active Gurgaon hiring for Senior Engineering Manager and Module Lead positions.
https://www.admiralindia.com/current-jobs/</t>
    </r>
  </si>
  <si>
    <t xml:space="preserve">[Oct'26] No publicly verified finance-function information found for Admiral Solutions India / Admiral India (searched: 'Admiral Solutions India Bengaluru GCC 2026', 'Admiral Solutions Admiral India Gurugram AI cloud data hiring', 'Admiral India Gurugram news Flock expansion'). Note: entity is in Gurugram, not Bengaluru.</t>
  </si>
  <si>
    <r>
      <rPr>
        <b val="true"/>
        <sz val="10"/>
        <color rgb="FF00008B"/>
        <rFont val="EYInterstate"/>
        <family val="0"/>
        <charset val="1"/>
      </rPr>
      <t xml:space="preserve">[Oct'26 verified additions]
</t>
    </r>
    <r>
      <rPr>
        <sz val="10"/>
        <color rgb="FF00008B"/>
        <rFont val="EYInterstate"/>
        <family val="0"/>
        <charset val="1"/>
      </rPr>
      <t xml:space="preserve">
(2026) Admiral Solutions (Gurgaon captive BPO set up Apr 2012 to support Admiral's UK car-insurance operations; Infospace SEZ, Dundahera) continues to hire Customer Care Specialist/Representative and operations roles supporting UK customer service.
https://career.admiralsolutions.in/vacancies/
(2025-26) Admiral Solutions is Admiral Group's ITeS/BPO GIC in Gurgaon supporting UK car insurance operations; grown from 16 staff in 2012 to a 2,000+ strong operation per the company's own profile.
https://www.admiralsolutions.in/</t>
    </r>
  </si>
  <si>
    <r>
      <rPr>
        <sz val="10"/>
        <rFont val="EYInterstate"/>
        <family val="0"/>
        <charset val="1"/>
      </rPr>
      <t xml:space="preserve">1.Admiral Group plc reported earnings results for the full year ended December 31, 2025. For the full year, the company reported net income was GBP 742.6 million compared to GBP 663.3 million a year ago. Basic earnings per share from continuing operations was GBP 2.474 compared to GBP 2.128 a year ago
2.Admiral Solutions India Recognised Among “Top 10 Best Places to Work in India"
</t>
    </r>
    <r>
      <rPr>
        <sz val="10"/>
        <color theme="6"/>
        <rFont val="EYInterstate"/>
        <family val="0"/>
        <charset val="1"/>
      </rPr>
      <t xml:space="preserve">
3.Admiral Group completed its acquisition of Flock, a commercial fleet insurance and telematics provider, for approximately £80 million.
4.After announcing the Flock transaction, Admiral launched a new haulage fleet insurance proposition and reported strong initial demand.</t>
    </r>
  </si>
  <si>
    <t xml:space="preserve">https://in.marketscreener.com/news/admiral-group-plc-reports-earnings-results-for-the-full-year-ended-december-31-2025-ce7e5fdbd88af525
https://www.londonstockexchange.com/news-article/ADM/admiral-group-completes-acquisition-of-flock/17616667</t>
  </si>
  <si>
    <t xml:space="preserve">Admiral Solutions | LinkedIn
https://www.greatplacetowork.in/resources/casestudies/admiral-india-hybrid-workplace-retention/</t>
  </si>
  <si>
    <t xml:space="preserve">Rachel Lewis</t>
  </si>
  <si>
    <r>
      <rPr>
        <sz val="10"/>
        <rFont val="EYInterstate"/>
        <family val="0"/>
        <charset val="1"/>
      </rPr>
      <t xml:space="preserve">Shweta Singh
https://www.admiralsolutions.in/meet-our-team/our-leaders/
</t>
    </r>
    <r>
      <rPr>
        <sz val="10"/>
        <color theme="6"/>
        <rFont val="EYInterstate"/>
        <family val="0"/>
        <charset val="1"/>
      </rPr>
      <t xml:space="preserve">
https://in.marketscreener.com/news/admiral-group-plc-announces-executive-changes-ce7e58dbdd88f225</t>
    </r>
  </si>
  <si>
    <t xml:space="preserve">Arch Global Services India
(Parent co. Arch Capital Group Ltd)</t>
  </si>
  <si>
    <t xml:space="preserve">Thiruvananthapuram (HQ), Pune, Hyderabad
Source:
https://in.linkedin.com/company/arch-global-services-india
https://www.archgroup.com/careers/work-at-arch-global-services-india/</t>
  </si>
  <si>
    <t xml:space="preserve">The India GCC supports global insurance
Finance:
Finance, Risk Operations, Actuarial Support
Operations:
Underwriting, Claims, Insurance Operations, BPO Services
Technology:
IT Services, Analytics, Technology Operations, Digital Transformation
Source:
https://www.businesswire.com/news/home/20251029203215/en/Arch-Global-Services-India-Opens-New-Office-in-Trivandrum-to-Drive-Innovation
https://www.archgroup.com/arch-global-services-india-opens-new-office-in-trivandrum-to-drive-innovation/
https://in.linkedin.com/company/arch-global-services-india</t>
  </si>
  <si>
    <t xml:space="preserve">~450 employees (350+ existing workforce plus ~100-person Hyderabad technology center announced during expansion)
Source:
https://www.archgroup.com/arch-global-services-india-opens-new-office-in-trivandrum-to-drive-innovation/
https://www.archgroup.com/arch-global-services-india-opens-technology-hub-in-hyderabad-to-accelerate-innovation/</t>
  </si>
  <si>
    <t xml:space="preserve">~4,900+</t>
  </si>
  <si>
    <t xml:space="preserve">350+</t>
  </si>
  <si>
    <t xml:space="preserve">Mar'2025</t>
  </si>
  <si>
    <t xml:space="preserve">Nicolas Papadopoulo</t>
  </si>
  <si>
    <t xml:space="preserve">1. GCSP Approval
2. ACPA and/or IESBA Pre-concurrence Required</t>
  </si>
  <si>
    <r>
      <rPr>
        <b val="true"/>
        <sz val="10"/>
        <color rgb="FF00008B"/>
        <rFont val="EYInterstate"/>
        <family val="0"/>
        <charset val="1"/>
      </rPr>
      <t xml:space="preserve">[Oct'26 verified additions]
</t>
    </r>
    <r>
      <rPr>
        <sz val="10"/>
        <color rgb="FF00008B"/>
        <rFont val="EYInterstate"/>
        <family val="0"/>
        <charset val="1"/>
      </rPr>
      <t xml:space="preserve">
(Oct 2025) Arch Global Services India opened a technology hub in Hyderabad's Financial District (~100 employees, room to expand) delivering technology-driven services across Arch affiliates; led by Technology Head Raju Chiluvuri.
https://www.businesswire.com/news/home/20251027224074/en/Arch-Global-Services-India-Opens-Technology-Hub-in-Hyderabad-to-Accelerate-Innovation
(Oct 2025) Reinsurance News and Bermuda:Re+ILS covered the Hyderabad hub as Arch extending its India footprint for digital transformation; India support areas include Information Technology alongside billing, claims, risk engineering and underwriting ops.
https://www.reinsurancene.ws/arch-global-services-india-opens-technology-hub-in-hyderabad/</t>
    </r>
  </si>
  <si>
    <r>
      <rPr>
        <b val="true"/>
        <sz val="10"/>
        <color rgb="FF00008B"/>
        <rFont val="EYInterstate"/>
        <family val="0"/>
        <charset val="1"/>
      </rPr>
      <t xml:space="preserve">[Oct'26 verified additions]
</t>
    </r>
    <r>
      <rPr>
        <sz val="10"/>
        <color rgb="FF00008B"/>
        <rFont val="EYInterstate"/>
        <family val="0"/>
        <charset val="1"/>
      </rPr>
      <t xml:space="preserve">
(Oct 2025) The Trivandrum office (largest in India, 26,000 sq ft expandable by 17,000, ~350 employees) provides business services including finance and risk operations for Arch's insurance, reinsurance and mortgage divisions.
https://www.archgroup.com/arch-global-services-india-opens-new-office-in-trivandrum-to-drive-innovation/</t>
    </r>
  </si>
  <si>
    <r>
      <rPr>
        <b val="true"/>
        <sz val="10"/>
        <color rgb="FF00008B"/>
        <rFont val="EYInterstate"/>
        <family val="0"/>
        <charset val="1"/>
      </rPr>
      <t xml:space="preserve">[Oct'26 verified additions]
</t>
    </r>
    <r>
      <rPr>
        <sz val="10"/>
        <color rgb="FF00008B"/>
        <rFont val="EYInterstate"/>
        <family val="0"/>
        <charset val="1"/>
      </rPr>
      <t xml:space="preserve">
(Oct 2025) Trivandrum Technopark office opened to deliver underwriting, claims, finance and risk operations; support areas listed include Billing Operations, Claims Processing, Risk Engineering and Underwriting Operations.
https://www.businesswire.com/news/home/20251029203215/en/arch-global-services-india-opens-new-office-in-trivandrum-to-drive-innovation/
(Jul 2025) Arch Capital Group announced global capabilities centres in Trivandrum and Pune with Hyderabad to follow, set up with ANSR and sponsored by Deputy COO Prashant Nema, to support its Insurance, Reinsurance and Mortgage segments; 350+ staff initially, tapping analytics, technology and operations talent.
https://www.archgroup.com/arch-capital-group-opens-global-capabilities-centers-in-india/</t>
    </r>
  </si>
  <si>
    <t xml:space="preserve">[Oct'26] No publicly verified internal audit/SOX information found (searched: 'Arch Global Services India 2026 Trivandrum Hyderabad Pune technology hub', 'Arch Global Services India Pune Hyderabad AI underwriting claims finance', 'Arch Global Services India Hyderabad technology hub opens 2025').</t>
  </si>
  <si>
    <r>
      <rPr>
        <sz val="10"/>
        <rFont val="EYInterstate"/>
        <family val="0"/>
        <charset val="1"/>
      </rPr>
      <t xml:space="preserve">1.Arch Global Services India opened a new large technology hub in Trivandrum (with ~350 employees) as part of Arch’s expansion of its capability centre footprint.
2.Arch Global Services India, a wholly-owned subsidiary of insurer and reinsurer Arch Capital Group Ltd., has announced the opening of its new office in Hyderabad.
</t>
    </r>
    <r>
      <rPr>
        <sz val="10"/>
        <color theme="6"/>
        <rFont val="EYInterstate"/>
        <family val="0"/>
        <charset val="1"/>
      </rPr>
      <t xml:space="preserve">3.Arch reported exceptionally strong financial performance:
Net income of $1.0 billion
After-tax operating income of $901 million
Operating ROE of 15.4%
Underwriting income increased significantly
Book value per share increased 1.7%</t>
    </r>
  </si>
  <si>
    <t xml:space="preserve">https://www.businesswire.com/news/home/20251027224074/en/Arch-Global-Services-India-Opens-Technology-Hub-in-Hyderabad-to-Accelerate-Innovation?utm_source=chatgpt.com
https://www.reinsurancene.ws/arch-global-services-india-opens-technology-hub-in-hyderabad/
https://www.archgroup.com/arch-capital-group-ltd-reports-2026-first-quarter-results/</t>
  </si>
  <si>
    <t xml:space="preserve">Corporate leadership page: https://www.archgroup.com/about/corporate-leadership/
CEO transition announcement (Oct 2024): https://www.archgroup.com/arch-capital-group-ltd-announces-leadership-transition/
https://www.archgroup.com/arch-capital-group-opens-global-capabilities-centers-in-india/</t>
  </si>
  <si>
    <t xml:space="preserve">Kai Monahan</t>
  </si>
  <si>
    <t xml:space="preserve">François Morin</t>
  </si>
  <si>
    <t xml:space="preserve">Janice Englesbe</t>
  </si>
  <si>
    <t xml:space="preserve">Ajay Prasad</t>
  </si>
  <si>
    <t xml:space="preserve">India head changed.
https://www.bing.com/search?q=Arch%20Global%20Services%20India%20CEO%2FHead&amp;qs=n&amp;form=QBRE&amp;sp=-1&amp;ghc=1&amp;lq=0&amp;pq=arch%20global%20services%20india%20ceo%2Fhead&amp;sc=12-35&amp;sk=&amp;cvid=0BF6DAA912004C0BB325199F975D64F4</t>
  </si>
  <si>
    <t xml:space="preserve">AXA Business Services Pvt. Ltd. - GCC</t>
  </si>
  <si>
    <t xml:space="preserve">Bengaluru &amp; Pune
Source:
https://in.linkedin.com/company/axa-global-business-services-axa-gbs
https://www.axagbs.com/press-release/axa-unveils-state-of-the-art-office-space-in-pune-expands-its-global-business-services-center</t>
  </si>
  <si>
    <r>
      <rPr>
        <sz val="10"/>
        <color theme="1"/>
        <rFont val="EYInterstate"/>
        <family val="0"/>
        <charset val="1"/>
      </rPr>
      <t xml:space="preserve">AXA GBS supports AXA entities through corporate and insurance support functions
</t>
    </r>
    <r>
      <rPr>
        <b val="true"/>
        <sz val="10"/>
        <color theme="1"/>
        <rFont val="EYInterstate"/>
        <family val="0"/>
        <charset val="1"/>
      </rPr>
      <t xml:space="preserve">Finance:
</t>
    </r>
    <r>
      <rPr>
        <sz val="10"/>
        <color theme="1"/>
        <rFont val="EYInterstate"/>
        <family val="0"/>
        <charset val="1"/>
      </rPr>
      <t xml:space="preserve">Finance &amp; Accounting, Corporate Functions, Benefits Support
</t>
    </r>
    <r>
      <rPr>
        <b val="true"/>
        <sz val="10"/>
        <color theme="1"/>
        <rFont val="EYInterstate"/>
        <family val="0"/>
        <charset val="1"/>
      </rPr>
      <t xml:space="preserve">Operations:
</t>
    </r>
    <r>
      <rPr>
        <sz val="10"/>
        <color theme="1"/>
        <rFont val="EYInterstate"/>
        <family val="0"/>
        <charset val="1"/>
      </rPr>
      <t xml:space="preserve">Insurance Operations, Claims, Healthcare Operations, BPO Services
</t>
    </r>
    <r>
      <rPr>
        <b val="true"/>
        <sz val="10"/>
        <color theme="1"/>
        <rFont val="EYInterstate"/>
        <family val="0"/>
        <charset val="1"/>
      </rPr>
      <t xml:space="preserve">Technology:
</t>
    </r>
    <r>
      <rPr>
        <sz val="10"/>
        <color theme="1"/>
        <rFont val="EYInterstate"/>
        <family val="0"/>
        <charset val="1"/>
      </rPr>
      <t xml:space="preserve">Application Development, Data Engineering, AI, Automation, Cybersecurity, Analytics
Source:
https://in.linkedin.com/company/axa-global-business-services-axa-gbs
https://www.axagbs.com/press-release/axa-unveils-state-of-the-art-office-space-in-pune-expands-its-global-business-services-center
https://www.prnewswire.com/in/news-releases/axa-global-business-services-embarks-on-a-new-era-of-transformation-as-it-celebrates-30-years-in-india-302375701.html
https://www.thecompanycheck.com/company/b/axa-global-business-services/09656ab3b7eb46499</t>
    </r>
  </si>
  <si>
    <t xml:space="preserve">4,000 employees
Source:
https://www.axagbs.com/press-release/axa-unveils-state-of-the-art-office-space-in-pune-expands-its-global-business-services-center</t>
  </si>
  <si>
    <t xml:space="preserve">4000+</t>
  </si>
  <si>
    <t xml:space="preserve">200-500</t>
  </si>
  <si>
    <t xml:space="preserve">Since 1995</t>
  </si>
  <si>
    <t xml:space="preserve">Michele Rochefort</t>
  </si>
  <si>
    <t xml:space="preserve">1. Audit client 
2. Full Scope of services restricted
3. GCSP Approval Required
4. Business Relationship Restriction
5. ACPA and/or IESBA Pre-concurrence Required
6. Firm Loan  Restriction consultation required</t>
  </si>
  <si>
    <r>
      <rPr>
        <b val="true"/>
        <sz val="10"/>
        <color rgb="FF00008B"/>
        <rFont val="EYInterstate"/>
        <family val="0"/>
        <charset val="1"/>
      </rPr>
      <t xml:space="preserve">[Oct'26 verified additions]
</t>
    </r>
    <r>
      <rPr>
        <sz val="10"/>
        <color rgb="FF00008B"/>
        <rFont val="EYInterstate"/>
        <family val="0"/>
        <charset val="1"/>
      </rPr>
      <t xml:space="preserve">
(Feb 2025) Marking 30 years in India, AXA GBS (4,000+ staff across Bengaluru, Pune, UK, Morocco; 35+ AXA entities in 14 countries) said it is moving to a high-value, output-based model built on technology, automation and AI; CEO Michele Rochefort flagged growth in technology, data, AI, automation and consulting.
https://www.business-standard.com/content/press-releases-ani/axa-global-business-services-embarks-on-a-new-era-of-transformation-as-it-celebrates-30-years-in-india-125021300860_1.html
(Feb 2025) AXA GBS says it is deliberately cannibalising its traditional BPS model through a programme of intelligent automation and digitalisation, building technology services (application development &amp; maintenance, data analytics, AI, industrial automation) for 35+ AXA entities.
https://cxotoday.com/press-release/axa-global-business-services-embarks-on-a-new-era-of-transformation-as-it-celebrates-30-years-in-india/
(Oct 2024) AXA opened a 160,000 sq ft, four-floor facility in Kharadi, Pune to expand the GBS centre for service delivery and innovation.
https://www.prnewswire.com/in/news-releases/axa-unveils-state-of-the-art-office-space-in-pune-expands-its-global-business-services-center-302271407.html</t>
    </r>
  </si>
  <si>
    <r>
      <rPr>
        <b val="true"/>
        <sz val="10"/>
        <color rgb="FF00008B"/>
        <rFont val="EYInterstate"/>
        <family val="0"/>
        <charset val="1"/>
      </rPr>
      <t xml:space="preserve">[Oct'26 verified additions]
</t>
    </r>
    <r>
      <rPr>
        <sz val="10"/>
        <color rgb="FF00008B"/>
        <rFont val="EYInterstate"/>
        <family val="0"/>
        <charset val="1"/>
      </rPr>
      <t xml:space="preserve">
(Feb 2025) AXA GBS's Centres of Excellence deliver insurance operations and corporate-function operations alongside tech/data for 35+ AXA entities; the 30-year release frames the shift from BPS to output-based services.
https://www.tribuneindia.com/news/business/axa-global-business-services-embarks-on-a-new-era-of-transformation-as-it-celebrates-30-years-in-india/</t>
    </r>
  </si>
  <si>
    <t xml:space="preserve">[Oct'26] No publicly verified internal audit/SOX information found (searched: 'AXA GBS India finance actuarial claims internal audit SOX 2025 2026'; 'AXA Global Business Services GenAI data engineering finance shared services audit').</t>
  </si>
  <si>
    <r>
      <rPr>
        <sz val="10"/>
        <rFont val="EYInterstate"/>
        <family val="0"/>
        <charset val="1"/>
      </rPr>
      <t xml:space="preserve">1.Axa Global services celebrates 30 years of presence in India (11.02.25)
2.AXA Unveils State-of-the-Art Office Space in Pune, Expands its Global Business Services Center 
3.AXA Global Business Services under CEO Michelle Rochefort is becoming a strategic arm</t>
    </r>
    <r>
      <rPr>
        <sz val="10"/>
        <color theme="6"/>
        <rFont val="EYInterstate"/>
        <family val="0"/>
        <charset val="1"/>
      </rPr>
      <t xml:space="preserve">.
4.AXA Reappoints CEO Thomas Buberl
5.In ET GCC discussions, AXA GBS CEO Michelle Rochefort emphasized:
India's engineering talent
AI capabilities
Data capabilities
Technology modernization programs
as critical pillars of AXA's future operating model.
</t>
    </r>
    <r>
      <rPr>
        <sz val="10"/>
        <rFont val="EYInterstate"/>
        <family val="0"/>
        <charset val="1"/>
      </rPr>
      <t xml:space="preserve">
</t>
    </r>
  </si>
  <si>
    <t xml:space="preserve">https://www.prnewswire.com/in/news-releases/axa-global-business-services-embarks-on-a-new-era-of-transformation-as-it-celebrates-30-years-in-india-302375701.html
https://www.axagbs.com/press-release/axa-unveils-state-of-the-art-office-space-in-pune-expands-its-global-business-services-center
https://gcc.economictimes.indiatimes.com/news/industry-trends/axa-gbs-driving-innovation-through-strategic-engineering-talent-in-india/125975576
https://www.reinsurancene.ws/thomas-buberl-reappointed-ceo-of-axa-for-four-year-term/
https://gcc.economictimes.indiatimes.com/podcast/podcast/the-gcc-show/why-india-matters-to-axa-gbs/125829577</t>
  </si>
  <si>
    <t xml:space="preserve"> 
AXA Global Business Services Embarks on a New Era of Transformation as it Celebrates 30 Years in India  </t>
  </si>
  <si>
    <t xml:space="preserve">Group audit</t>
  </si>
  <si>
    <t xml:space="preserve">Maha Oulad Benchiba</t>
  </si>
  <si>
    <t xml:space="preserve">Suman Kaushal </t>
  </si>
  <si>
    <t xml:space="preserve">Prashanthi Thorat
https://www.axagbs.com/about-us</t>
  </si>
  <si>
    <t xml:space="preserve">Bupa Capability Centre – India (BCC India)</t>
  </si>
  <si>
    <t xml:space="preserve">Gurugram, Haryana
Source:
https://www.linkedin.com/company/bupa-capability-centre-india/</t>
  </si>
  <si>
    <r>
      <rPr>
        <sz val="10"/>
        <color theme="1"/>
        <rFont val="EYInterstate"/>
        <family val="0"/>
        <charset val="1"/>
      </rPr>
      <t xml:space="preserve">Bupa Capability Centre – India (BCC India)
</t>
    </r>
    <r>
      <rPr>
        <b val="true"/>
        <sz val="10"/>
        <color theme="1"/>
        <rFont val="EYInterstate"/>
        <family val="0"/>
        <charset val="1"/>
      </rPr>
      <t xml:space="preserve">Finance:
</t>
    </r>
    <r>
      <rPr>
        <sz val="10"/>
        <color theme="1"/>
        <rFont val="EYInterstate"/>
        <family val="0"/>
        <charset val="1"/>
      </rPr>
      <t xml:space="preserve">Not publicly disclosed
</t>
    </r>
    <r>
      <rPr>
        <b val="true"/>
        <sz val="10"/>
        <color theme="1"/>
        <rFont val="EYInterstate"/>
        <family val="0"/>
        <charset val="1"/>
      </rPr>
      <t xml:space="preserve">Operations:
</t>
    </r>
    <r>
      <rPr>
        <sz val="10"/>
        <color theme="1"/>
        <rFont val="EYInterstate"/>
        <family val="0"/>
        <charset val="1"/>
      </rPr>
      <t xml:space="preserve">Operations, Operational Excellence, Global Service Delivery
</t>
    </r>
    <r>
      <rPr>
        <b val="true"/>
        <sz val="10"/>
        <color theme="1"/>
        <rFont val="EYInterstate"/>
        <family val="0"/>
        <charset val="1"/>
      </rPr>
      <t xml:space="preserve">Technology:
</t>
    </r>
    <r>
      <rPr>
        <sz val="10"/>
        <color theme="1"/>
        <rFont val="EYInterstate"/>
        <family val="0"/>
        <charset val="1"/>
      </rPr>
      <t xml:space="preserve">Digital Engineering, Product, Data &amp; Analytics, Digital Health Solutions
Source:
https://www.linkedin.com/company/bupa-capability-centre-india/</t>
    </r>
  </si>
  <si>
    <t xml:space="preserve">201–500
Source:
https://www.linkedin.com/company/bupa-capability-centre-india/</t>
  </si>
  <si>
    <t xml:space="preserve">Since 1947
9 may 2025 - GCC</t>
  </si>
  <si>
    <t xml:space="preserve">Chris Carroll (BUPA Capability centre )</t>
  </si>
  <si>
    <t xml:space="preserve">NA </t>
  </si>
  <si>
    <r>
      <rPr>
        <b val="true"/>
        <sz val="10"/>
        <color rgb="FF00008B"/>
        <rFont val="EYInterstate"/>
        <family val="0"/>
        <charset val="1"/>
      </rPr>
      <t xml:space="preserve">[Oct'26 verified additions]
</t>
    </r>
    <r>
      <rPr>
        <sz val="10"/>
        <color rgb="FF00008B"/>
        <rFont val="EYInterstate"/>
        <family val="0"/>
        <charset val="1"/>
      </rPr>
      <t xml:space="preserve">
(May 2025) Bupa Capability Centre Private Limited was incorporated in Gurugram (CIN U70200HR2025FTC131860, registered office 12th Floor, Good Earth Trade Tower, Sector 62) as Bupa's India GCC.
https://www.instafinancials.com/company/bupa-capability-centre-private-limited-U70200HR2025FTC131860
(2025-26) BCC India is positioned as a technology/digital hub: it brings together engineering, product, data and operations teams for the UK, India and APAC, building digital health solutions using AI, machine learning and cloud computing.
https://careers.bupa.co.uk/bupa-capability-centre-india
(2025-26) Bupa says the Gurugram GCC was established to create a world-class experience for customers and employees, re-engineering processes with automation and AI, and is actively hiring senior engineering roles (e.g. Engineering Manager, Gurugram).
https://careers.bupa.co.uk/bupa-capability-centre</t>
    </r>
  </si>
  <si>
    <r>
      <rPr>
        <b val="true"/>
        <sz val="10"/>
        <color rgb="FF00008B"/>
        <rFont val="EYInterstate"/>
        <family val="0"/>
        <charset val="1"/>
      </rPr>
      <t xml:space="preserve">[Oct'26 verified additions]
</t>
    </r>
    <r>
      <rPr>
        <sz val="10"/>
        <color rgb="FF00008B"/>
        <rFont val="EYInterstate"/>
        <family val="0"/>
        <charset val="1"/>
      </rPr>
      <t xml:space="preserve">
(2025-26) BCC India is hiring finance roles for group accounting: a Finance Specialist 2 posting in Gurugram covers month-, quarter- and year-end close under IFRS/local GAAP and preparation of Group reporting packages (P&amp;L, balance sheet, cash flow, management reports).
https://careers.bupa.co.uk/search-jobs/bupa-capability-centre-india/gurugram/finance-specialist-2/R1225113</t>
    </r>
  </si>
  <si>
    <r>
      <rPr>
        <b val="true"/>
        <sz val="10"/>
        <color rgb="FF00008B"/>
        <rFont val="EYInterstate"/>
        <family val="0"/>
        <charset val="1"/>
      </rPr>
      <t xml:space="preserve">[Oct'26 verified additions]
</t>
    </r>
    <r>
      <rPr>
        <sz val="10"/>
        <color rgb="FF00008B"/>
        <rFont val="EYInterstate"/>
        <family val="0"/>
        <charset val="1"/>
      </rPr>
      <t xml:space="preserve">
(2025-26) Beyond engineering, BCC India houses operations teams that support Bupa colleagues and customers across the UK, India and APAC (operations / global service delivery); no specific claims or customer-service programme has been publicly detailed.
https://careers.bupa.co.uk/bupa-capability-centre-india</t>
    </r>
  </si>
  <si>
    <t xml:space="preserve">[Oct'26] No publicly verified information found (auditor searched: Bupa Capability Centre India finance / internal audit / accounting roles Gurugram 2026 - no internal audit role surfaced).</t>
  </si>
  <si>
    <r>
      <rPr>
        <sz val="10"/>
        <rFont val="EYInterstate"/>
        <family val="0"/>
        <charset val="1"/>
      </rPr>
      <t xml:space="preserve">1.Through Bupa CareConnect, the company signed 11 workplace healthcare agreements at the Global Health Exhibition 2025, reinforcing its move into preventive and employer healthcare services in the Middle East.
2.Bupa invested via the Bupa Ventures Fund, allocating ~$2.2 million to health‑tech startups focused on preventive care and digital health solutions.
3.Bupa Australia agreed to repay millions to members after inaccurately rejected claims, part of a settlement with the Australian Competition and Consumer Commission (ACCC) — highlighting regulatory and service quality risks.
4.Bupa Establishes India GCC as an AI‑ and Digital‑First Capability Hub to Bypass Global Talent Constraints. Formal Incorporation and Rapid Scale‑Up of Bupa Capability Centre India in Gurugram
Sidharth Gupta appointed Head – Talent Acquisition &amp; Employer Branding (APAC &amp; UK) for Bupa Global Capability Centre, based in Gurugram
</t>
    </r>
    <r>
      <rPr>
        <sz val="10"/>
        <color theme="6"/>
        <rFont val="EYInterstate"/>
        <family val="0"/>
        <charset val="1"/>
      </rPr>
      <t xml:space="preserve">5.Bupa has agreed to acquire Partnered Health Group and its network of integrated healthcare services as part of its goal to improve access to high-quality healthcare and support Australia’s health system.</t>
    </r>
  </si>
  <si>
    <t xml:space="preserve">https://www.itij.com/latest/news/bupa-careconnect-signs-11-new-workplace-healthcare-agreements-global-health-exhibition?utm_source=chatgpt.com
https://www.insurancebusinessmag.com/au/news/environmental/bupa-targets-preventative-healthcare-through-startup-investments-532873.aspx?utm_source=chatgpt.com
https://www.abc.net.au/news/2025-06-30/srt-accc-takes-bupa-to-court-for-unconscionable-conduct/105476068?utm_source=chatgpt.com
https://economictimes.indiatimes.com/tech/artificial-intelligence/multinationals-set-up-gccs-in-india-to-bypass-ai-talent-war-ft-report/articleshow/122834748.cms
https://www.falconebiz.com/company/BUPA-CAPABILITY-CENTRE-PRIVATE-LIMITED-U70200HR2025FTC131860
https://hrtoday.in/bupa-global-capability-centre-appoints-sidharth-gupta-as-head-talent-acquisition-employer-branding-apac-uk/
https://media.bupa.com.au/bupa-to-acquire-partnered-health-group/</t>
  </si>
  <si>
    <t xml:space="preserve">Bupa Capability Centre - India Bupa Careers</t>
  </si>
  <si>
    <t xml:space="preserve">not disclosed for gcc 
James Lenton (Group CFO)
https://www.bing.com/search?pglt=163&amp;q=CFO+of+the+BUPA+CAPABILITY+CENTRE+INDIA+PVT+LTD+is+James+Lenton&amp;cvid=b7cfe385fbfa430a864835ceba24987a&amp;gs_lcrp=EgRlZGdlKgYIABBFGDkyBggAEEUYOTIICAEQ6QcY_FXSAQkzMTM4NmowajeoAgCwAgA&amp;FORM=ANNAB1&amp;PC=U531</t>
  </si>
  <si>
    <t xml:space="preserve">Chris Carroll</t>
  </si>
  <si>
    <t xml:space="preserve">1. Only GCC name kept
2.  India head changed.
https://www.bupa.com/news-and-press/press-releases/2025/bupa-appoints-chris-carroll-chief-executive-officer-bupa-global-india-uk</t>
  </si>
  <si>
    <t xml:space="preserve">Cigna Health Solutions India - GCC
Evernorth Health Services India
(The Cigna Group)</t>
  </si>
  <si>
    <t xml:space="preserve">Cigna Health Solutions India Pvt. Ltd. (Bengaluru) and Evernorth Health Services India (Hyderabad)
Source:
https://jobs.thecignagroup.com/us/en/evernorth-india
https://www.businessofgcc.com/gcc-data/companies/the-cigna-group-india-bengaluru</t>
  </si>
  <si>
    <r>
      <rPr>
        <sz val="10"/>
        <color theme="1"/>
        <rFont val="EYInterstate"/>
        <family val="0"/>
        <charset val="1"/>
      </rPr>
      <t xml:space="preserve">Cigna Health Solutions India / Evernorth Health Services India
</t>
    </r>
    <r>
      <rPr>
        <b val="true"/>
        <sz val="10"/>
        <color theme="1"/>
        <rFont val="EYInterstate"/>
        <family val="0"/>
        <charset val="1"/>
      </rPr>
      <t xml:space="preserve">Finance:
</t>
    </r>
    <r>
      <rPr>
        <sz val="10"/>
        <color theme="1"/>
        <rFont val="EYInterstate"/>
        <family val="0"/>
        <charset val="1"/>
      </rPr>
      <t xml:space="preserve">Financial Analysis, Accounting, Reporting, Cash Management
</t>
    </r>
    <r>
      <rPr>
        <b val="true"/>
        <sz val="10"/>
        <color theme="1"/>
        <rFont val="EYInterstate"/>
        <family val="0"/>
        <charset val="1"/>
      </rPr>
      <t xml:space="preserve">Operations:
</t>
    </r>
    <r>
      <rPr>
        <sz val="10"/>
        <color theme="1"/>
        <rFont val="EYInterstate"/>
        <family val="0"/>
        <charset val="1"/>
      </rPr>
      <t xml:space="preserve">Healthcare Operations, Claims, Benefits, PBM, International Health Support
</t>
    </r>
    <r>
      <rPr>
        <b val="true"/>
        <sz val="10"/>
        <color theme="1"/>
        <rFont val="EYInterstate"/>
        <family val="0"/>
        <charset val="1"/>
      </rPr>
      <t xml:space="preserve">Technology:
</t>
    </r>
    <r>
      <rPr>
        <sz val="10"/>
        <color theme="1"/>
        <rFont val="EYInterstate"/>
        <family val="0"/>
        <charset val="1"/>
      </rPr>
      <t xml:space="preserve">Software Engineering, AI/GenAI, Analytics, Cybersecurity, Digital Health Platforms
</t>
    </r>
    <r>
      <rPr>
        <b val="true"/>
        <sz val="10"/>
        <color theme="1"/>
        <rFont val="EYInterstate"/>
        <family val="0"/>
        <charset val="1"/>
      </rPr>
      <t xml:space="preserve">Source:
</t>
    </r>
    <r>
      <rPr>
        <sz val="10"/>
        <color theme="1"/>
        <rFont val="EYInterstate"/>
        <family val="0"/>
        <charset val="1"/>
      </rPr>
      <t xml:space="preserve">https://www.thehindu.com/news/cities/Hyderabad/cigna-group-arm-evernorth-opens-global-capability-centre-in-hyderabad-plans-to-ramp-up-hiring/article68886292.ece</t>
    </r>
  </si>
  <si>
    <r>
      <rPr>
        <b val="true"/>
        <sz val="10"/>
        <color theme="1"/>
        <rFont val="EYInterstate"/>
        <family val="0"/>
        <charset val="1"/>
      </rPr>
      <t xml:space="preserve">Hyderabad (Evernorth Innovation Hub):
</t>
    </r>
    <r>
      <rPr>
        <sz val="10"/>
        <color theme="1"/>
        <rFont val="EYInterstate"/>
        <family val="0"/>
        <charset val="1"/>
      </rPr>
      <t xml:space="preserve">700 employees at launch in 2024; expanded to 1,000+ employees
</t>
    </r>
    <r>
      <rPr>
        <b val="true"/>
        <sz val="10"/>
        <color theme="1"/>
        <rFont val="EYInterstate"/>
        <family val="0"/>
        <charset val="1"/>
      </rPr>
      <t xml:space="preserve">Combined India GCC (Bengaluru + Hyderabad)
</t>
    </r>
    <r>
      <rPr>
        <sz val="10"/>
        <color theme="1"/>
        <rFont val="EYInterstate"/>
        <family val="0"/>
        <charset val="1"/>
      </rPr>
      <t xml:space="preserve">3,000+ professionals across technology, analytics, and operations
</t>
    </r>
    <r>
      <rPr>
        <b val="true"/>
        <sz val="10"/>
        <color theme="1"/>
        <rFont val="EYInterstate"/>
        <family val="0"/>
        <charset val="1"/>
      </rPr>
      <t xml:space="preserve">Source:
</t>
    </r>
    <r>
      <rPr>
        <sz val="10"/>
        <color theme="1"/>
        <rFont val="EYInterstate"/>
        <family val="0"/>
        <charset val="1"/>
      </rPr>
      <t xml:space="preserve">https://www.newindianexpress.com/cities/hyderabad/2024/Nov/20/us-health-firm-launches-global-capability-centre-in-hyderabad
https://www.thehindu.com/news/cities/Hyderabad/cigna-group-arm-evernorth-opens-global-capability-centre-in-hyderabad-plans-to-ramp-up-hiring/article68886292.ece
https://www.businessofgcc.com/gcc-data/companies/the-cigna-group-india-bengaluru</t>
    </r>
  </si>
  <si>
    <t xml:space="preserve">72000 +
72500</t>
  </si>
  <si>
    <t xml:space="preserve">~4000 - 5000</t>
  </si>
  <si>
    <t xml:space="preserve">Since 1982
Feb 2011</t>
  </si>
  <si>
    <r>
      <rPr>
        <sz val="10"/>
        <color theme="6"/>
        <rFont val="EYInterstate"/>
        <family val="0"/>
        <charset val="1"/>
      </rPr>
      <t xml:space="preserve">Brian Evanco (1st Jul'2026)
</t>
    </r>
    <r>
      <rPr>
        <sz val="10"/>
        <rFont val="EYInterstate"/>
        <family val="0"/>
        <charset val="1"/>
      </rPr>
      <t xml:space="preserve">David Cordani (The Cigna Group)
Mr. Sandeep Patel ( Cigna health solutions india - gcc)</t>
    </r>
  </si>
  <si>
    <t xml:space="preserve">1. GCSP Approval
2. Consultation required</t>
  </si>
  <si>
    <r>
      <rPr>
        <b val="true"/>
        <sz val="10"/>
        <color rgb="FF00008B"/>
        <rFont val="EYInterstate"/>
        <family val="0"/>
        <charset val="1"/>
      </rPr>
      <t xml:space="preserve">[Oct'26 verified additions]
</t>
    </r>
    <r>
      <rPr>
        <sz val="10"/>
        <color rgb="FF00008B"/>
        <rFont val="EYInterstate"/>
        <family val="0"/>
        <charset val="1"/>
      </rPr>
      <t xml:space="preserve">
(Nov 2024) Evernorth opened its Hyderabad GCC (Evernorth Health Services India), its first and largest innovation hub outside the US, with floors focused on emerging-technology roles such as data analytics, AI, cybersecurity and DevOps; headcount was ~700 with a target of 1,000 by April 2025.
https://www.projectstoday.com/News/Evernorth-Health-Services-expands-presence-in-Hyderabad-GCC-inaugurated
(2025) The Hyderabad hub continues to recruit AI/ML and engineering talent (e.g. Machine Learning Analyst and Software Engineering Lead Analyst postings for 'HIH - Evernorth'), alongside software engineering, data analytics and US-healthcare expertise.
https://builtin.com/job/machine-learning-analyst-hih-evernorth/6849277
(2024-25) Evernorth's HR leadership describes the Hyderabad GCC as a workforce-of-the-future site, recruiting for software engineering, data analytics and US healthcare systems and partnering with local educational institutions.
https://www.hrkatha.com/features/how-evernorth-is-building-a-workforce-for-the-future-at-its-hyderabad-gcc/</t>
    </r>
  </si>
  <si>
    <r>
      <rPr>
        <b val="true"/>
        <sz val="10"/>
        <color rgb="FF00008B"/>
        <rFont val="EYInterstate"/>
        <family val="0"/>
        <charset val="1"/>
      </rPr>
      <t xml:space="preserve">[Oct'26 verified additions]
</t>
    </r>
    <r>
      <rPr>
        <sz val="10"/>
        <color rgb="FF00008B"/>
        <rFont val="EYInterstate"/>
        <family val="0"/>
        <charset val="1"/>
      </rPr>
      <t xml:space="preserve">
(2025-26) The Hyderabad Innovation Hub hosts finance roles: postings include 'HIH - Financial Analysis Lead Analyst' (modelling, trending and forecasting; Tableau), 'Business Finance Lead Analyst - Finance Data Ops' and 'HIH - Accounting Advisor', indicating a finance/FP&amp;A and accounting footprint at the GCC.
https://www.talentmate.com/jobs/india/greater-hyderabad-area/hih-financial-analysis-lead-analyst/2607-2340-174</t>
    </r>
  </si>
  <si>
    <r>
      <rPr>
        <b val="true"/>
        <sz val="10"/>
        <color rgb="FF00008B"/>
        <rFont val="EYInterstate"/>
        <family val="0"/>
        <charset val="1"/>
      </rPr>
      <t xml:space="preserve">[Oct'26 verified additions]
</t>
    </r>
    <r>
      <rPr>
        <sz val="10"/>
        <color rgb="FF00008B"/>
        <rFont val="EYInterstate"/>
        <family val="0"/>
        <charset val="1"/>
      </rPr>
      <t xml:space="preserve">
(Nov 2024) The Hyderabad GCC supports Evernorth's pharmacy benefits management (PBM), care and benefits operations in addition to technology; it was inaugurated by Telangana IT Minister Sridhar Babu on 19 Nov 2024.
https://www.digitalhealthnews.com/cigna-s-evernorth-launches-first-global-innovation-hub-in-hyderabad
(Jul 2026) Prashanti Bodugum, Head of Evernorth Health Services India, spoke at GCCX Hyderabad 2026 on leadership and transformation of the GCC (weak source: LinkedIn post).
https://www.linkedin.com/in/ashwani-agarwal-0214976/</t>
    </r>
  </si>
  <si>
    <t xml:space="preserve">[Oct'26] No publicly verified information found (researcher searched: Evernorth India GCC 2026 news; Evernorth Hyderabad expansion finance operations; auditor's finance search surfaced no internal audit/SOX roles).</t>
  </si>
  <si>
    <r>
      <rPr>
        <sz val="10"/>
        <rFont val="EYInterstate"/>
        <family val="0"/>
        <charset val="1"/>
      </rPr>
      <t xml:space="preserve">1.Cigna Healthcare Unveils Industry-Leading AI-Powered Digital Tools for a Simple and Reliable Customer Experience (12 June 2025)
2.At the ETGCCWorld GCC Growth Summit 2026, senior leaders from Evernorth.
3.Cigna Group Scales India as a Core Global Technology &amp; AI Hub Through Evernorth and Cigna Health Solutions. Cigna Group launches and scales Evernorth Health Services India as its largest GCC outside the US, while explicitly acknowledging CHSI (Bengaluru) as an existing centre of excellence
</t>
    </r>
    <r>
      <rPr>
        <sz val="10"/>
        <color theme="6"/>
        <rFont val="EYInterstate"/>
        <family val="0"/>
        <charset val="1"/>
      </rPr>
      <t xml:space="preserve">4.Evernorth Launches Pharmacy Forward: A Simpler, Faster Specialty Pharmacy Experience for Patients Managing Complex Conditions
</t>
    </r>
    <r>
      <rPr>
        <sz val="10"/>
        <rFont val="EYInterstate"/>
        <family val="0"/>
        <charset val="1"/>
      </rPr>
      <t xml:space="preserve">
</t>
    </r>
    <r>
      <rPr>
        <sz val="10"/>
        <color theme="6"/>
        <rFont val="EYInterstate"/>
        <family val="0"/>
        <charset val="1"/>
      </rPr>
      <t xml:space="preserve">5.Brian Evanko became CEO of The Cigna Group on 1 July 2026, succeeding long-time CEO David Cordani</t>
    </r>
  </si>
  <si>
    <t xml:space="preserve">Press Releases | Cigna Healthcare Newsroom | Cigna Newsroom
https://gcc.economictimes.indiatimes.com/news/gccs-revolutionize-enterprise-value-creation-with-ai-innovation/129902916
https://jobs.thecignagroup.com/us/en/evernorth-india
https://www.expresscomputer.in/exclusives/our-hyderabad-hub-now-drive-end-to-end-delivery-not-just-an-offshore-unit-for-cigna-yadhu-kishore-nandikolla-evernorth-health-services-india/126501/
https://marketchameleon.com/Overview/CI/PressReleases/
https://providernewsroom.com/cigna-healthcare/the-cigna-group-appoints-brian-evanko-chief-executive-officer/</t>
  </si>
  <si>
    <t xml:space="preserve">Cigna Health Solutions India | A Cigna Healthcare Company
https://www.zaubacorp.com/CIGNA-HEALTH-SOLUTIONS-INDIA-PRIVATE-LIMITED-U93090MH2011FTC213985
https://www.cignainternational.com/chsi/our-story
https://www.zaubacorp.com/RAMKUMAR-VENKATACHALAM-08260871
https://www.cignainternational.com/chsi/our-story
</t>
  </si>
  <si>
    <t xml:space="preserve">Matthew Lynch (the cigna group) 
https://www.linkedin.com/in/matthew-lynch-ct</t>
  </si>
  <si>
    <t xml:space="preserve">Rupa Subramanian (Cigna health solution india - gcc) 
https://in.linkedin.com/in/rupa-subramanian-68588436</t>
  </si>
  <si>
    <t xml:space="preserve">Prashanti Bodugum</t>
  </si>
  <si>
    <t xml:space="preserve">India head changed.
https://www.mediainfoline.com/movement/evernorth-appoints-prashanti-bodugum-as-new-head-of-hyderabad-innovation-hub</t>
  </si>
  <si>
    <t xml:space="preserve">Dai‑ichi Life Group Global Capability Center (GCC)</t>
  </si>
  <si>
    <t xml:space="preserve">Hyderabad
Source:
https://timesofindia.indiatimes.com/city/hyderabad/dai-ichi-lifes-first-ever-gcc-outside-japan-set-up-in-hyderabad/articleshow/122775858.cms
https://timesofindia.indiatimes.com/city/hyderabad/dai-ichi-life-opens-new-gcc-in-hyd-plans-to-hire-600-techies/articleshow/122771227.cms</t>
  </si>
  <si>
    <r>
      <rPr>
        <sz val="10"/>
        <color theme="1"/>
        <rFont val="EYInterstate"/>
        <family val="0"/>
        <charset val="1"/>
      </rPr>
      <t xml:space="preserve">The India GCC was established in 2025 and is currently technology-focused.
</t>
    </r>
    <r>
      <rPr>
        <b val="true"/>
        <sz val="10"/>
        <color theme="1"/>
        <rFont val="EYInterstate"/>
        <family val="0"/>
        <charset val="1"/>
      </rPr>
      <t xml:space="preserve">Finance:
</t>
    </r>
    <r>
      <rPr>
        <sz val="10"/>
        <color theme="1"/>
        <rFont val="EYInterstate"/>
        <family val="0"/>
        <charset val="1"/>
      </rPr>
      <t xml:space="preserve">Not publicly disclosed
</t>
    </r>
    <r>
      <rPr>
        <b val="true"/>
        <sz val="10"/>
        <color theme="1"/>
        <rFont val="EYInterstate"/>
        <family val="0"/>
        <charset val="1"/>
      </rPr>
      <t xml:space="preserve">Operations:
</t>
    </r>
    <r>
      <rPr>
        <sz val="10"/>
        <color theme="1"/>
        <rFont val="EYInterstate"/>
        <family val="0"/>
        <charset val="1"/>
      </rPr>
      <t xml:space="preserve">Customer Experience, Underwriting Support, Operational Efficiency
</t>
    </r>
    <r>
      <rPr>
        <b val="true"/>
        <sz val="10"/>
        <color theme="1"/>
        <rFont val="EYInterstate"/>
        <family val="0"/>
        <charset val="1"/>
      </rPr>
      <t xml:space="preserve">Technology:
</t>
    </r>
    <r>
      <rPr>
        <sz val="10"/>
        <color theme="1"/>
        <rFont val="EYInterstate"/>
        <family val="0"/>
        <charset val="1"/>
      </rPr>
      <t xml:space="preserve">Software Development, AI &amp; Data, Cybersecurity, Infrastructure Modernization, Digital Transformation
Source:
https://www.capgemini.com/news/press-releases/dai-ichi-life-group-and-capgemini-sign-multi-year-agreement-to-establish-a-global-capability-center-in-india-to-drive-international-digital-transformation/
https://www.daiichilife-group.com/en/investor/news/assets/pdf/2025_index_013.pdf
https://timesofindia.indiatimes.com/city/hyderabad/dai-ichi-life-opens-new-gcc-in-hyd-plans-to-hire-600-techies/articleshow/122771227.cms
https://www.capgemini.com/news/press-releases/dai-ichi-life-group-and-capgemini-sign-multi-year-agreement-to-establish-a-global-capability-center-in-india-to-drive-international-digital-transformation/
https://timesofindia.indiatimes.com/city/hyderabad/dai-ichi-life-opens-new-gcc-in-hyd-plans-to-hire-600-techies/articleshow/122771227.cms</t>
    </r>
  </si>
  <si>
    <t xml:space="preserve">The GCC launched with around 50–60 employees and has publicly announced plans to scale to 500–600 employees
Source:
https://timesofindia.indiatimes.com/city/hyderabad/dai-ichi-lifes-first-ever-gcc-outside-japan-set-up-in-hyderabad/articleshow/122775858.cms
https://timesofindia.indiatimes.com/city/hyderabad/dai-ichi-life-opens-new-gcc-in-hyd-plans-to-hire-600-techies/articleshow/122771227.cms
https://www.thehindubusinessline.com/money-and-banking/dai-ichi-life-to-expand-india-gcc-to-600-employees-taps-local-tech-talent/article69815511.ece</t>
  </si>
  <si>
    <t xml:space="preserve">Abhay Tewari</t>
  </si>
  <si>
    <r>
      <rPr>
        <b val="true"/>
        <sz val="10"/>
        <color rgb="FF00008B"/>
        <rFont val="EYInterstate"/>
        <family val="0"/>
        <charset val="1"/>
      </rPr>
      <t xml:space="preserve">[Oct'26 verified additions]
</t>
    </r>
    <r>
      <rPr>
        <sz val="10"/>
        <color rgb="FF00008B"/>
        <rFont val="EYInterstate"/>
        <family val="0"/>
        <charset val="1"/>
      </rPr>
      <t xml:space="preserve">
(Jun 2025) Dai-ichi Life Holdings and Capgemini signed a multi-year agreement to establish a GCC in India under a Build-Operate-Transfer model, covering advanced software development, infrastructure modernisation, AI &amp; data solutions and cybersecurity, initially serving Japan, the US and Australia.
https://www.capgemini.com/news/press-releases/dai-ichi-life-group-and-capgemini-sign-multi-year-agreement-to-establish-a-global-capability-center-in-india-to-drive-international-digital-transformation/
(2025) The GCC launched in Hyderabad in 2025 as Dai-ichi Life's first GCC outside Japan, operated initially by Capgemini under the BOT model; a trade blog (gccrise.com) reports a plan to scale from ~50-60 to ~600 technology employees by 2027 (single-source figure, not independently confirmed). Group CIO/CDO Stephen Barnham leads the digital agenda.
https://gccrise.com/dai-ichi-life-to-expand-india-gcc-to-600-employees-partners-with-capgemini-to-bridge-cultures/
(Jun 2025) Trade and business press characterise the centre as Dai-ichi Life's global tech hub to strengthen in-house digital capabilities and technology platforms.
https://www.insurancebusinessmag.com/asia/news/technology/daiichi-life-sets-up-global-tech-hub-in-india-538626.aspx</t>
    </r>
  </si>
  <si>
    <t xml:space="preserve">[Oct'26] No publicly verified information found (auditor searched: Dai-ichi Life global capability center India 2026 customer experience OR underwriting OR finance - only the Capgemini release returned).</t>
  </si>
  <si>
    <t xml:space="preserve">[Oct'26] No publicly verified information found; team's col E claims (Customer Experience, Underwriting Support) not located by researcher or auditor; all sources describe an IT/digital-only mandate.</t>
  </si>
  <si>
    <t xml:space="preserve">[Oct'26] No publicly verified information found (researcher and auditor searches).</t>
  </si>
  <si>
    <r>
      <rPr>
        <sz val="10"/>
        <rFont val="EYInterstate"/>
        <family val="0"/>
        <charset val="1"/>
      </rPr>
      <t xml:space="preserve">1.Dai-ichi Life Group and Capgemini sign multi-year agreement to establish a Global Capability Center in India to drive international digital transformation (Build‑Operate‑Transfer (BOT) with Capgemini)
2.Dai-Ichi Life to expand India GCC to 600 employees, taps local tech talent
</t>
    </r>
    <r>
      <rPr>
        <sz val="10"/>
        <color theme="6"/>
        <rFont val="EYInterstate"/>
        <family val="0"/>
        <charset val="1"/>
      </rPr>
      <t xml:space="preserve">3.Daiichi Life Group, Inc. (the “Company”; President and Group CEO: Tetsuya Kikuta) hereby announces 
that, in connection with the asset-backed finance (“ABF”) strategy promoted by Canyon Partners 
(“Canyon”), an affiliate of the Company, it has participated as an anchor investor, together with Canyon’s 
management team and Korea Investment Holdings, in the ABF platform newly launched by Canyon (the 
“ABF Platform”).</t>
    </r>
  </si>
  <si>
    <t xml:space="preserve">https://upstox.com/news/business-news/latest-updates/star-union-life-quantum-street-ai-partner-to-launch-ai-led-investment-products/article-118564/?utm_source=chatgpt.com
https://www.expresscomputer.in/news/star-union-dai-ichi-life-insurances-ai-voice-bot-push-signals-a-larger-shift-in-insurance-cx-playbooks/134259/
https://www.sudlife.in/key-management-persons
https://www.capgemini.com/news/press-releases/dai-ichi-life-group-and-capgemini-sign-multi-year-agreement-to-establish-a-global-capability-center-in-india-to-drive-international-digital-transformation/
https://www.thehindubusinessline.com/money-and-banking/dai-ichi-life-to-expand-india-gcc-to-600-employees-taps-local-tech-talent/article69815511.ece
https://www.daiichilife-group.com/en/news/assets/pdf/2026_index_015.pdf</t>
  </si>
  <si>
    <t xml:space="preserve">G Saikumar</t>
  </si>
  <si>
    <t xml:space="preserve">Masato Negishi</t>
  </si>
  <si>
    <t xml:space="preserve">G. Saikumar</t>
  </si>
  <si>
    <t xml:space="preserve">Factory Mutual (FM) Bengaluru innovation capability centre</t>
  </si>
  <si>
    <t xml:space="preserve">Divyanshu</t>
  </si>
  <si>
    <t xml:space="preserve">Technology, artificial intelligence capabilities, enhance client risk engineering services.
https://www.fm.com/Newsroom/news/2025/fm-expands-footprint-in-india-with-new-innovative-centre-in-bengaluru2</t>
  </si>
  <si>
    <t xml:space="preserve">Info Not available for India GCC</t>
  </si>
  <si>
    <t xml:space="preserve">Since 2022</t>
  </si>
  <si>
    <t xml:space="preserve">Sumit Khanna</t>
  </si>
  <si>
    <r>
      <rPr>
        <sz val="10"/>
        <rFont val="EYInterstate"/>
        <family val="0"/>
        <charset val="1"/>
      </rPr>
      <t xml:space="preserve">1. FM leased approximately 220,000 sq. ft. at Bhartiya Centre for Information Technology in Bengaluru and was reportedly exploring a similar-sized future commitment (Aug 2026).
https://economictimes.indiatimes.com/industry/services/property-/-cstruction/fm-leases-220000-sq-ft-office-space-at-bhartiya-centre-in-bengaluru/articleshow/133145325.cms
2. The Bengaluru Centre of Excellence was established to expand FM’s artificial intelligence, scientific research and data-driven risk-management capabilities (Jul 2025)
https://www.fm.com/Newsroom/news/2025/fm-expands-footprint-in-india-with-new-innovative-centre-in-bengaluru
</t>
    </r>
    <r>
      <rPr>
        <b val="true"/>
        <sz val="10"/>
        <color rgb="FF00008B"/>
        <rFont val="EYInterstate"/>
        <family val="0"/>
        <charset val="1"/>
      </rPr>
      <t xml:space="preserve">
[Oct'26 verified additions]
</t>
    </r>
    <r>
      <rPr>
        <sz val="10"/>
        <color rgb="FF00008B"/>
        <rFont val="EYInterstate"/>
        <family val="0"/>
        <charset val="1"/>
      </rPr>
      <t xml:space="preserve">
(Jan 2026) FM described its recently opened Bengaluru global capability centre as a hub for research, analytics and engineering excellence when announcing its new Mumbai office.
https://www.fm.com/newsroom/news/2026/fm-strengthens-india-commitment-with-opening-of-mumbai-office
(Aug 2026) FM signed a ~2.2 lakh sq ft lease at Bhartiya Centre for Information Technology, north Bengaluru, and is in discussions for a similar quantum of additional space for future expansion.
https://constrofacilitator.com/fm-signs-2-2-lakh-sq-ft-office-lease-in-bengaluru/
(Jul 2025) FM announced (17 Jul 2025) a Bengaluru centre of excellence - billed in trade press as its biggest innovation centre outside the US - to augment science and AI capabilities, with operations anticipated to commence October 2025; by Jan 2026 FM described it as 'recently opened'.
https://www.fm.com/newsroom/news/2025/fm-expands-footprint-in-india-with-new-innovative-centre-in-bengaluru</t>
    </r>
  </si>
  <si>
    <r>
      <rPr>
        <sz val="10"/>
        <rFont val="EYInterstate"/>
        <family val="0"/>
        <charset val="1"/>
      </rPr>
      <t xml:space="preserve">No publicly verified info available
</t>
    </r>
    <r>
      <rPr>
        <sz val="10"/>
        <color rgb="FF00008B"/>
        <rFont val="EYInterstate"/>
        <family val="0"/>
        <charset val="1"/>
      </rPr>
      <t xml:space="preserve">[Oct'26 re-check: agreed, nothing public found]</t>
    </r>
  </si>
  <si>
    <r>
      <rPr>
        <sz val="10"/>
        <rFont val="EYInterstate"/>
        <family val="0"/>
        <charset val="1"/>
      </rPr>
      <t xml:space="preserve">1. The Bengaluru centre was created to enhance client risk-engineering services and develop science-based solutions supporting risk mitigation and business resilience (Jul 2025)
https://www.fm.com/Newsroom/news/2025/fm-expands-footprint-in-india-with-new-innovative-centre-in-bengaluru
2. FM announced a Bengaluru Client Experience Centre for training and demonstrations of its research, risk-mitigation and loss-prevention capabilities (Jul 2025)
https://www.fm.com/Newsroom/news/2025/fm-expands-footprint-in-india-with-new-innovative-centre-in-bengaluru
</t>
    </r>
    <r>
      <rPr>
        <b val="true"/>
        <sz val="10"/>
        <color rgb="FF00008B"/>
        <rFont val="EYInterstate"/>
        <family val="0"/>
        <charset val="1"/>
      </rPr>
      <t xml:space="preserve">
[Oct'26 verified additions]
</t>
    </r>
    <r>
      <rPr>
        <sz val="10"/>
        <color rgb="FF00008B"/>
        <rFont val="EYInterstate"/>
        <family val="0"/>
        <charset val="1"/>
      </rPr>
      <t xml:space="preserve">
(Jan 2026) FM opened a reinsurance sales office in Mumbai (FMIC Mumbai; ribbon-cutting 16 Jan, announced 19 Jan 2026), complementing the Bengaluru centre, to work with brokers, partners and clients in India's financial capital.
https://www.fm.com/newsroom/news/2026/fm-strengthens-india-commitment-with-opening-of-mumbai-office
(Jan 2026) FM appointed Srini Krishnamurthy as Senior Vice President, FM India (Bengaluru-based, reporting to COO Randy Hodge) to execute FM India's multi-year vision, with plans to increase Indian headcount across a variety of roles.
https://www.fm.com/newsroom/news/2026/fm-strengthens-india-commitment-with-opening-of-mumbai-office</t>
    </r>
  </si>
  <si>
    <t xml:space="preserve">1.FM Global has announced the opening of a new Centre of Excellence in Bengaluru, aiming to enhance its science and AI capabilities, improve client risk engineering services, and support regional growth. The facility will also feature a client experience centre for training and collaboration. Additionally, FM plans to open a sales office in Mumbai to strengthen its presence in India's financial capital
2. FM has integrated AI into claims workflows, achieving nearly 50% reduction in time from loss reporting to payment on smaller claims
Tools include:
FM Portal (digital platform for claims, engineering &amp; underwriting data)
AI‑assisted fast‑track claims automation (with human‑in‑the‑loop controls)
Focus is on efficiency, accuracy, and informed decision‑making, not pure automation
3.FM Expands Footprint in India with New, Innovative Centre in Bengaluru
ICC strengthens FM’s engineering‑backed risk mitigation strategy by concentrating risk consultants, data scientists, engineers, and software developers in one hub—reinforcing FM’s long‑term pivot toward science‑led insurance.</t>
  </si>
  <si>
    <t xml:space="preserve">FM Expands Footprint in India with New, Innovative Centre in Bengaluru | FM (US)
https://www.claimsjournal.com/news/national/2026/02/02/335326.htm
https://economictimes.indiatimes.com/industry/services/property-/-cstruction/fm-to-set-up-largest-office-outside-us-in-bengaluru/articleshow/122736584.cms
https://newsroom.fmglobal.com/releases/fm-expands-footprint-in-india-with-new-innovative-centre-in-bengaluru</t>
  </si>
  <si>
    <t xml:space="preserve">Srini Krishnamurthy</t>
  </si>
  <si>
    <t xml:space="preserve">1. Only GCC name kept
2. India head mentioned:
https://newsroom.fmglobal.com/releases/fm-expands-footprint-in-india-with-new-innovative-centre-in-bengaluru</t>
  </si>
  <si>
    <t xml:space="preserve">First American (India) Private Limited - India GCC</t>
  </si>
  <si>
    <t xml:space="preserve">Bengaluru, Hyderabad, and Salem</t>
  </si>
  <si>
    <t xml:space="preserve">FAI delivers Software Development, IT infrastructure, Data &amp; Analytics, back-office, and knowledge-processing operations.
https://in.linkedin.com/company/first-american-india-pvt-ltd#:~:text=With%20campuses%20in%20Bangalore%2C%20Hyderabad,US%2C%20UK%2C%20Australia%20%26%20Canada.
https://www.firstam.co.in/</t>
  </si>
  <si>
    <t xml:space="preserve">4885
https://www.greatplacetowork.in/great/company/first-american-india-pvt-ltd/</t>
  </si>
  <si>
    <t xml:space="preserve">Mark Seaton</t>
  </si>
  <si>
    <r>
      <rPr>
        <sz val="10"/>
        <rFont val="EYInterstate"/>
        <family val="0"/>
        <charset val="1"/>
      </rPr>
      <t xml:space="preserve">1. First American (India) appointed Gautam Mukherjee as Chief Technology Officer, India, to lead technology strategy, enterprise innovation and the GCC’s transformation agenda (Jul 2026)
https://gcc.economictimes.indiatimes.com/news/people-culture/first-american-india-appoints-gautam-mukherjee-as-chief-technology-officer/132679022
</t>
    </r>
    <r>
      <rPr>
        <b val="true"/>
        <sz val="10"/>
        <color rgb="FF00008B"/>
        <rFont val="EYInterstate"/>
        <family val="0"/>
        <charset val="1"/>
      </rPr>
      <t xml:space="preserve">
[Oct'26 verified additions]
</t>
    </r>
    <r>
      <rPr>
        <sz val="10"/>
        <color rgb="FF00008B"/>
        <rFont val="EYInterstate"/>
        <family val="0"/>
        <charset val="1"/>
      </rPr>
      <t xml:space="preserve">
(2026) Gautam Mukherjee, previously SVP Technology at First American India, was elevated to CTO India to lead technology vision, enterprise innovation, engineering/product and digital capabilities for the GCC; his background spans platform engineering, cloud and AI.
https://www.cxodigitalpulse.com/first-american-india-appoints-gautam-mukherjee-as-chief-technology-officer/
(2025-26) FAI positions itself as delivering software development, IT infrastructure and data &amp; analytics from Bengaluru, Hyderabad and Salem for First American's US, UK, Australia and Canada operations.
https://in.linkedin.com/company/first-american-india-pvt-ltd</t>
    </r>
  </si>
  <si>
    <t xml:space="preserve">[Oct'26] No publicly verified information found (researcher searched: First American India 2026 news; First American India GCC Bengaluru Hyderabad Salem AI). Auditor did not run a dedicated finance search (budget) - not_audited.</t>
  </si>
  <si>
    <r>
      <rPr>
        <sz val="10"/>
        <rFont val="EYInterstate"/>
        <family val="0"/>
        <charset val="1"/>
      </rPr>
      <t xml:space="preserve">1. First American (India) combines data and analytics capabilities with software, infrastructure and business operations supporting global title-insurance and mortgage processes.
https://www.firstam.co.in/
</t>
    </r>
    <r>
      <rPr>
        <b val="true"/>
        <sz val="10"/>
        <color rgb="FF00008B"/>
        <rFont val="EYInterstate"/>
        <family val="0"/>
        <charset val="1"/>
      </rPr>
      <t xml:space="preserve">
[Oct'26 verified additions]
</t>
    </r>
    <r>
      <rPr>
        <sz val="10"/>
        <color rgb="FF00008B"/>
        <rFont val="EYInterstate"/>
        <family val="0"/>
        <charset val="1"/>
      </rPr>
      <t xml:space="preserve">
(2025-26) FAI delivers back-office and knowledge-processing operations (title/settlement support) alongside technology; its Great Place to Work profile lists 5,043 India-based employees (GPTW-certified since 2018), up from ~3,948 recorded by Tracxn for Feb 2024.
https://www.greatplacetowork.in/great/company/first-american-india-pvt-ltd</t>
    </r>
  </si>
  <si>
    <r>
      <rPr>
        <strike val="true"/>
        <sz val="10"/>
        <color rgb="FFC00000"/>
        <rFont val="EYInterstate"/>
        <family val="0"/>
        <charset val="1"/>
      </rPr>
      <t xml:space="preserve">1. The India software-services function states that its enterprise implementations support standardisation, audit compliance and required controls across global operations.
https://www.firstam.co.in/software-services/</t>
    </r>
    <r>
      <rPr>
        <i val="true"/>
        <sz val="9"/>
        <color rgb="FFC00000"/>
        <rFont val="EYInterstate"/>
        <family val="0"/>
        <charset val="1"/>
      </rPr>
      <t xml:space="preserve">  [Oct'26 audit: no credible source found – Not found in any search result. Even if the page says this, it describes software features, not an internal audit / SOX / ICFR function in India; recommend replacing with 'No publicly verified information found'.]</t>
    </r>
  </si>
  <si>
    <t xml:space="preserve">1.First American’s title insurance arm has recently drawn attention for its free property title monitoring and fraud alert service for eligible customers — a strategic response to rising real-estate fraud concerns. This trend positions the company as more proactive in fraud mitigation solutions tied to its core title data and insurance assets
2.First American Title Launches AgentNet® Assist Generative AI Tool, Enhancing Productivity for Title Agents
3. India GCC-Employee count-LinkedIn link attached 4390 employees headcount First American (India) Pvt. Ltd. (FAI) employs ~1,001–5,000 professionals across Bengaluru, Hyderabad, and Salem.
4.First American (India) is a Global Capability Center (GCC) of the First American Financial Corporation (US) - a leading provider of title insurance, settlement services and risk solutions for real estate transactions since 1889. First American also provides title plant management, home warranty, and banking, trust &amp; wealth management services. With locations in Bangalore, Hyderabad and Salem, FAI delivers software development, back-office and knowledge-processing operations to support First American’s global operations in US, UK, Australia &amp; Canada.
5.India GCC (FAI) is a critical delivery engine for AI, analytics, and global operations, with expansion beyond Tier‑I cities.
</t>
  </si>
  <si>
    <t xml:space="preserve">https://www.sahmcapital.com/news/content/a-look-at-first-american-financials-valuation-after-new-title-fraud-monitoring-service-launch-2026-01-21?utm_source=chatgpt.com
 https://www.firstam.com/news/2025/agentnet-assist-gen-ai-tool-20250728.html
https://www.theofficialboard.com/org-chart/first-american
https://in.linkedin.com/company/first-american-india-pvt-ltd
https://www.firstam.co.in/</t>
  </si>
  <si>
    <t xml:space="preserve">Matt F. Wajner</t>
  </si>
  <si>
    <t xml:space="preserve">Only GCC name kept</t>
  </si>
  <si>
    <t xml:space="preserve">Gallagher Service Center – GSC India (GCC)</t>
  </si>
  <si>
    <t xml:space="preserve">Bengaluru, Kolhapur, Mumbai, Pune and Shimoga</t>
  </si>
  <si>
    <t xml:space="preserve">Insurance Operations, Finance, Risk Management, Analytics, Research, Technology, Back-office Services, Knowledge-intensive and niche services, Risk &amp; Consulting business support
https://www.ajg.com/in/about-us/gallagher-center-of-excellence/</t>
  </si>
  <si>
    <t xml:space="preserve">10000
https://www.ajg.com/in/about-us/gallagher-center-of-excellence/</t>
  </si>
  <si>
    <t xml:space="preserve">Since 1927</t>
  </si>
  <si>
    <t xml:space="preserve">J. Patrick Gallagher Jr</t>
  </si>
  <si>
    <r>
      <rPr>
        <strike val="true"/>
        <sz val="10"/>
        <color rgb="FFC00000"/>
        <rFont val="EYInterstate"/>
        <family val="0"/>
        <charset val="1"/>
      </rPr>
      <t xml:space="preserve">Automation remains a formal global capability delivered from GCoE India (2026)
https://www.ajg.com/in/about-us/gallagher-center-of-excellence/</t>
    </r>
    <r>
      <rPr>
        <i val="true"/>
        <sz val="9"/>
        <color rgb="FFC00000"/>
        <rFont val="EYInterstate"/>
        <family val="0"/>
        <charset val="1"/>
      </rPr>
      <t xml:space="preserve">  [Oct'26 audit: no credible source found – The ajg.com GCoE extract lists underwriting, brokerage, claims, market research, analytics, finance and accounting; 'automation' was not visible in any extract. The careers page mentions 'technology' and 'innovation' generally. Undated and generic; replace with the technology/analytics wording below.]
</t>
    </r>
    <r>
      <rPr>
        <b val="true"/>
        <sz val="10"/>
        <color rgb="FF00008B"/>
        <rFont val="EYInterstate"/>
        <family val="0"/>
        <charset val="1"/>
      </rPr>
      <t xml:space="preserve">
[Oct'26 verified additions]
</t>
    </r>
    <r>
      <rPr>
        <sz val="10"/>
        <color rgb="FF00008B"/>
        <rFont val="EYInterstate"/>
        <family val="0"/>
        <charset val="1"/>
      </rPr>
      <t xml:space="preserve">
(2025-26) GCoE India teams across Bengaluru, Pune, Mumbai, Shimoga, Kolhapur, Chandigarh and Kochi support functions 'from operations and analytics to technology and back-office services', with GCoE globally exceeding 18,000 colleagues.
https://ajg.jibeapply.com/gcoe-home</t>
    </r>
  </si>
  <si>
    <r>
      <rPr>
        <sz val="10"/>
        <rFont val="EYInterstate"/>
        <family val="0"/>
        <charset val="1"/>
      </rPr>
      <t xml:space="preserve">Finance &amp; Accounting remains a core service line within GCoE India (2026)
https://www.ajg.com/in/about-us/gallagher-center-of-excellence/
</t>
    </r>
    <r>
      <rPr>
        <b val="true"/>
        <sz val="10"/>
        <color rgb="FF00008B"/>
        <rFont val="EYInterstate"/>
        <family val="0"/>
        <charset val="1"/>
      </rPr>
      <t xml:space="preserve">
[Oct'26 verified additions]
</t>
    </r>
    <r>
      <rPr>
        <sz val="10"/>
        <color rgb="FF00008B"/>
        <rFont val="EYInterstate"/>
        <family val="0"/>
        <charset val="1"/>
      </rPr>
      <t xml:space="preserve">
(2025-26) Finance and accounting remains one of GCoE's named service lines for Gallagher divisions globally, delivered from ~10,000 professionals in five India locations (Bengaluru, Kolhapur, Mumbai, Pune, Shimoga).
https://www.ajg.com/in/about-us/gallagher-center-of-excellence/</t>
    </r>
  </si>
  <si>
    <r>
      <rPr>
        <sz val="10"/>
        <rFont val="EYInterstate"/>
        <family val="0"/>
        <charset val="1"/>
      </rPr>
      <t xml:space="preserve">1. GCoE continues supporting underwriting, brokerage and claims operations globally (2026)
</t>
    </r>
    <r>
      <rPr>
        <strike val="true"/>
        <sz val="10"/>
        <color rgb="FFC00000"/>
        <rFont val="EYInterstate"/>
        <family val="0"/>
        <charset val="1"/>
      </rPr>
      <t xml:space="preserve">
2. Ajit Horra appointed CEO of Gallagher India broking business (Jan 2025).
https://asiainsurancepost.com/archives/61452</t>
    </r>
    <r>
      <rPr>
        <i val="true"/>
        <sz val="9"/>
        <color rgb="FFC00000"/>
        <rFont val="EYInterstate"/>
        <family val="0"/>
        <charset val="1"/>
      </rPr>
      <t xml:space="preserve">  [Oct'26 audit: no credible source found – Not surfaced in 3 searches; also relates to Gallagher Insurance Brokers India (broking entity), not the GCoE shared-services entity. Keep only if verified separately; asiainsurancepost is a credible trade source.]
</t>
    </r>
    <r>
      <rPr>
        <strike val="true"/>
        <sz val="10"/>
        <color rgb="FFC00000"/>
        <rFont val="EYInterstate"/>
        <family val="0"/>
        <charset val="1"/>
      </rPr>
      <t xml:space="preserve">
3. Gallagher’s India leadership structure includes a dedicated Head of Reinsurance alongside aviation, strategy, finance, compliance and technology leadership roles (2026).
https://www.ajg.com/in/about-us/executive-team/</t>
    </r>
    <r>
      <rPr>
        <i val="true"/>
        <sz val="9"/>
        <color rgb="FFC00000"/>
        <rFont val="EYInterstate"/>
        <family val="0"/>
        <charset val="1"/>
      </rPr>
      <t xml:space="preserve">  [Oct'26 audit: belongs under Q (context only) – Describes the Gallagher India broking/reinsurance leadership team, not the GCoE GCC; undated. If kept, mark as broking-entity context, not a GCC trend.]
</t>
    </r>
    <r>
      <rPr>
        <b val="true"/>
        <sz val="10"/>
        <color rgb="FF00008B"/>
        <rFont val="EYInterstate"/>
        <family val="0"/>
        <charset val="1"/>
      </rPr>
      <t xml:space="preserve">
[Oct'26 verified additions]
</t>
    </r>
    <r>
      <rPr>
        <sz val="10"/>
        <color rgb="FF00008B"/>
        <rFont val="EYInterstate"/>
        <family val="0"/>
        <charset val="1"/>
      </rPr>
      <t xml:space="preserve">
(2025-26) GCoE India provides underwriting, brokerage and claims support plus market research and analytics to Gallagher's broking and risk-management divisions, having expanded from simple back-office/administrative work to knowledge-intensive and specialised services.
https://www.ajg.com/in/about-us/gallagher-center-of-excellence/
(Sep 2025) Meenu Agrawal joined GCoE (Bengaluru) as Group Vice President - Talent Acquisition to drive global TA strategy and enterprise-wide hiring supporting Gallagher's growth and transformation (HR/leadership item; kept here as scaling context).
https://hrtoday.in/meenu-agrawal-joins-gallagher-center-of-excellence-as-group-vice-president-talent-acquisition/</t>
    </r>
  </si>
  <si>
    <r>
      <rPr>
        <strike val="true"/>
        <sz val="10"/>
        <color rgb="FFC00000"/>
        <rFont val="EYInterstate"/>
        <family val="0"/>
        <charset val="1"/>
      </rPr>
      <t xml:space="preserve">1. Gallagher identifies Enterprise Risk Management as a dedicated capability delivered through GCoE India (2026)
https://www.ajg.com/in/about-us/gallagher-center-of-excellence/</t>
    </r>
    <r>
      <rPr>
        <i val="true"/>
        <sz val="9"/>
        <color rgb="FFC00000"/>
        <rFont val="EYInterstate"/>
        <family val="0"/>
        <charset val="1"/>
      </rPr>
      <t xml:space="preserve">  [Oct'26 audit: no credible source found – ERM not visible in any search extract of the GCoE page; and ERM support is a risk/consulting service line, not internal audit/SOX/ICFR. Recommend 'No publicly verified information found'.]
</t>
    </r>
    <r>
      <rPr>
        <strike val="true"/>
        <sz val="10"/>
        <color rgb="FFC00000"/>
        <rFont val="EYInterstate"/>
        <family val="0"/>
        <charset val="1"/>
      </rPr>
      <t xml:space="preserve">
2. Gallagher India maintains a dedicated Chief Compliance Officer role as part of its leadership team (2026)
https://www.ajg.com/in/about-us/executive-team/</t>
    </r>
    <r>
      <rPr>
        <i val="true"/>
        <sz val="9"/>
        <color rgb="FFC00000"/>
        <rFont val="EYInterstate"/>
        <family val="0"/>
        <charset val="1"/>
      </rPr>
      <t xml:space="preserve">  [Oct'26 audit: incorrect – A compliance officer role in the India broking entity's leadership (IRDAI requirement for brokers) is not evidence of an internal-audit/SOX function in the GCC. Not verified in search; recommend removal.]</t>
    </r>
  </si>
  <si>
    <r>
      <rPr>
        <sz val="10"/>
        <rFont val="EYInterstate"/>
        <family val="0"/>
        <charset val="1"/>
      </rPr>
      <t xml:space="preserve">1.Gallagher announced it has acquired First Actuarial, a well-known UK pension administration and employee benefits consulting firm. This broadens Gallagher’s capability in pension and employee benefits solutions in the UK market.
2.Meenu Agrawal joins Gallagher Center of Excellence as Group Vice President – Talent Acquisition
</t>
    </r>
    <r>
      <rPr>
        <sz val="10"/>
        <color theme="6"/>
        <rFont val="EYInterstate"/>
        <family val="0"/>
        <charset val="1"/>
      </rPr>
      <t xml:space="preserve">3.Gallagher's Risk Placement Services acquired McKee Risk Management, expanding underwriting and risk-management capabilities.</t>
    </r>
  </si>
  <si>
    <t xml:space="preserve">Arthur J. Gallagher &amp; Co. Acquires First Actuarial
https://hrtoday.in/meenu-agrawal-joins-gallagher-center-of-excellence-as-group-vice-president-talent-acquisition/
https://investor.ajg.com/news/default.aspx</t>
  </si>
  <si>
    <t xml:space="preserve">Michael R. Pesch</t>
  </si>
  <si>
    <t xml:space="preserve">Douglas K. Howell</t>
  </si>
  <si>
    <t xml:space="preserve">Sonjoy Kshettry</t>
  </si>
  <si>
    <t xml:space="preserve">1. Only GCC name kept
2. India head changed:
https://www.thecompanycheck.com/people/gallagher-service-center-llp/AAI-5010</t>
  </si>
  <si>
    <t xml:space="preserve">Hannover Re Consulting service india private limited</t>
  </si>
  <si>
    <t xml:space="preserve">Mumbai</t>
  </si>
  <si>
    <t xml:space="preserve">Finance, Operations - Life &amp; Health Reinsurance Services, Property &amp; Casualty Reinsurance Support, Portfolio Analysis ("Know Your Portfolio"), Client Support Services, Insurance Products &amp; Solutions Support.
https://www.hannover-re.com/en/local-offices/asia/india/life-and-health/#box</t>
  </si>
  <si>
    <t xml:space="preserve">Since 2017</t>
  </si>
  <si>
    <t xml:space="preserve">Avijit Ghosh</t>
  </si>
  <si>
    <t xml:space="preserve">1. GCSP Approval
2.Business relationship
3.Firm loan</t>
  </si>
  <si>
    <r>
      <rPr>
        <strike val="true"/>
        <sz val="10"/>
        <color rgb="FFC00000"/>
        <rFont val="EYInterstate"/>
        <family val="0"/>
        <charset val="1"/>
      </rPr>
      <t xml:space="preserve">Signals growing convergence of actuarial science, analytics and technology within India operations.</t>
    </r>
    <r>
      <rPr>
        <i val="true"/>
        <sz val="9"/>
        <color rgb="FFC00000"/>
        <rFont val="EYInterstate"/>
        <family val="0"/>
        <charset val="1"/>
      </rPr>
      <t xml:space="preserve">  [Oct'26 audit: no credible source found – No URL; no search extract supports a technology/analytics convergence trend. Open roles found were Head of Business Acquisition &amp; Development and Associate Underwriter P&amp;C (insurance ops, not tech). Recommend 'No publicly verified information found'.]
</t>
    </r>
    <r>
      <rPr>
        <sz val="10"/>
        <rFont val="EYInterstate"/>
        <family val="0"/>
        <charset val="1"/>
      </rPr>
      <t xml:space="preserve">
(Specific job posts on official website and Naukri.com)</t>
    </r>
  </si>
  <si>
    <r>
      <rPr>
        <strike val="true"/>
        <sz val="10"/>
        <color rgb="FFC00000"/>
        <rFont val="EYInterstate"/>
        <family val="0"/>
        <charset val="1"/>
      </rPr>
      <t xml:space="preserve">Hannover Re India continues offering tailored financial solutions to help insurers meet capital and financial objectives (2025-26)
https://www.hannover-re.com/en/local-offices/asia/india/life-and-health/</t>
    </r>
    <r>
      <rPr>
        <i val="true"/>
        <sz val="9"/>
        <color rgb="FFC00000"/>
        <rFont val="EYInterstate"/>
        <family val="0"/>
        <charset val="1"/>
      </rPr>
      <t xml:space="preserve">  [Oct'26 audit: belongs under Insurance Operations – 'Tailor-made financial solutions' is a reinsurance product offering (financial/structured reinsurance for clients), not a finance function of the India entity. Move to Q. Replace in P with the Jan 2026 CFO appointment.]
</t>
    </r>
    <r>
      <rPr>
        <b val="true"/>
        <sz val="10"/>
        <color rgb="FF00008B"/>
        <rFont val="EYInterstate"/>
        <family val="0"/>
        <charset val="1"/>
      </rPr>
      <t xml:space="preserve">
[Oct'26 verified additions]
</t>
    </r>
    <r>
      <rPr>
        <sz val="10"/>
        <color rgb="FF00008B"/>
        <rFont val="EYInterstate"/>
        <family val="0"/>
        <charset val="1"/>
      </rPr>
      <t xml:space="preserve">
(Jan 2026) Hannover Re appointed Prateek Maheshwari as Chief Financial Officer of its India Branch, responsible for the branch's financial operations and governance; he joined in 2017 as Finance Manager for the India Branch (earlier Financial Accountant at Hannover Life Re of Australasia) and is a Chartered Accountant with 20+ years in accounting, taxation and regulatory compliance.
https://www.reinsurancene.ws/hannover-re-appoints-prateek-maheshwari-as-cfo-india-branch/
(Jan 2026) Regional trade press (ReinAsia, Asia Insurance Review) also covered the CFO appointment, noting Maheshwari's accounting, taxation and regulatory-compliance background, implying an India finance/regulatory-reporting function at the branch.
https://reinasia.com/hannover-re-appoints-prateek-maheshwari-as-cfo-for-india-branch/</t>
    </r>
  </si>
  <si>
    <r>
      <rPr>
        <sz val="10"/>
        <rFont val="EYInterstate"/>
        <family val="0"/>
        <charset val="1"/>
      </rPr>
      <t xml:space="preserve">Hannover Re India continues expanding innovative Life &amp; Health reinsurance product offerings for Indian insurers (2025-26) such as critical illness and disability products.
https://www.hannover-re.com/en/local-offices/asia/india/life-and-health/#product-design
</t>
    </r>
    <r>
      <rPr>
        <b val="true"/>
        <sz val="10"/>
        <color rgb="FF00008B"/>
        <rFont val="EYInterstate"/>
        <family val="0"/>
        <charset val="1"/>
      </rPr>
      <t xml:space="preserve">
[Oct'26 verified additions]
(Mar 2026) At its 2025 results (Mar 2026) Hannover Re reported that abundant capacity drove an average risk-adjusted price decline of 3.2% at the 1 Jan 2026 renewals; trade coverage describes India's renewal as one of the most competitive in years, with loss-free XoL reductions of over 20% amplified by strong domestic reinsurer capacity.
https://www.captive.com/news/asia-india-reinsurance-renewals-show-continued-softening
(2025-26) The Mumbai branch (IRDAI R3 licence Dec 2016, operational since 1 Feb 2017) writes P&amp;C including agricultural risks and life &amp; health reinsurance with a team of 30+ experts, offers 'know-your-portfolio' and tailor-made financial-solutions reinsurance, and is hiring P&amp;C underwriters and a Head of Business Acquisition &amp; Development.
https://jobs.hannover-re.com/job/Mumbai-Associate-Underwriter-P&amp;C-Base-MH-400-099/1165499555
(2025-26) Hannover Re India page: branch offers innovative products and solutions in both P&amp;C and L&amp;H reinsurance, know-your-portfolio services and tailor-made financial solutions for Indian clients.
https://www.hannover-re.com/en/local-offices/asia/india/life-and-health/</t>
    </r>
  </si>
  <si>
    <t xml:space="preserve">Not publicly verifiable</t>
  </si>
  <si>
    <r>
      <rPr>
        <sz val="10"/>
        <rFont val="EYInterstate"/>
        <family val="0"/>
        <charset val="1"/>
      </rPr>
      <t xml:space="preserve">1.In March 2024, the company launched a new specialty reinsurance business unit focused on cyber and digital underwriting, effective from April 1, 2024. This strategic move aims to enhance its position as a trusted partner for insurtechs and clients seeking coverage for cyber risks
2. Hannover Re Unveils Dedicated Cyber and Digital Business Unit for Enhanced Reinsurance Expertise
3.  Hannover Re has named Prateek Maheshwari as Chief Financial Officer of its India branch, the reinsurer announced on LinkedIn on Thursday. Maheshwari joined Hannover Re in 2017 as Finance Manager for the India branch. Prior to his new appointment, he served as Financial Accountant for Hannover Life Re of Australasia. Before joining Hannover, he spent nearly four years at Munich Re.
</t>
    </r>
    <r>
      <rPr>
        <sz val="10"/>
        <color theme="6"/>
        <rFont val="EYInterstate"/>
        <family val="0"/>
        <charset val="1"/>
      </rPr>
      <t xml:space="preserve">4.Hannover Re has made a successful start to financial year 2026 and, in the first quarter of 2026, significantly increased its net group profit by 47.9% to EUR 710.6 million (EUR 480.5 million) despite challenging market conditions, and confirms its targets for the full year.
5.Lemonade, an AI-powered digital insurance company, has signed a business financing agreement with Hannover Re (Ireland) DAC, under which the reinsurer will provide up to $250 million to help fund Lemonade’s sales and marketing spending between January 1, 2027, and December 31, 2028.
</t>
    </r>
    <r>
      <rPr>
        <sz val="10"/>
        <rFont val="EYInterstate"/>
        <family val="0"/>
        <charset val="1"/>
      </rPr>
      <t xml:space="preserve">
</t>
    </r>
  </si>
  <si>
    <t xml:space="preserve">https://news.europawire.eu/hannover-re-unveils-dedicated-cyber-and-digital-business-unit-for-enhanced-reinsurance-expertise/eu-press-release/2024/03/26/10/53/52/133057/?utm.com
https://reinasia.com/hannover-re-appoints-prateek-maheshwari-as-cfo-for-india-branch/
https://www.hannover-re.com/en/press/
https://www.reinsurancene.ws/lemonade-enters-into-250m-business-financing-agreement-with-hannover-re/</t>
  </si>
  <si>
    <t xml:space="preserve">Prateek Maheshwari</t>
  </si>
  <si>
    <r>
      <rPr>
        <b val="true"/>
        <sz val="10"/>
        <color theme="1"/>
        <rFont val="EYInterstate"/>
        <family val="0"/>
        <charset val="1"/>
      </rPr>
      <t xml:space="preserve">Insurance Operations:</t>
    </r>
    <r>
      <rPr>
        <sz val="10"/>
        <color theme="1"/>
        <rFont val="EYInterstate"/>
        <family val="0"/>
        <charset val="1"/>
      </rPr>
      <t xml:space="preserve"> Specialty insurance support, underwriting support, claims support, broker servicing.
</t>
    </r>
    <r>
      <rPr>
        <b val="true"/>
        <sz val="10"/>
        <color theme="1"/>
        <rFont val="EYInterstate"/>
        <family val="0"/>
        <charset val="1"/>
      </rPr>
      <t xml:space="preserve">Finance:</t>
    </r>
    <r>
      <rPr>
        <sz val="10"/>
        <color theme="1"/>
        <rFont val="EYInterstate"/>
        <family val="0"/>
        <charset val="1"/>
      </rPr>
      <t xml:space="preserve"> Administrative &amp; support service activities; insurance financial services support.
</t>
    </r>
    <r>
      <rPr>
        <b val="true"/>
        <sz val="10"/>
        <color theme="1"/>
        <rFont val="EYInterstate"/>
        <family val="0"/>
        <charset val="1"/>
      </rPr>
      <t xml:space="preserve">Operations:</t>
    </r>
    <r>
      <rPr>
        <sz val="10"/>
        <color theme="1"/>
        <rFont val="EYInterstate"/>
        <family val="0"/>
        <charset val="1"/>
      </rPr>
      <t xml:space="preserve"> India business operations, underwriting operations, client/broker support, insurance process support.</t>
    </r>
  </si>
  <si>
    <t xml:space="preserve">Info Not available for India GCC. 2yr old approx info given on linkedin i.e 20+ empoyees
https://www.linkedin.com/posts/markel-international_happyanniversary-india-markelstyle-activity-7125122765119983616-rikF</t>
  </si>
  <si>
    <t xml:space="preserve">Since 2018</t>
  </si>
  <si>
    <t xml:space="preserve">Deepika Mathur</t>
  </si>
  <si>
    <t xml:space="preserve">1. GCSP Approval
2. Consultation required
3.Business relationship
4.Firm loan
</t>
  </si>
  <si>
    <r>
      <rPr>
        <sz val="10"/>
        <rFont val="EYInterstate"/>
        <family val="0"/>
        <charset val="1"/>
      </rPr>
      <t xml:space="preserve">1. In June 2025, Markel partnered with Insurate, an insurtech firm, to leverage artificial intelligence in enhancing underwriting and risk management for workers' compensation in the middle market.
Markel partners with Insurate for AI-driven workers’ com By Investing.com
2. Mar' 26 - Markel International, a division of Markel Insurance, the insurance operations within Markel Group Inc. (NYSE:MKL), today announced the appointment of Maureen Tomlinson to Head of AI, alongside the launch of their AI Centre of Enablement. This strategic hire marks a significant milestone in Markel's continued investment in operational excellence and signals the beginning of its first formalised AI function.
https://www.prnewswire.com/news-releases/markel-international-launches-ai-centre-of-enablement-with-appointment-of-head-of-ai-302711437.html
</t>
    </r>
    <r>
      <rPr>
        <b val="true"/>
        <sz val="10"/>
        <color rgb="FF00008B"/>
        <rFont val="EYInterstate"/>
        <family val="0"/>
        <charset val="1"/>
      </rPr>
      <t xml:space="preserve">
[Oct'26 verified additions]
</t>
    </r>
    <r>
      <rPr>
        <sz val="10"/>
        <color rgb="FF00008B"/>
        <rFont val="EYInterstate"/>
        <family val="0"/>
        <charset val="1"/>
      </rPr>
      <t xml:space="preserve">
(Mar 2026) Markel International launched an AI Centre of Enablement and named Maureen Tomlinson Head of AI, its first formalised AI function, sitting within International Portfolio Analytics; group-level (Toronto), not an India team.
https://www.markel.com/international/news-and-insights/markel-international-launches-ai-centre-of-enablement-with-appointment-of-head-of-ai
(Jun 2025) Markel Insurance (US) announced a collaboration with insurtech Insurate to enter middle-market workers' compensation using AI-driven safety scoring; group/US-level item with no India-entity involvement.
https://www.markel.com/about-us/news-and-press/markel-announces-collaboration-with-insurate-to-advance-middle-market-workers-compensation-through-ai-and-innovative-safety-scoring-122847</t>
    </r>
  </si>
  <si>
    <t xml:space="preserve">No material publicly disclosed Finance Transformation info is available </t>
  </si>
  <si>
    <r>
      <rPr>
        <sz val="10"/>
        <rFont val="EYInterstate"/>
        <family val="0"/>
        <charset val="1"/>
      </rPr>
      <t xml:space="preserve">1. Ravi Jain was appointed Business Development and Distribution Lead for India (Mar'26)
https://www.reinsurancene.ws/markel-international-adds-jain-as-indias-business-development-distribution-lead/
2. Shubhi Nigam became Markel’s first dedicated Warranty &amp; Indemnity underwriter in India (Mar 2026).
https://www.markel.com/international/news-and-insights/markel-launches-asia-pacific-warranty-and-indemnity-capability-in-hong-kong-and-india
3. Sarika Sagar Gadekar was appointed as a Mumbai-based Marine Claims Adjuster (Jul 2026)
https://www.markel.com/international/news-and-insights/markel-invests-in-local-claims-talent-with-dedicated-india-hire
</t>
    </r>
    <r>
      <rPr>
        <b val="true"/>
        <sz val="10"/>
        <color rgb="FF00008B"/>
        <rFont val="EYInterstate"/>
        <family val="0"/>
        <charset val="1"/>
      </rPr>
      <t xml:space="preserve">
[Oct'26 verified additions]
</t>
    </r>
    <r>
      <rPr>
        <sz val="10"/>
        <color rgb="FF00008B"/>
        <rFont val="EYInterstate"/>
        <family val="0"/>
        <charset val="1"/>
      </rPr>
      <t xml:space="preserve">
(2026) Markel completed a sequential build of locally based staff across all three core commercial functions in India: a distribution/business development lead, a dedicated W&amp;I underwriter and a Mumbai marine claims adjuster (Sarika Sagar Gadekar) overseeing transport, logistics, cargo and specie claims.
https://www.insurancebusinessmag.com/asia/news/marine/markel-adds-local-marine-claims-expertise-in-india-582194.aspx
(Mar 2026) Markel appointed Shubhi Nigam (Mumbai) as its first dedicated Warranty &amp; Indemnity underwriter for India, moving from selective engagement to a dedicated, scalable local W&amp;I proposition.
https://www.markel.com/international/news-and-insights/markel-launches-asia-pacific-warranty-and-indemnity-capability-in-hong-kong-and-india
(Apr 2024, background) Priyanka Gautama (ex-HDFC ERGO) was appointed Chief Underwriting Officer for India, reporting to MD Deepika Mathur, with a mandate to build a new casualty portfolio; still the current underwriting set-up.
https://www.markel.com/about-us/news-and-press/markel-announces-priyanka-gautama-as-chief-underwriting-officer-for-india
(Mar 2026) Markel appointed Ravi Jain (ex-HDFC ERGO, IndusInd General) as Business Development and Distribution Lead - India, Mumbai-based, reporting to MD Deepika Mathur, to expand broker distribution across India.
https://www.markel.com/international/news-and-insights/markel-appoints-ravi-jain-business-development-distribution-lead-india</t>
    </r>
  </si>
  <si>
    <t xml:space="preserve">1. In June 2025, Markel partnered with Insurate, an insurtech firm, to leverage artificial intelligence in enhancing underwriting and risk management for workers' compensation in the middle market.
2. Mar' 26 - Markel International, a division of Markel Insurance, the insurance operations within Markel Group Inc. (NYSE:MKL), today announced the appointment of Maureen Tomlinson to Head of AI, alongside the launch of their AI Centre of Enablement. This strategic hire marks a significant milestone in Markel's continued investment in operational excellence and signals the beginning of its first formalised AI function.
3.Markel Insurance, the insurance operations within Markel Group Inc., has appointed Ravi Jain as Business Development and Distribution Lead for India, based in Mumbai.
</t>
  </si>
  <si>
    <t xml:space="preserve">Markel partners with Insurate for AI-driven workers’ com By Investing.com
https://www.prnewswire.com/news-releases/markel-international-launches-ai-centre-of-enablement-with-appointment-of-head-of-ai-302711437.html
https://www.reinsurancene.ws/markel-international-adds-jain-as-indias-business-development-distribution-lead/</t>
  </si>
  <si>
    <t xml:space="preserve">Deepika Mathur</t>
  </si>
  <si>
    <t xml:space="preserve">Marsh Mclennan Global Services India Private Limited</t>
  </si>
  <si>
    <t xml:space="preserve">Mumbai and Pune</t>
  </si>
  <si>
    <r>
      <rPr>
        <b val="true"/>
        <sz val="10"/>
        <color theme="1"/>
        <rFont val="EYInterstate"/>
        <family val="0"/>
        <charset val="1"/>
      </rPr>
      <t xml:space="preserve">Finance:</t>
    </r>
    <r>
      <rPr>
        <sz val="10"/>
        <color theme="1"/>
        <rFont val="EYInterstate"/>
        <family val="0"/>
        <charset val="1"/>
      </rPr>
      <t xml:space="preserve"> Finance Operations, Accounts Receivable (Fiduciary), Payroll, Finance Project Management, Corporate Finance Support.
</t>
    </r>
    <r>
      <rPr>
        <b val="true"/>
        <sz val="10"/>
        <color theme="1"/>
        <rFont val="EYInterstate"/>
        <family val="0"/>
        <charset val="1"/>
      </rPr>
      <t xml:space="preserve">Operations:</t>
    </r>
    <r>
      <rPr>
        <sz val="10"/>
        <color theme="1"/>
        <rFont val="EYInterstate"/>
        <family val="0"/>
        <charset val="1"/>
      </rPr>
      <t xml:space="preserve"> Insurance Operations, Risk Consulting Support, Client Services, Survey Administration, Business Operations, Global Shared Services Support.
</t>
    </r>
    <r>
      <rPr>
        <b val="true"/>
        <sz val="10"/>
        <color theme="1"/>
        <rFont val="EYInterstate"/>
        <family val="0"/>
        <charset val="1"/>
      </rPr>
      <t xml:space="preserve">Technology:</t>
    </r>
    <r>
      <rPr>
        <sz val="10"/>
        <color theme="1"/>
        <rFont val="EYInterstate"/>
        <family val="0"/>
        <charset val="1"/>
      </rPr>
      <t xml:space="preserve"> Application Development, Engineering, Technology Operations, IT Risk Management, AI/Data Science, Digital Solutions, Technology Leadership functions.
</t>
    </r>
    <r>
      <rPr>
        <b val="true"/>
        <sz val="10"/>
        <color theme="1"/>
        <rFont val="EYInterstate"/>
        <family val="0"/>
        <charset val="1"/>
      </rPr>
      <t xml:space="preserve">Analytics &amp; Specialized Functions:</t>
    </r>
    <r>
      <rPr>
        <sz val="10"/>
        <color theme="1"/>
        <rFont val="EYInterstate"/>
        <family val="0"/>
        <charset val="1"/>
      </rPr>
      <t xml:space="preserve"> Actuarial Services, Catastrophe Modeling, Research, HR Services, Consulting &amp; Advisory Support, Risk &amp; Strategy Support.
https://in.linkedin.com/jobs/marsh-mclennan-global-services-india-private-limited-%28mmgs%29-jobs?position=1&amp;pageNum=0</t>
    </r>
  </si>
  <si>
    <t xml:space="preserve">11000
https://www.greatplacetowork.in/great/company/marsh-mclennan-india-private-limited/</t>
  </si>
  <si>
    <t xml:space="preserve">4500-4600</t>
  </si>
  <si>
    <t xml:space="preserve">Since 2007</t>
  </si>
  <si>
    <t xml:space="preserve">Sanjay Kedia</t>
  </si>
  <si>
    <t xml:space="preserve">1. GCSP Approval
2. Consultation required
3.Reverse restriction
4. Firm loan</t>
  </si>
  <si>
    <r>
      <rPr>
        <strike val="true"/>
        <sz val="10"/>
        <color rgb="FFC00000"/>
        <rFont val="EYInterstate"/>
        <family val="0"/>
        <charset val="1"/>
      </rPr>
      <t xml:space="preserve">1. MMGS highlighted AI, cybersecurity, engineering and digital fluency as critical future capabilities (Sep 2026)
https://gcc.economictimes.indiatimes.com/news/talent-strategy/built-to-scale-marsh-india-on-building-talent-for-impact/134386318</t>
    </r>
    <r>
      <rPr>
        <i val="true"/>
        <sz val="9"/>
        <color rgb="FFC00000"/>
        <rFont val="EYInterstate"/>
        <family val="0"/>
        <charset val="1"/>
      </rPr>
      <t xml:space="preserve">  [Oct'26 audit: no credible source found – The ET GCC 'Built to scale' article did not surface in three searches; URL format is plausible but claim could not be verified.]
</t>
    </r>
    <r>
      <rPr>
        <b val="true"/>
        <sz val="10"/>
        <color rgb="FF00008B"/>
        <rFont val="EYInterstate"/>
        <family val="0"/>
        <charset val="1"/>
      </rPr>
      <t xml:space="preserve">
[Oct'26 verified additions]
</t>
    </r>
    <r>
      <rPr>
        <sz val="10"/>
        <color rgb="FF00008B"/>
        <rFont val="EYInterstate"/>
        <family val="0"/>
        <charset val="1"/>
      </rPr>
      <t xml:space="preserve">
(Apr 2026) On the Q1 2026 earnings call Marsh McLennan said it is investing in AI across growth, productivity and efficiency pillars (Ada, Sentrisk, Euclid, GC QuoteBox), citing document ingestion efficiency gains of ~20%; group-level programme the India GCC's technology/data teams support.
https://www.marketbeat.com/earnings/reports/2026-4-16-marsh-mclennan-companies-inc-stock/
(2026) MMGS positions the India GCC as supporting Business and Client Services across the enterprise through operations, technology, consulting &amp; advisory and corporate services, with roughly 11,000 colleagues across Mumbai, Pune, Gurugram, Bengaluru and Chennai.
https://careers.marshmclennan.com/global/en/india</t>
    </r>
  </si>
  <si>
    <r>
      <rPr>
        <strike val="true"/>
        <sz val="10"/>
        <color rgb="FFC00000"/>
        <rFont val="EYInterstate"/>
        <family val="0"/>
        <charset val="1"/>
      </rPr>
      <t xml:space="preserve">Existing Finance, Operations and Knowledge Services capabilities are likely to receive further investment basis existing model</t>
    </r>
    <r>
      <rPr>
        <i val="true"/>
        <sz val="9"/>
        <color rgb="FFC00000"/>
        <rFont val="EYInterstate"/>
        <family val="0"/>
        <charset val="1"/>
      </rPr>
      <t xml:space="preserve">  [Oct'26 audit: no credible source found – Speculative statement, no source, no date; replace with sourced bullet or 'none found'.]</t>
    </r>
  </si>
  <si>
    <r>
      <rPr>
        <strike val="true"/>
        <sz val="10"/>
        <color rgb="FFC00000"/>
        <rFont val="EYInterstate"/>
        <family val="0"/>
        <charset val="1"/>
      </rPr>
      <t xml:space="preserve">1. Marsh highlighted increasing ownership of end-to-end business outcomes and specialized capabilities within GCCs (Sep 2026)
https://gcc.economictimes.indiatimes.com/news/talent-strategy/built-to-scale-marsh-india-on-building-talent-for-impact/134386318</t>
    </r>
    <r>
      <rPr>
        <i val="true"/>
        <sz val="9"/>
        <color rgb="FFC00000"/>
        <rFont val="EYInterstate"/>
        <family val="0"/>
        <charset val="1"/>
      </rPr>
      <t xml:space="preserve">  [Oct'26 audit: no credible source found – Same unverified ET GCC article.]
</t>
    </r>
    <r>
      <rPr>
        <sz val="10"/>
        <rFont val="EYInterstate"/>
        <family val="0"/>
        <charset val="1"/>
      </rPr>
      <t xml:space="preserve">
2. Andrea Bono was appointed CEO, India, Middle East and Africa, effective January 2026 (Nov 2025 announcement). Supports continued expansion of integrated risk, insurance, consulting and analytics capabilities across the region.
https://economictimes.indiatimes.com/news/company/corporate-trends/marsh-mclennan-appoints-andrea-bono-as-ceo-india-middle-east-and-africa/articleshow/125052621.cms
</t>
    </r>
    <r>
      <rPr>
        <b val="true"/>
        <sz val="10"/>
        <color rgb="FF00008B"/>
        <rFont val="EYInterstate"/>
        <family val="0"/>
        <charset val="1"/>
      </rPr>
      <t xml:space="preserve">
[Oct'26 verified additions]
</t>
    </r>
    <r>
      <rPr>
        <sz val="10"/>
        <color rgb="FF00008B"/>
        <rFont val="EYInterstate"/>
        <family val="0"/>
        <charset val="1"/>
      </rPr>
      <t xml:space="preserve">
(2025-26) Leadership transition at the India GCC: Dinesh Deo, CEO of the Marsh McLennan India GCC 2018-2025, stepped down; Andrea Bono became CEO India, Middle East &amp; Africa (commercial business) effective Jan 2026. General leadership item, not bucket-specific.
https://www.peoplematters.in/news/appointments/marsh-mclennan-appoints-andrea-bono-as-ceo-of-india-middle-east-and-africa-47072</t>
    </r>
  </si>
  <si>
    <r>
      <rPr>
        <strike val="true"/>
        <sz val="10"/>
        <color rgb="FFC00000"/>
        <rFont val="EYInterstate"/>
        <family val="0"/>
        <charset val="1"/>
      </rPr>
      <t xml:space="preserve">MMGS publicly identifies Legal &amp; Compliance as a core capability in India (Jan 2024).
https://economictimes.indiatimes.com/news/india/growing-global-focus-on-digitisation-and-innovation-will-further-drive-interest-in-india-dinesh-deo-marsh-mclennan-global-services-india/articleshow/107009850.cms</t>
    </r>
    <r>
      <rPr>
        <i val="true"/>
        <sz val="9"/>
        <color rgb="FFC00000"/>
        <rFont val="EYInterstate"/>
        <family val="0"/>
        <charset val="1"/>
      </rPr>
      <t xml:space="preserve">  [Oct'26 audit: incorrect – Legal &amp; Compliance is not Internal Audit/SOX, and Jan 2024 is outside the window. Replace with the SOX/financial-controls evidence below.]
</t>
    </r>
    <r>
      <rPr>
        <b val="true"/>
        <sz val="10"/>
        <color rgb="FF00008B"/>
        <rFont val="EYInterstate"/>
        <family val="0"/>
        <charset val="1"/>
      </rPr>
      <t xml:space="preserve">
[Oct'26 verified additions]
</t>
    </r>
    <r>
      <rPr>
        <sz val="10"/>
        <color rgb="FF00008B"/>
        <rFont val="EYInterstate"/>
        <family val="0"/>
        <charset val="1"/>
      </rPr>
      <t xml:space="preserve">
(2025-26, job posting, date unverified) A Marsh McLennan Director, Financial Controls &amp; Governance (New York) posting states the SOX programme is run with Financial Controls teams in New York, Urbandale and Ireland plus an OUTSOURCED SOX compliance team/vendor in India, i.e. India SOX testing is vendor-delivered, not an in-house MMGS internal audit team.
https://scoutify.com/companies/marsh-mclennan/jobs/1102984/
(2025-26, job posting, date unverified) Marsh McLennan has advertised a 'Manager - Risk Control Testing - Pension Domain' role in Gurgaon, indicating some controls-testing capacity in the India GCC (Mercer pension domain); weak, title-only evidence.
https://apna.co/job/gurgaon/manager-risk-control-testing-pension-domain-1244513274</t>
    </r>
  </si>
  <si>
    <r>
      <rPr>
        <sz val="10"/>
        <rFont val="EYInterstate"/>
        <family val="0"/>
        <charset val="1"/>
      </rPr>
      <t xml:space="preserve">1.A new Business and Client Services (BCS) unit focused on technology, data, AI and analytics will centralize operational excellence for all units. The company’s stock ticker is expected to change to MRSH in early 2026
2.Marsh McLennan Agency announced targeted AI investments focused on quote comparison, coverage‑gap analysis, and contract review—moving from pilots to high‑impact use cases.
3.Marsh McLennan appointed Andrea Bono as CEO for India, Middle East &amp; Africa (IMEA), effective Jan 2026, reinforcing focus on analytics‑enabled delivery and growth across the region (with India as a core talent base).
</t>
    </r>
    <r>
      <rPr>
        <sz val="10"/>
        <color theme="6"/>
        <rFont val="EYInterstate"/>
        <family val="0"/>
        <charset val="1"/>
      </rPr>
      <t xml:space="preserve">4.(Marsh Nexus), an innovative captive insurance offering which supports multinational organizations in managing the risks and costs associated with their international employee benefits programs.</t>
    </r>
  </si>
  <si>
    <t xml:space="preserve">Marsh McLennan and its businesses will brand as Marsh
https://insuranceasia.com/insurance/news/marsh-mclennan-india-names-sanjay-kedia-new-ceo
https://www.corporate.marsh.com/about/leadership.html
https://ffnews.com/newsarticle/hiring/marsh-mclennan-appoints-andrea-bono-as-ceo-india-middle-east-and-africa/
https://www.insurancebusinessmag.com/us/news/technology/marsh-mclennan-agency-tackles-complexity-with-data-platforms-and-targeted-ai-investment-571858.aspx</t>
  </si>
  <si>
    <t xml:space="preserve">Marsh McLennan and its businesses will brand as Marsh
https://insuranceasia.com/insurance/news/marsh-mclennan-india-names-sanjay-kedia-new-ceo
https://www.corporate.marsh.com/about/leadership.html
https://www.insurancebusinessmag.com/us/news/technology/marsh-mclennan-agency-tackles-complexity-with-data-platforms-and-targeted-ai-investment-571858.aspx
https://www.marsh.com/en/about/media/marsh-launches-marsh-nexus-captive-solution.html</t>
  </si>
  <si>
    <t xml:space="preserve">Raseen Trilokinath Gupta</t>
  </si>
  <si>
    <t xml:space="preserve">Dinesh Deo</t>
  </si>
  <si>
    <t xml:space="preserve">India head changed
https://economictimes.indiatimes.com/news/india/growing-global-focus-on-digitisation-and-innovation-will-further-drive-interest-in-india-dinesh-deo-marsh-mclennan-global-services-india/articleshow/107009850.cms</t>
  </si>
  <si>
    <t xml:space="preserve">MassMutual’s Global Business Services India LLP</t>
  </si>
  <si>
    <t xml:space="preserve">Hyderabad</t>
  </si>
  <si>
    <r>
      <rPr>
        <b val="true"/>
        <sz val="10"/>
        <color theme="1"/>
        <rFont val="EYInterstate"/>
        <family val="0"/>
        <charset val="1"/>
      </rPr>
      <t xml:space="preserve">Technology:</t>
    </r>
    <r>
      <rPr>
        <sz val="10"/>
        <color theme="1"/>
        <rFont val="EYInterstate"/>
        <family val="0"/>
        <charset val="1"/>
      </rPr>
      <t xml:space="preserve"> Full Stack Development, Application Development, Technology Delivery &amp; Operations, DevOps, Quality Assurance, Security Engineering, Cloud Engineering, Data Science, AI &amp; ML, RPA, Platform Engineering.
</t>
    </r>
    <r>
      <rPr>
        <b val="true"/>
        <sz val="10"/>
        <color theme="1"/>
        <rFont val="EYInterstate"/>
        <family val="0"/>
        <charset val="1"/>
      </rPr>
      <t xml:space="preserve">Operations:</t>
    </r>
    <r>
      <rPr>
        <sz val="10"/>
        <color theme="1"/>
        <rFont val="EYInterstate"/>
        <family val="0"/>
        <charset val="1"/>
      </rPr>
      <t xml:space="preserve"> Insurance Operations, Wealth Management Operations, Digital Operations, Partner Services, Project Management, Business Analysis.
https://timesofindia.indiatimes.com/business/india-business/massmutual-gcc-in-hyderabad-grows-to-1700-in-3-years/articleshow/106141332.cms
</t>
    </r>
    <r>
      <rPr>
        <b val="true"/>
        <sz val="10"/>
        <color theme="1"/>
        <rFont val="EYInterstate"/>
        <family val="0"/>
        <charset val="1"/>
      </rPr>
      <t xml:space="preserve">Finance / Risk:</t>
    </r>
    <r>
      <rPr>
        <sz val="10"/>
        <color theme="1"/>
        <rFont val="EYInterstate"/>
        <family val="0"/>
        <charset val="1"/>
      </rPr>
      <t xml:space="preserve"> Global Procurement, Risk &amp; Compliance, Fraud Prevention, Financial Services support.
https://timesofindia.indiatimes.com/business/india-business/massmutual-gcc-in-hyderabad-grows-to-1700-in-3-years/articleshow/106141332.cms
</t>
    </r>
  </si>
  <si>
    <t xml:space="preserve">2100+
https://www.greatplacetowork.in/great/company/massmutual-global-business-services-india-llp/</t>
  </si>
  <si>
    <t xml:space="preserve">1200-1400</t>
  </si>
  <si>
    <t xml:space="preserve">Since 1851</t>
  </si>
  <si>
    <r>
      <rPr>
        <strike val="true"/>
        <sz val="10"/>
        <color rgb="FFC00000"/>
        <rFont val="EYInterstate"/>
        <family val="0"/>
        <charset val="1"/>
      </rPr>
      <t xml:space="preserve">The Hyderabad GCC is a major contributor to software development, QA, cloud, data science, and therefore a key execution arm for this AI‑driven SDLC.
https://timesofindia.indiatimes.com/business/india-business/massmutual-gcc-in-hyderabad-grows-to-1700-in-3-years/articleshow/106141332.cms</t>
    </r>
    <r>
      <rPr>
        <i val="true"/>
        <sz val="9"/>
        <color rgb="FFC00000"/>
        <rFont val="EYInterstate"/>
        <family val="0"/>
        <charset val="1"/>
      </rPr>
      <t xml:space="preserve">  [Oct'26 audit: outdated – Cited ToI article is Dec 2023 (outside window) and does not mention an 'AI-driven SDLC'; that clause is team inference. Replace with 2025-26 hiring evidence.]
</t>
    </r>
    <r>
      <rPr>
        <b val="true"/>
        <sz val="10"/>
        <color rgb="FF00008B"/>
        <rFont val="EYInterstate"/>
        <family val="0"/>
        <charset val="1"/>
      </rPr>
      <t xml:space="preserve">
[Oct'26 verified additions]
</t>
    </r>
    <r>
      <rPr>
        <sz val="10"/>
        <color rgb="FF00008B"/>
        <rFont val="EYInterstate"/>
        <family val="0"/>
        <charset val="1"/>
      </rPr>
      <t xml:space="preserve">
(2026) MassMutual India is hiring AI engineering roles in Hyderabad (e.g. CorpTech Senior Python AI Developer), consistent with its stated digital-enablement positioning.
https://builtin.com/job/corptech-im-sr-python-ai-developer/6470821
(date unverified; likely 2021-22, not 2025-26) Telangana Today reported a plan to increase Hyderabad headcount and set up more domain-specific centres of excellence; the only dated expansion news found is the earlier plan to double the GCC from ~450 to 1,000 staff. Treat as background until dated.
https://telanganatoday.com/tag/global-capability-center-gcc</t>
    </r>
  </si>
  <si>
    <r>
      <rPr>
        <strike val="true"/>
        <sz val="10"/>
        <color rgb="FFC00000"/>
        <rFont val="EYInterstate"/>
        <family val="0"/>
        <charset val="1"/>
      </rPr>
      <t xml:space="preserve">1. MassMutual India expanded beyond technology into Wealth Management Operations and business-support functions.</t>
    </r>
    <r>
      <rPr>
        <i val="true"/>
        <sz val="9"/>
        <color rgb="FFC00000"/>
        <rFont val="EYInterstate"/>
        <family val="0"/>
        <charset val="1"/>
      </rPr>
      <t xml:space="preserve">  [Oct'26 audit: belongs under Insurance Operations – Wealth management operations is an operations item, not finance.]
</t>
    </r>
    <r>
      <rPr>
        <sz val="10"/>
        <rFont val="EYInterstate"/>
        <family val="0"/>
        <charset val="1"/>
      </rPr>
      <t xml:space="preserve">
2. Global Procurement was identified among the business functions scaled within MassMutual India.
https://timesofindia.indiatimes.com/business/india-business/massmutual-gcc-in-hyderabad-grows-to-1700-in-3-years/articleshow/106141332.cms
</t>
    </r>
    <r>
      <rPr>
        <b val="true"/>
        <sz val="10"/>
        <color rgb="FF00008B"/>
        <rFont val="EYInterstate"/>
        <family val="0"/>
        <charset val="1"/>
      </rPr>
      <t xml:space="preserve">
[Oct'26 verified additions]
</t>
    </r>
    <r>
      <rPr>
        <sz val="10"/>
        <color rgb="FF00008B"/>
        <rFont val="EYInterstate"/>
        <family val="0"/>
        <charset val="1"/>
      </rPr>
      <t xml:space="preserve">
(2025-26, job postings) Finance-adjacent hiring in the Hyderabad GCC includes Private Equity Fund Accounting &amp; Operations (Assistant Manager and Team Member) roles, and the company profile lists Global Procurement among scaled teams, indicating investment-accounting and procurement functions continue to operate from India.
https://builtin.com/job/private-equity-fund-accounting-operations-assistant-manager/7869950</t>
    </r>
  </si>
  <si>
    <r>
      <rPr>
        <strike val="true"/>
        <sz val="10"/>
        <color rgb="FFC00000"/>
        <rFont val="EYInterstate"/>
        <family val="0"/>
        <charset val="1"/>
      </rPr>
      <t xml:space="preserve">1. MassMutual India expanded into Insurance Operations alongside technology delivery.</t>
    </r>
    <r>
      <rPr>
        <i val="true"/>
        <sz val="9"/>
        <color rgb="FFC00000"/>
        <rFont val="EYInterstate"/>
        <family val="0"/>
        <charset val="1"/>
      </rPr>
      <t xml:space="preserve">  [Oct'26 audit: outdated – Dec 2023 source; still broadly true (2026 insurance-ops job posts) but needs a newer citation.]
</t>
    </r>
    <r>
      <rPr>
        <sz val="10"/>
        <rFont val="EYInterstate"/>
        <family val="0"/>
        <charset val="1"/>
      </rPr>
      <t xml:space="preserve">
2. MassMutual India added Digital Operations as part of its operating model evolution.
</t>
    </r>
    <r>
      <rPr>
        <strike val="true"/>
        <sz val="10"/>
        <color rgb="FFC00000"/>
        <rFont val="EYInterstate"/>
        <family val="0"/>
        <charset val="1"/>
      </rPr>
      <t xml:space="preserve">
3. The Hyderabad GCC expanded from technology into operations, procurement, wealth, legal and compliance functions.
https://timesofindia.indiatimes.com/business/india-business/massmutual-gcc-in-hyderabad-grows-to-1700-in-3-years/articleshow/106141332.cms</t>
    </r>
    <r>
      <rPr>
        <i val="true"/>
        <sz val="9"/>
        <color rgb="FFC00000"/>
        <rFont val="EYInterstate"/>
        <family val="0"/>
        <charset val="1"/>
      </rPr>
      <t xml:space="preserve">  [Oct'26 audit: outdated – Corroborated by company profile but dated Dec 2023.]
</t>
    </r>
    <r>
      <rPr>
        <b val="true"/>
        <sz val="10"/>
        <color rgb="FF00008B"/>
        <rFont val="EYInterstate"/>
        <family val="0"/>
        <charset val="1"/>
      </rPr>
      <t xml:space="preserve">
[Oct'26 verified additions]
</t>
    </r>
    <r>
      <rPr>
        <sz val="10"/>
        <color rgb="FF00008B"/>
        <rFont val="EYInterstate"/>
        <family val="0"/>
        <charset val="1"/>
      </rPr>
      <t xml:space="preserve">
(2025-26, job postings) Insurance/wealth operations hiring in Hyderabad spans Pension Risk Transfer operations (Senior Analyst and Analyst roles, 2025), New Business Underwriting senior analyst operations, and wealth-management operations analysts processing paperwork and resolving customer issues.
https://builtin.com/job/senior-analyst-operations-pension-risk-transfer/7013935</t>
    </r>
  </si>
  <si>
    <r>
      <rPr>
        <strike val="true"/>
        <sz val="10"/>
        <color rgb="FFC00000"/>
        <rFont val="EYInterstate"/>
        <family val="0"/>
        <charset val="1"/>
      </rPr>
      <t xml:space="preserve">1. MassMutual India added Legal, Risk and Compliance support functions as part of its capability expansion.
https://timesofindia.indiatimes.com/business/india-business/massmutual-gcc-in-hyderabad-grows-to-1700-in-3-years/articleshow/106141332.cms</t>
    </r>
    <r>
      <rPr>
        <i val="true"/>
        <sz val="9"/>
        <color rgb="FFC00000"/>
        <rFont val="EYInterstate"/>
        <family val="0"/>
        <charset val="1"/>
      </rPr>
      <t xml:space="preserve">  [Oct'26 audit: incorrect – Legal/Risk/Compliance is not Internal Audit or SOX/ICFR; no India internal-audit evidence found. At most keep a compliance-hiring note flagged as compliance, not IA.]
</t>
    </r>
    <r>
      <rPr>
        <b val="true"/>
        <sz val="10"/>
        <color rgb="FF00008B"/>
        <rFont val="EYInterstate"/>
        <family val="0"/>
        <charset val="1"/>
      </rPr>
      <t xml:space="preserve">
[Oct'26 verified additions]
</t>
    </r>
    <r>
      <rPr>
        <sz val="10"/>
        <color rgb="FF00008B"/>
        <rFont val="EYInterstate"/>
        <family val="0"/>
        <charset val="1"/>
      </rPr>
      <t xml:space="preserve">
(Apr 2026) Compliance hiring (Compliance | GCC | 4-6 yrs | Hyderabad, Michael Page ref JN-042026) shows a risk &amp; compliance team in the GCC; no internal audit / SOX testing team evidenced.
https://www.michaelpage.co.in/job-detail/compliance-gcc-4-6-yrs-hyderabad/ref/jn-042026-6997546</t>
    </r>
  </si>
  <si>
    <t xml:space="preserve">1.MassMutual expanded its brand presence by becoming the Official Wealth Management Partner of the Formula 1 Heineken Las Vegas Grand Prix (2025). This sponsorship is part of a broader trend of aligning with high-performance sports to elevate brand visibility and connect with affluent clients.
Recent reviews rate MassMutual as a top life insurance company for 2026, highlighting its exceptional financial strength, wide range of life insurance products, and low complaint volume. The review also notes the record dividend payout as a competitive advantage.
2. The Hyderabad GCC is a major contributor to software development, QA, cloud, data science, and therefore a key execution arm for this AI‑driven SDLC.
3.These CoEs directly support life insurance operations, policy servicing, digital channels, and enterprise platforms.
</t>
  </si>
  <si>
    <t xml:space="preserve">https://www.f1lasvegasgp.com/2025/10/massmutual-accelerates-brand-presence-with-sponsorship-of-the-formula-1-heineken-las-vegas-grand-prix-2025-as-the-official-wealth-management-partner/
https://www.nerdwallet.com/insurance/life/massmutual-life-insurance-review
https://marquistopexecutives.com/2024/05/06/ravi-tangirala/
https://leadiq.com/c/massmutual-india/617823e9990e636b3ee22fa3/employee-directory
Forbes (Dec 29 2025): MassMutual Moving At ‘Warp Speed’ On AI Efforts
https://www.forbes.com/sites/stevennorton/2025/12/29/massmutual-moving-at-warp-speed-on-ai-efforts/
Telangana Today (GCC CoE expansion):
https://telanganatoday.com/massmutual-to-increase-headcount-in-hyderabad [telanganatoday.com]
enRightPR coverage on GCC technology excellence:
https://www.enrightpr.in/massmutual-to-spur-its-technology-excellence-in-gcc/</t>
  </si>
  <si>
    <t xml:space="preserve">https://www.corporatereport.com/massmutual/2024/ar/governance/
https://www.corporatereport.com/massmutual/2024/ar/governance/
https://www.corporatereport.com/massmutual/2024/ar/governance/
https://www.massmutual.com/newsroom</t>
  </si>
  <si>
    <t xml:space="preserve">Mary Jane Fortin</t>
  </si>
  <si>
    <t xml:space="preserve">Geoffrey Craddock</t>
  </si>
  <si>
    <t xml:space="preserve">Ravi K. Tangirala</t>
  </si>
  <si>
    <t xml:space="preserve">MetLife Global Operations Support Center (GOSC)</t>
  </si>
  <si>
    <t xml:space="preserve">Noida, Jaipur, Hyderabad, &amp; Pune</t>
  </si>
  <si>
    <r>
      <rPr>
        <b val="true"/>
        <sz val="10"/>
        <color theme="1"/>
        <rFont val="EYInterstate"/>
        <family val="0"/>
        <charset val="1"/>
      </rPr>
      <t xml:space="preserve">Finance: </t>
    </r>
    <r>
      <rPr>
        <sz val="10"/>
        <color theme="1"/>
        <rFont val="EYInterstate"/>
        <family val="0"/>
        <charset val="1"/>
      </rPr>
      <t xml:space="preserve">Finance support, Financial Reporting, Accounting, Billing Support, Corporate Functions, FP&amp;A-related support. GOSC publicly states support in Finance and Corporate Functions.
</t>
    </r>
    <r>
      <rPr>
        <b val="true"/>
        <sz val="10"/>
        <color theme="1"/>
        <rFont val="EYInterstate"/>
        <family val="0"/>
        <charset val="1"/>
      </rPr>
      <t xml:space="preserve">Operations:</t>
    </r>
    <r>
      <rPr>
        <sz val="10"/>
        <color theme="1"/>
        <rFont val="EYInterstate"/>
        <family val="0"/>
        <charset val="1"/>
      </rPr>
      <t xml:space="preserve"> Sales Support, Claims Management, Billing, Policy Administration, Underwriting Support, Clinical Resource Support, Insurance Operations.
</t>
    </r>
    <r>
      <rPr>
        <b val="true"/>
        <sz val="10"/>
        <color theme="1"/>
        <rFont val="EYInterstate"/>
        <family val="0"/>
        <charset val="1"/>
      </rPr>
      <t xml:space="preserve">Technology:</t>
    </r>
    <r>
      <rPr>
        <sz val="10"/>
        <color theme="1"/>
        <rFont val="EYInterstate"/>
        <family val="0"/>
        <charset val="1"/>
      </rPr>
      <t xml:space="preserve"> Engineering, Technology Services, Information Security, Data &amp; Analytics, Business Intelligence, AI-powered Analytics, Digital Solutions.
</t>
    </r>
    <r>
      <rPr>
        <b val="true"/>
        <sz val="10"/>
        <color theme="1"/>
        <rFont val="EYInterstate"/>
        <family val="0"/>
        <charset val="1"/>
      </rPr>
      <t xml:space="preserve">Analytics &amp; Specialized Functions:</t>
    </r>
    <r>
      <rPr>
        <sz val="10"/>
        <color theme="1"/>
        <rFont val="EYInterstate"/>
        <family val="0"/>
        <charset val="1"/>
      </rPr>
      <t xml:space="preserve"> Data Analytics, Business Intelligence, Actuarial Support, Program &amp; Project Management, Underwriting Analytics.
https://www.greatplacetowork.in/great/company/metlife-global-operations-support-center-pvt-ltd/</t>
    </r>
  </si>
  <si>
    <t xml:space="preserve">6500+
https://www.metlifecareers.com/en_US/ml/in</t>
  </si>
  <si>
    <t xml:space="preserve">45000 +</t>
  </si>
  <si>
    <t xml:space="preserve">Ashish Kumar</t>
  </si>
  <si>
    <t xml:space="preserve">1. GCSP Approval
2. Consultation required
3.Business relationships restrictions
4. Firm Loan
5.Reverse Restrictions
</t>
  </si>
  <si>
    <r>
      <rPr>
        <sz val="10"/>
        <rFont val="EYInterstate"/>
        <family val="0"/>
        <charset val="1"/>
      </rPr>
      <t xml:space="preserve">1. MetLife launched technology hubs in Hyderabad and Pune (May 2025)
https://www.thehansindia.com/business/metlife-opens-new-gccs-in-hyd-pune-971831
</t>
    </r>
    <r>
      <rPr>
        <strike val="true"/>
        <sz val="10"/>
        <color rgb="FFC00000"/>
        <rFont val="EYInterstate"/>
        <family val="0"/>
        <charset val="1"/>
      </rPr>
      <t xml:space="preserve">
2. MGCC is deploying AI-powered solutions to simplify the insurance claims lifecycle.
https://www.metlifecareers.com/en_US/ml/in</t>
    </r>
    <r>
      <rPr>
        <i val="true"/>
        <sz val="9"/>
        <color rgb="FFC00000"/>
        <rFont val="EYInterstate"/>
        <family val="0"/>
        <charset val="1"/>
      </rPr>
      <t xml:space="preserve">  [Oct'26 audit: no credible source found – metlifecareers page not surfaced; claim unverified.]
</t>
    </r>
    <r>
      <rPr>
        <strike val="true"/>
        <sz val="10"/>
        <color rgb="FFC00000"/>
        <rFont val="EYInterstate"/>
        <family val="0"/>
        <charset val="1"/>
      </rPr>
      <t xml:space="preserve">
3. Basis hiring actgivity Pune is building cloud-data engineering capability</t>
    </r>
    <r>
      <rPr>
        <i val="true"/>
        <sz val="9"/>
        <color rgb="FFC00000"/>
        <rFont val="EYInterstate"/>
        <family val="0"/>
        <charset val="1"/>
      </rPr>
      <t xml:space="preserve">  [Oct'26 audit: no credible source found – Inference from unspecified job posts; no URL.]
</t>
    </r>
    <r>
      <rPr>
        <b val="true"/>
        <sz val="10"/>
        <color rgb="FF00008B"/>
        <rFont val="EYInterstate"/>
        <family val="0"/>
        <charset val="1"/>
      </rPr>
      <t xml:space="preserve">
[Oct'26 verified additions]
</t>
    </r>
    <r>
      <rPr>
        <sz val="10"/>
        <color rgb="FF00008B"/>
        <rFont val="EYInterstate"/>
        <family val="0"/>
        <charset val="1"/>
      </rPr>
      <t xml:space="preserve">
(Mar 2026) MetLife expanded its India GCC by leasing ~75,000 sq ft (Tower 3, Oxygen Business Park, Sector 144 Noida; Rs 41.84 lakh/month, 5-year term) on top of ~291,000 sq ft already occupied in Tower 2, to scale technology development, analytics, digital transformation, finance and business operations (general expansion spanning O/P/Q).
https://ssfglobal.in/?p=40139
(2026) MGCC (est. 2007) operates from Noida, Jaipur and Hyderabad with a Pune technology hub announced/upcoming as of Mar 2026; the Hyderabad hub added integrated technology, data and actuarial capabilities alongside operations and shared services (services span operations, finance, technology, data and AI).
https://yourstory.com/2026/04/tdelivery-hubs-decisions-centres-indias-gccs-reshape-global-enterprisehe-ys</t>
    </r>
  </si>
  <si>
    <r>
      <rPr>
        <strike val="true"/>
        <sz val="10"/>
        <color rgb="FFC00000"/>
        <rFont val="EYInterstate"/>
        <family val="0"/>
        <charset val="1"/>
      </rPr>
      <t xml:space="preserve">Regular hiring for Finance and supply-chain technology capability expanding including P2P, R2R, AR etc, which Signals active investment in finance-platform modernization and enterprise process integration.</t>
    </r>
    <r>
      <rPr>
        <i val="true"/>
        <sz val="9"/>
        <color rgb="FFC00000"/>
        <rFont val="EYInterstate"/>
        <family val="0"/>
        <charset val="1"/>
      </rPr>
      <t xml:space="preserve">  [Oct'26 audit: no credible source found – No URL; partially corroborated by MetLife India job posts for FP&amp;A and revenue/billing/expense reporting, but P2P/R2R/AR specifics unverified.]
</t>
    </r>
    <r>
      <rPr>
        <b val="true"/>
        <sz val="10"/>
        <color rgb="FF00008B"/>
        <rFont val="EYInterstate"/>
        <family val="0"/>
        <charset val="1"/>
      </rPr>
      <t xml:space="preserve">
[Oct'26 verified additions]
</t>
    </r>
    <r>
      <rPr>
        <sz val="10"/>
        <color rgb="FF00008B"/>
        <rFont val="EYInterstate"/>
        <family val="0"/>
        <charset val="1"/>
      </rPr>
      <t xml:space="preserve">
(2025-26) Finance roles are being hired in the India GCC (Senior Manager FP&amp;A, Hyderabad) and teams handle revenue management, billing consolidation, expense management and monthly variance reporting.
https://builtinhyderabad.in/job/senior-manager-fp/4491047</t>
    </r>
  </si>
  <si>
    <r>
      <rPr>
        <strike val="true"/>
        <sz val="10"/>
        <color rgb="FFC00000"/>
        <rFont val="EYInterstate"/>
        <family val="0"/>
        <charset val="1"/>
      </rPr>
      <t xml:space="preserve">MetLife's India operations expanded with new Hyderabad and Pune hubs that will support advanced analytics and customer-experience enhancement initiatives.
https://www.thehansindia.com/business/metlife-opens-new-gccs-in-hyd-pune-971831</t>
    </r>
    <r>
      <rPr>
        <i val="true"/>
        <sz val="9"/>
        <color rgb="FFC00000"/>
        <rFont val="EYInterstate"/>
        <family val="0"/>
        <charset val="1"/>
      </rPr>
      <t xml:space="preserve">  [Oct'26 audit: belongs under Technology – This is the same technology-hub item; it belongs in Technology, not Insurance Operations.]
</t>
    </r>
    <r>
      <rPr>
        <b val="true"/>
        <sz val="10"/>
        <color rgb="FF00008B"/>
        <rFont val="EYInterstate"/>
        <family val="0"/>
        <charset val="1"/>
      </rPr>
      <t xml:space="preserve">
[Oct'26 verified additions]
</t>
    </r>
    <r>
      <rPr>
        <sz val="10"/>
        <color rgb="FF00008B"/>
        <rFont val="EYInterstate"/>
        <family val="0"/>
        <charset val="1"/>
      </rPr>
      <t xml:space="preserve">
(2025-26, job postings) Actuarial and operations roles posted in Hyderabad/Noida include Actuarial Services EMEA (senior analysts building models and experience studies for EMEA reporting), a Senior Actuarial Manager - Asia Valuation, and process-excellence/operations managers, indicating continued actuarial and operations support from India.
https://builtinhyderabad.in/job/actuarial-services-emea/4238923</t>
    </r>
  </si>
  <si>
    <r>
      <rPr>
        <strike val="true"/>
        <sz val="10"/>
        <color rgb="FFC00000"/>
        <rFont val="EYInterstate"/>
        <family val="0"/>
        <charset val="1"/>
      </rPr>
      <t xml:space="preserve">Not publicly verified but some hiring description includes, information security, risk mitigation and technology governance capabilities</t>
    </r>
    <r>
      <rPr>
        <i val="true"/>
        <sz val="9"/>
        <color rgb="FFC00000"/>
        <rFont val="EYInterstate"/>
        <family val="0"/>
        <charset val="1"/>
      </rPr>
      <t xml:space="preserve">  [Oct'26 audit: no credible source found – InfoSec/tech governance is Technology, not Internal Audit; no IA/SOX evidence found.]</t>
    </r>
  </si>
  <si>
    <t xml:space="preserve">1.MetLife has rebranded its India operations as the MetLife Global Capability Center (MGCC), uniting teams in Noida and Jaipur to drive digital innovation, cybersecurity, and IT modernization, with technology associates starting in April 2025 to advance emerging tech and analytics.
2.Global insurance major MetLife has expanded its Global Capability Center (GCC) footprint in India by leasing nearly 75,000 sq. ft. of office space at Oxygen Business Park in Sector 144, Noida.
3.MetLife announced the expansion of their India operations with the creation of technology hubs in Hyderabad and Pune. This move reinforces the organization’s continued commitment to enable growth, digital innovation and excellence across MetLife’s global network
4.MetLife, one of the world’s leading financial services companies, announced that it has been ranked 16 in India’s Best Companies To Work For in 2026 by Great Place To Work®.</t>
  </si>
  <si>
    <t xml:space="preserve">MetLife Accelerates Digital Transformation with New Global Capability Center - TOH
https://ssfglobal.in/industry_action/metlife-expands-noida-gcc-with-new-lease-at-oxygen-business-park/
https://thetimesofhindustan.com/metlife-accelerates-digital-transformation-with-new-global-capability-center/
https://365telugu.com/metlife-gcc-named-among-indias-best-companies-to-work-for-2026/
</t>
  </si>
  <si>
    <t xml:space="preserve">India - Global Capability Center | MetLife Careers
https://www.thecompanycheck.com/company/metlife-global-operations-support-center-private-limited/U72900DL2008PTC176695</t>
  </si>
  <si>
    <t xml:space="preserve">John D. McCallion</t>
  </si>
  <si>
    <t xml:space="preserve">Marlene Debel</t>
  </si>
  <si>
    <t xml:space="preserve">Swiss Re Global Business Solutions India Pvt. Ltd.</t>
  </si>
  <si>
    <t xml:space="preserve">Bengaluru &amp; Hyderabad</t>
  </si>
  <si>
    <r>
      <rPr>
        <b val="true"/>
        <sz val="10"/>
        <color theme="1"/>
        <rFont val="EYInterstate"/>
        <family val="0"/>
        <charset val="1"/>
      </rPr>
      <t xml:space="preserve">Operations:</t>
    </r>
    <r>
      <rPr>
        <sz val="10"/>
        <color theme="1"/>
        <rFont val="EYInterstate"/>
        <family val="0"/>
        <charset val="1"/>
      </rPr>
      <t xml:space="preserve"> Re/Insurance Operations, Underwriting Support, Operations Insights, Risk Management Support, Business Services, Project Management.
</t>
    </r>
    <r>
      <rPr>
        <b val="true"/>
        <sz val="10"/>
        <color theme="1"/>
        <rFont val="EYInterstate"/>
        <family val="0"/>
        <charset val="1"/>
      </rPr>
      <t xml:space="preserve">Technology:</t>
    </r>
    <r>
      <rPr>
        <sz val="10"/>
        <color theme="1"/>
        <rFont val="EYInterstate"/>
        <family val="0"/>
        <charset val="1"/>
      </rPr>
      <t xml:space="preserve"> Engineering, Data Science, Data Engineering, AI, Analytics, Digital Solutions, Automation, Technology Transformation, InsurTech Solutions, Cloud &amp; Enterprise Architecture.
https://gcc.economictimes.indiatimes.com/news/swiss-res-india-operations-a-model-for-global-business-solutions/125403419</t>
    </r>
  </si>
  <si>
    <t xml:space="preserve">2000+
https://www.swissre.com/careers/india.html</t>
  </si>
  <si>
    <t xml:space="preserve">Since 2001</t>
  </si>
  <si>
    <t xml:space="preserve">Amit Kalra</t>
  </si>
  <si>
    <t xml:space="preserve">1. GCSP Approval
2. Reverse restrictions</t>
  </si>
  <si>
    <r>
      <rPr>
        <strike val="true"/>
        <sz val="10"/>
        <color rgb="FFC00000"/>
        <rFont val="EYInterstate"/>
        <family val="0"/>
        <charset val="1"/>
      </rPr>
      <t xml:space="preserve">Swiss Re expanded its Hyderabad center to strengthen digital, data and technology capabilities (2025)
https://beinsure.com/news/swiss-re-global-business-solutions-india-expands-innovation-hub/</t>
    </r>
    <r>
      <rPr>
        <i val="true"/>
        <sz val="9"/>
        <color rgb="FFC00000"/>
        <rFont val="EYInterstate"/>
        <family val="0"/>
        <charset val="1"/>
      </rPr>
      <t xml:space="preserve">  [Oct'26 audit: outdated – beinsure URL exists, but the Hyderabad innovation-hub expansion it describes was announced May 2022 (swissre.com PR); the 2025 date is wrong.]
</t>
    </r>
    <r>
      <rPr>
        <b val="true"/>
        <sz val="10"/>
        <color rgb="FF00008B"/>
        <rFont val="EYInterstate"/>
        <family val="0"/>
        <charset val="1"/>
      </rPr>
      <t xml:space="preserve">
[Oct'26 verified additions]
</t>
    </r>
    <r>
      <rPr>
        <sz val="10"/>
        <color rgb="FF00008B"/>
        <rFont val="EYInterstate"/>
        <family val="0"/>
        <charset val="1"/>
      </rPr>
      <t xml:space="preserve">
(2026) Swiss Re's Global Business Solutions division operates groupwide capability hubs in India (Bangalore and Hyderabad) and Slovakia, with Hyderabad positioned as the analytical/innovation hub for digital, data and technology.
https://www.swissre.com/profile/Amit_Kalra/ip_f2cb75</t>
    </r>
  </si>
  <si>
    <t xml:space="preserve">No significant Finance-specific expansion was identified.</t>
  </si>
  <si>
    <t xml:space="preserve">Swiss Re India evolved from a shared-services operation into a fully integrated business center supporting global reinsurance operations (2025).
The India GCC now spans underwriting, actuarial, operations, business functions and innovation activities (2025).
https://gcc.economictimes.indiatimes.com/podcast/podcast/the-gcc-show/ai-talent-ownership-inside-swiss-res-india-playbook/125403479  [Oct'26 audit: no credible source found – ET GCC podcast URL did not surface; claim unverified though consistent with swissre.com description of GBS as groupwide capability hubs.]
[Oct'26 verified additions]
(Apr 2026) Amit Kalra, Head of Global Business Solutions (incl. the India GCC) after 19+ years at Swiss Re, leaves to head Zurich Capability Centres from 1 Jul 2026; no Swiss Re GBS India successor surfaced. General leadership item.
https://reinasia.com/zurich-taps-amit-kalra-to-lead-new-global-capability-centre-in-india/</t>
  </si>
  <si>
    <r>
      <rPr>
        <strike val="true"/>
        <sz val="10"/>
        <color rgb="FFC00000"/>
        <rFont val="EYInterstate"/>
        <family val="0"/>
        <charset val="1"/>
      </rPr>
      <t xml:space="preserve">Finance-control automation and internal-control design activities are embedded within risk-governance functions and Swiss Re continues strengthening digital-risk governance, controls monitoring and audit coordination capabilities.</t>
    </r>
    <r>
      <rPr>
        <i val="true"/>
        <sz val="9"/>
        <color rgb="FFC00000"/>
        <rFont val="EYInterstate"/>
        <family val="0"/>
        <charset val="1"/>
      </rPr>
      <t xml:space="preserve">  [Oct'26 audit: no credible source found – No source; inferred from unnamed job roles. Remove or mark 'none found'.]
</t>
    </r>
    <r>
      <rPr>
        <sz val="10"/>
        <rFont val="EYInterstate"/>
        <family val="0"/>
        <charset val="1"/>
      </rPr>
      <t xml:space="preserve">
Several Job roles of official pages have requirment of resources with given experiances in risk and control framework</t>
    </r>
  </si>
  <si>
    <t xml:space="preserve">1.Amit Kalra, MD and Head of Swiss Re GBS India, stated that India will soon host around 50% of Swiss Re’s global tech talent, boosting the company’s data, analytics, and risk modeling capabilities.
2. Swiss Re is reshaping underwriting and claims through GenAI and advanced analytics
3.India to soon have about 50% of Swiss Re's global tech talent: Amit Kalra
4.Global reinsurer Swiss Re has officially launched its new state-of-the-art office in Hyderabad, signaling a significant expansion of its operations in India. The newly inaugurated workspace is designed to be more than just a physical office — it embodies Swiss Re’s vision for the future: one that champions innovation, inclusion, and high-impact collaboration.
5.Swiss Re GBS India signed an MoU with IIRM Hyderabad to support insurance-industry capability development and talent building.
6. Apr' 26 - Amit Kalra, who spent nearly 19-20 years at Swiss Re and most recently served as MD &amp; Head of Global Business Solutions (including the India GCC), announced his departure to join Zurich Insurance Group as Global Head of Zurich Capability Centers, effective 1 July 2026. A successor at Swiss Re GBS India had not been publicly named as of 14 July 2026.
7. Swiss Re appointed Anna Ziswiler as Head of Property &amp; Casualty (P&amp;C) Reinsurance for Southeast Asia, India, Hong Kong, Taiwan and Korea, effective 1 May 2026</t>
  </si>
  <si>
    <t xml:space="preserve">India to soon have about 50% of Swiss Re's global tech talent: Amit Kalra | Interviews - Business Standard
https://www.swissre.com/risk-knowledge/advancing-societal-benefits-digitalisation/how-generative-ai-is-transforming-insurance-claims-claimsgenai.html
https://asiainsurancepost.com/archives/50595
https://www.linkedin.com/posts/analytics-india-magazine_global-reinsurer-swiss-re-has-officially-activity-7342559467030441984--SGk/
https://theiirm.ac.in/swiss-re-gbs-india-signs-mou/
https://reinasia.com/zurich-taps-amit-kalra-to-lead-new-global-capability-centre-in-india/ (Kalra departure/Zurich move)
https://www.reinsurancene.ws/swiss-re-names-ziswiler-as-head-pc-re-southeast-asia-india-hong-kong-taiwan-and-korea/</t>
  </si>
  <si>
    <t xml:space="preserve">https://www.swissre.com/about-us/our-leadership.html
https://en.wikipedia.org/wiki/Swiss_Re</t>
  </si>
  <si>
    <t xml:space="preserve">Ursula La Roche</t>
  </si>
  <si>
    <t xml:space="preserve">Sathish Kumar Durai</t>
  </si>
  <si>
    <t xml:space="preserve">Bernhard Kaufmann</t>
  </si>
  <si>
    <r>
      <rPr>
        <strike val="true"/>
        <sz val="10"/>
        <color rgb="FF000000"/>
        <rFont val="EYInterstate"/>
        <family val="0"/>
        <charset val="1"/>
      </rPr>
      <t xml:space="preserve">Amit Kalra
</t>
    </r>
    <r>
      <rPr>
        <sz val="10"/>
        <color rgb="FF000000"/>
        <rFont val="EYInterstate"/>
        <family val="0"/>
        <charset val="1"/>
      </rPr>
      <t xml:space="preserve">
</t>
    </r>
    <r>
      <rPr>
        <b val="true"/>
        <sz val="10"/>
        <color rgb="FF7030A0"/>
        <rFont val="EYInterstate"/>
        <family val="0"/>
        <charset val="1"/>
      </rPr>
      <t xml:space="preserve">Vacant / not yet announced — Amit Kalra (MD &amp; Head, Swiss Re GBS India) departed to join Zurich Insurance Group effective 1 July 2026. Successor at Swiss Re GBS India not publicly announced as of 14 Jul 2026.</t>
    </r>
  </si>
  <si>
    <t xml:space="preserve">India head changed
https://gcc.economictimes.indiatimes.com/news/swiss-res-india-operations-a-model-for-global-business-solutions/125403419</t>
  </si>
  <si>
    <t xml:space="preserve">StanCorp Global Services India Private Limited (The Standard India)</t>
  </si>
  <si>
    <t xml:space="preserve">Bengaluru &amp; Pune</t>
  </si>
  <si>
    <t xml:space="preserve">Technology: Technology Transformation, Software Engineering, AI, Cloud, Enterprise Platforms, Digital Experience, Technology-enabled Services.
Operations: Shared Support Services, Global Operations Support, Business Transformation, Customer Experience Support, Technology-enabled Operations.
Finance/Compliance: Financial, Compliance and Regulatory support functions overseen by India leadership.
https://www.thehindubusinessline.com/info-tech/the-standard-expands-india-gcc-targets-nearly-400-employees-by-year-end/article71370099.ece</t>
  </si>
  <si>
    <t xml:space="preserve">175+
https://timesofindia.indiatimes.com/business/india-business/us-insurer-the-standard-expands-india-footprint-with-new-capability-center/articleshow/125431239.cms</t>
  </si>
  <si>
    <t xml:space="preserve">5,001–10,000 </t>
  </si>
  <si>
    <t xml:space="preserve">Since 1906</t>
  </si>
  <si>
    <t xml:space="preserve">Dan McMillan (Group co) </t>
  </si>
  <si>
    <r>
      <rPr>
        <sz val="10"/>
        <rFont val="EYInterstate"/>
        <family val="0"/>
        <charset val="1"/>
      </rPr>
      <t xml:space="preserve">The Standard established India GCC operations to accelerate technology transformation and innovation (Nov 2025).
The Standard identified AI, data, analytics and software engineering as core growth capabilities for India (Aug 2026)
https://www.thehindubusinessline.com/info-tech/the-standard-expands-india-gcc-targets-nearly-400-employees-by-year-end/article71370099.ece
</t>
    </r>
    <r>
      <rPr>
        <b val="true"/>
        <sz val="10"/>
        <color rgb="FF00008B"/>
        <rFont val="EYInterstate"/>
        <family val="0"/>
        <charset val="1"/>
      </rPr>
      <t xml:space="preserve">
[Oct'26 verified additions]
</t>
    </r>
    <r>
      <rPr>
        <sz val="10"/>
        <color rgb="FF00008B"/>
        <rFont val="EYInterstate"/>
        <family val="0"/>
        <charset val="1"/>
      </rPr>
      <t xml:space="preserve">
(Apr 2026) The Standard inaugurated its permanent Bengaluru GCC at Embassy Tech Village on 21 Apr 2026, focused on AI engineering, cloud platform development, data &amp; analytics and digital transformation, and on moving select technology work from vendors to in-house engineering teams.
https://www.thepeoplesboard.com/?p=17616
(Aug 2026) The Standard plans to nearly double its India GCC to ~400 employees by end-2026 (from ~175), strengthening AI, data and analytics, software engineering, customer experience and business transformation capabilities.
https://www.peoplematters.in/news/business/the-standard-grows-india-gcc-to-400-positioning-bengaluru-at-the-centre-of-its-innovation-strategy-51594
(2026, after the Apr 2026 Bengaluru launch) The Standard India appointed new HR, talent acquisition and technology heads to strengthen its local leadership team (month not visible in extract; between Apr and Aug 2026).
https://www.peoplematters.in/news/leadership/the-standard-india-appoints-new-hr-talent-acquisition-and-technology-heads-51147</t>
    </r>
  </si>
  <si>
    <r>
      <rPr>
        <sz val="10"/>
        <rFont val="EYInterstate"/>
        <family val="0"/>
        <charset val="1"/>
      </rPr>
      <t xml:space="preserve">Mohua Sengupta was given responsibility for financial, regulatory and compliance oversight across India operations (Nov 2025). Which indicates Finance governance is embedded into India leadership from inception.
https://gcc.economictimes.indiatimes.com/news/the-standard-expands-global-footprint-with-new-office-and-mohua-sengupta-as-country-head-in-india/125379556
</t>
    </r>
    <r>
      <rPr>
        <b val="true"/>
        <sz val="10"/>
        <color rgb="FF00008B"/>
        <rFont val="EYInterstate"/>
        <family val="0"/>
        <charset val="1"/>
      </rPr>
      <t xml:space="preserve">
[Oct'26 verified additions]
</t>
    </r>
    <r>
      <rPr>
        <sz val="10"/>
        <color rgb="FF00008B"/>
        <rFont val="EYInterstate"/>
        <family val="0"/>
        <charset val="1"/>
      </rPr>
      <t xml:space="preserve">
(Aug 2026) Local leadership is being built out across finance, HR, talent acquisition, IT, administration and communications; Country Head Mohua Sengupta oversees financial, compliance and regulatory matters for the Bengaluru and Pune sites.
https://www.peoplematters.in/news/business/the-standard-grows-india-gcc-to-400-positioning-bengaluru-at-the-centre-of-its-innovation-strategy-51594</t>
    </r>
  </si>
  <si>
    <r>
      <rPr>
        <sz val="10"/>
        <rFont val="EYInterstate"/>
        <family val="0"/>
        <charset val="1"/>
      </rPr>
      <t xml:space="preserve">1. The Standard entered India following its acquisition of Allstate’s Employer Voluntary Benefits business (Apr 2025).
Provides immediate domain capability in workplace benefits and insurance operations.
https://timesofindia.indiatimes.com/business/india-business/us-insurer-the-standard-expands-india-footprint-with-new-capability-center/articleshow/125431239.cms
2. Leadership stated that the GCC is being built as a business transformation and customer-experience center rather than a traditional offshore delivery unit (Aug 2026)
https://www.thehindubusinessline.com/info-tech/the-standard-expands-india-gcc-targets-nearly-400-employees-by-year-end/article71370099.ece
</t>
    </r>
    <r>
      <rPr>
        <b val="true"/>
        <sz val="10"/>
        <color rgb="FF00008B"/>
        <rFont val="EYInterstate"/>
        <family val="0"/>
        <charset val="1"/>
      </rPr>
      <t xml:space="preserve">
[Oct'26 verified additions]
</t>
    </r>
    <r>
      <rPr>
        <sz val="10"/>
        <color rgb="FF00008B"/>
        <rFont val="EYInterstate"/>
        <family val="0"/>
        <charset val="1"/>
      </rPr>
      <t xml:space="preserve">
(Nov 2025) The GCC (Bengaluru and Pune) supports insurance operations alongside technology, staffed initially by 175 former Allstate India employees inherited with the Employer Voluntary Benefits acquisition (1 Apr 2025).
https://yourstory.com/enterprise-story/2025/11/us-financial-services-firm-the-standard-opens-new-gcc-in-india</t>
    </r>
  </si>
  <si>
    <t xml:space="preserve">No public evidence identified for a dedicated Internal Audit, SOX or ICFR CoE in India.</t>
  </si>
  <si>
    <t xml:space="preserve">The Standard has completed the acquisition of Allstate’s Employer Voluntary Benefits business for about $2 billion, significantly strengthening its workplace benefits portfolio (including voluntary benefits). The acquired business will be integrated and marketed under The Standard brand, expanding offerings in disability, life, vision, dental, and related employer‑sponsored products.
1.The Standard launched a new Global Capability Center (GCC) in India — a strategic move reflecting its growing global operations and talent expansion following the Allstate benefit acquisition. Initial staffing started with approximately 175 employees transitioning from Allstate India to The Standard India.
2.The Standard and OneDigital Expand Secure Future PEP Nationally
3.The Standard Promotes Nathan McKinstry to Senior Vice President of Employee Voluntary Benefits in IT (23 March 2026) 
4.The Standard Partners With the University of Texas at Dallas to Increase Access to the Actuarial Science Program (8 April 2026) 
5.The Standard Promotes Paul Freese to Assistant Vice President of Loan Operations, StanCorp Mortgage Investors (31 Dec 2025)
6.The Standard Names Elice Lee as Regional Vice President in Retirement Plans (17 March 2025) 
7.The Standard Names Rob Kerscher Regional Vice President in Retirement Plans (3 November 2025) </t>
  </si>
  <si>
    <t xml:space="preserve">https://timesofindia.indiatimes.com/business/india-business/us-insurer-the-standard-expands-india-footprint-with-new-capability-center/articleshow/125431239.cms
The Standard finalizes Allstate voluntary benefits acquisition | Insurance Business
https://analyticsindiamag.com/ai-news-updates/the-standard-launches-new-gcc-in-india/
https://www.standard.com/get-to-know-standard/newsroom/press-releases/standard-and-onedigital-expand-secure-future-pep-nationally
https://www.standard.com/get-to-know-standard/newsroom/press-releases/standard-promotes-nathan-mckinstry-senior-vice-president-employee-voluntary 
https://www.standard.com/get-to-know-standard/newsroom/press-releases/standard-promotes-paul-freese-assistant-vice-president-loan-operations-stancorp
https://www.standard.com/get-to-know-standard/newsroom/press-releases/standard-partners-university-texas-dallas-increase-access-actuarial-science
https://www.standard.com/get-to-know-standard/newsroom/press-releases/standard-names-elice-lee-regional-vice-president-retirement-plans
https://www.standard.com/get-to-know-standard/newsroom/press-releases/standard-names-rob-kerscher-regional-vice-president-retirement-plans</t>
  </si>
  <si>
    <t xml:space="preserve">The Standard Expands Global Footprint with New Office and Mohua Sengupta as Country Head in India, ETGCC 
https://www.linkedin.com/company/the-standard/</t>
  </si>
  <si>
    <t xml:space="preserve">Lauren Canfield (Group company)</t>
  </si>
  <si>
    <t xml:space="preserve">Mohua Sengupta, SVP &amp; Country Head – India</t>
  </si>
  <si>
    <t xml:space="preserve">M&amp;G Global Services Private Limited</t>
  </si>
  <si>
    <t xml:space="preserve">Darshit</t>
  </si>
  <si>
    <t xml:space="preserve">Mumbai and Pune
https://group.mandg.com/site-services/mg-india</t>
  </si>
  <si>
    <t xml:space="preserve">Strategic Innovation and Digital Hub
https://group.mandg.com/site-services/mg-india</t>
  </si>
  <si>
    <t xml:space="preserve">Andrea Rossi </t>
  </si>
  <si>
    <t xml:space="preserve"> GCSP Approval</t>
  </si>
  <si>
    <r>
      <rPr>
        <strike val="true"/>
        <sz val="10"/>
        <color rgb="FFC00000"/>
        <rFont val="EYInterstate"/>
        <family val="0"/>
        <charset val="1"/>
      </rPr>
      <t xml:space="preserve">1. India is becoming a key global delivery hub for AI-enabled and technology-led transformation
https://group.mandg.com/news-and-insights/press-releases/2026/27-04-2026</t>
    </r>
    <r>
      <rPr>
        <i val="true"/>
        <sz val="9"/>
        <color rgb="FFC00000"/>
        <rFont val="EYInterstate"/>
        <family val="0"/>
        <charset val="1"/>
      </rPr>
      <t xml:space="preserve">  [Oct'26 audit: no credible source found – The 27 Apr 2026 M&amp;G press release did not surface in searches; wording is generic. Replace with the company's own M&amp;G India description.]
</t>
    </r>
    <r>
      <rPr>
        <strike val="true"/>
        <sz val="10"/>
        <color rgb="FFC00000"/>
        <rFont val="EYInterstate"/>
        <family val="0"/>
        <charset val="1"/>
      </rPr>
      <t xml:space="preserve">
2. AI-enabled tools, automation and scalable enterprise solutions are becoming central to the India mandate.
https://www.publicnow.com/view/5CFE145CA5940CC91ACA913478AD5A8C34F9790F</t>
    </r>
    <r>
      <rPr>
        <i val="true"/>
        <sz val="9"/>
        <color rgb="FFC00000"/>
        <rFont val="EYInterstate"/>
        <family val="0"/>
        <charset val="1"/>
      </rPr>
      <t xml:space="preserve">  [Oct'26 audit: no credible source found – publicnow mirror not surfaced; claim consistent with M&amp;G India self-description but unverified.]
</t>
    </r>
    <r>
      <rPr>
        <b val="true"/>
        <sz val="10"/>
        <color rgb="FF00008B"/>
        <rFont val="EYInterstate"/>
        <family val="0"/>
        <charset val="1"/>
      </rPr>
      <t xml:space="preserve">
[Oct'26 verified additions]
</t>
    </r>
    <r>
      <rPr>
        <sz val="10"/>
        <color rgb="FF00008B"/>
        <rFont val="EYInterstate"/>
        <family val="0"/>
        <charset val="1"/>
      </rPr>
      <t xml:space="preserve">
(2026) M&amp;G India (Mumbai and Pune, est. 2003) is described as M&amp;G's strategic innovation and digital hub, leveraging technology, AI, automation and process excellence to drive transformation across the group.
https://www.efinancialcareers.com/jobs-India-Mumbai-Senior_Manager_Income_Accounting.id24535075</t>
    </r>
  </si>
  <si>
    <r>
      <rPr>
        <strike val="true"/>
        <sz val="10"/>
        <color rgb="FFC00000"/>
        <rFont val="EYInterstate"/>
        <family val="0"/>
        <charset val="1"/>
      </rPr>
      <t xml:space="preserve">M&amp;G plc Full Year 2025 Results
https://group.mandg.com/news-and-insights/press-releases/2026/12-03-2026</t>
    </r>
    <r>
      <rPr>
        <i val="true"/>
        <sz val="9"/>
        <color rgb="FFC00000"/>
        <rFont val="EYInterstate"/>
        <family val="0"/>
        <charset val="1"/>
      </rPr>
      <t xml:space="preserve">  [Oct'26 audit: incorrect – Group results announcement is not a finance-function item for the India entity. Replace with India finance-hiring evidence.]
</t>
    </r>
    <r>
      <rPr>
        <b val="true"/>
        <sz val="10"/>
        <color rgb="FF00008B"/>
        <rFont val="EYInterstate"/>
        <family val="0"/>
        <charset val="1"/>
      </rPr>
      <t xml:space="preserve">
[Oct'26 verified additions]
</t>
    </r>
    <r>
      <rPr>
        <sz val="10"/>
        <color rgb="FF00008B"/>
        <rFont val="EYInterstate"/>
        <family val="0"/>
        <charset val="1"/>
      </rPr>
      <t xml:space="preserve">
(2026) Active finance hiring in Mumbai across Income Accounting (Manager/Senior Manager/VP: trading income, fee and performance-fee accounting, client invoicing), AVP Revenue &amp; Expense Accountant and AVP Financial Performance roles, indicating an expanding finance/accounting delivery team at M&amp;G Global Services.
https://www.efinancialcareers.com/jobs-India-Mumbai-Senior_Manager_Income_Accounting.id24535075</t>
    </r>
  </si>
  <si>
    <t xml:space="preserve">1: India is supporting enterprise-scale operational transformation
https://group.mandg.com/news-and-insights/press-releases/2026/27-04-2026  [Oct'26 audit: no credible source found – Press release not surfaced; vague.]
2: India’s expanded role aligns with a broader group transformation agenda
https://group.mandg.com/news-and-insights/press-releases/2025/10-12-2025  [Oct'26 audit: no credible source found – Press release not surfaced; vague and not insurance-operations specific.]
[Oct'26 verified additions]
(2026) Actuarial roles (Manager Actuarial; Actuarial Data Scientist and Actuarial Technician Managers, AMVC) are posted for Mumbai; M&amp;G Global Services describes its offerings as spanning Digital Services (AI, RPA, analytics), Finance, Actuarial, Quants, Research, Customer Service, Risk &amp; Compliance and Audit.
https://www.efinancialcareers.com/jobs-India-Mumbai-Manager_Actuarial.id24464288</t>
  </si>
  <si>
    <r>
      <rPr>
        <strike val="true"/>
        <sz val="10"/>
        <color rgb="FFC00000"/>
        <rFont val="EYInterstate"/>
        <family val="0"/>
        <charset val="1"/>
      </rPr>
      <t xml:space="preserve">1: Internal audit’s group mandate is moving toward broader risk-based assurance, insight and foresight
https://group.mandg.com/~/media/Files/M/mandg-corp/corp/documents/about-us/governance/mgp-internal-audit-charter.pdf</t>
    </r>
    <r>
      <rPr>
        <i val="true"/>
        <sz val="9"/>
        <color rgb="FFC00000"/>
        <rFont val="EYInterstate"/>
        <family val="0"/>
        <charset val="1"/>
      </rPr>
      <t xml:space="preserve">  [Oct'26 audit: incorrect – Group IA charter, not an India item. Replace with evidence of IA roles in Mumbai (below).]
</t>
    </r>
    <r>
      <rPr>
        <b val="true"/>
        <sz val="10"/>
        <color rgb="FF00008B"/>
        <rFont val="EYInterstate"/>
        <family val="0"/>
        <charset val="1"/>
      </rPr>
      <t xml:space="preserve">
[Oct'26 verified additions]
</t>
    </r>
    <r>
      <rPr>
        <sz val="10"/>
        <color rgb="FF00008B"/>
        <rFont val="EYInterstate"/>
        <family val="0"/>
        <charset val="1"/>
      </rPr>
      <t xml:space="preserve">
(2026) M&amp;G is hiring internal audit roles in Mumbai (Manager - Internal Audit - Senior Auditor; Senior Manager - IA Operations Auditor / QA Practices), with IA described as an independent assurance function covering internal control, risk and governance frameworks.
https://www.efinancialcareers.com/jobs-India-Mumbai-Senior_Manager_-_IA_Operations_Auditor_Ops__QA_Practices_Community.id24592434</t>
    </r>
  </si>
  <si>
    <r>
      <rPr>
        <sz val="10"/>
        <rFont val="EYInterstate"/>
        <family val="0"/>
        <charset val="1"/>
      </rPr>
      <t xml:space="preserve">1.Gaurish Wagh Appointed as Global People Development Lead India at M&amp;G Global Services Private Limited
2.M&amp;G Global services sponsored the 25th Global Conference of Actuaries (GCA) 2026. As one of the leading platforms for actuarial dialogue and professional exchange, GCA brings together practitioners, industry leaders and emerging talent from across the profession.
3.M&amp;G sponsored the nasscom Technology Confluence 2025. The discussion explored how AI is transforming leadership, culture, and workforce models in an AI-driven era. Colleagues from our Mumbai and Pune offices attended as delegates, gaining insights into emerging trends and industry priorities.
</t>
    </r>
    <r>
      <rPr>
        <sz val="10"/>
        <color theme="6"/>
        <rFont val="EYInterstate"/>
        <family val="0"/>
        <charset val="1"/>
      </rPr>
      <t xml:space="preserve"> 4. M&amp;G Rebrands Indian Operations as "M&amp;G India"</t>
    </r>
  </si>
  <si>
    <t xml:space="preserve">Gaurish Wagh Appointed as Global People Development Lead India at M&amp;G Global Services Private Limited - Global HR News &amp; Updates
https://www.linkedin.com/company/m&amp;gglobalservicesprivatelimited/posts/?feedView=all
https://group.mandg.com/news-and-insights/press-releases/2026/27-04-2026</t>
  </si>
  <si>
    <t xml:space="preserve">
https://www.zaubacorp.com/M-AND-G-GLOBAL-SERVICES-PRIVATE-LIMITED-U74140MH2002PTC137446#google_vignette
https://www.thecompanycheck.com/company/mg-global-services-private-limited/U74140MH2002PTC137446</t>
  </si>
  <si>
    <t xml:space="preserve">Sriram Kameshwar</t>
  </si>
  <si>
    <t xml:space="preserve">Shawn gamble</t>
  </si>
  <si>
    <t xml:space="preserve">Zahabiya Officewala</t>
  </si>
  <si>
    <t xml:space="preserve">Chubb Limited
</t>
  </si>
  <si>
    <t xml:space="preserve">Hyderabad, Bangalore and Bhubaneshwar
https://www.greatplacetowork.in/great/company/chubb-business-services-india-private-limited/</t>
  </si>
  <si>
    <t xml:space="preserve">Technology, analytics, operations, and automation-focused
https://about.chubb.com/careers/engineering-centers/india-engineering-center.html</t>
  </si>
  <si>
    <t xml:space="preserve">2300 approx.
https://www.greatplacetowork.in/great/company/chubb-business-services-india-private-limited/</t>
  </si>
  <si>
    <t xml:space="preserve">Since 2019</t>
  </si>
  <si>
    <r>
      <rPr>
        <sz val="10"/>
        <rFont val="EYInterstate"/>
        <family val="0"/>
        <charset val="1"/>
      </rPr>
      <t xml:space="preserve">1: India is moving from technology delivery to global engineering leadership and enterprise transformation
https://gcc.economictimes.indiatimes.com/news/people-culture/chubb-leverages-indias-engineering-talent-for-global-technology-advancement/132459953
</t>
    </r>
    <r>
      <rPr>
        <strike val="true"/>
        <sz val="10"/>
        <color rgb="FFC00000"/>
        <rFont val="EYInterstate"/>
        <family val="0"/>
        <charset val="1"/>
      </rPr>
      <t xml:space="preserve">
2. Chubb is building an AI-first, insurance-domain-led talent and engineering model in India
https://gcc.economictimes.indiatimes.com/news/talent-strategy/chubb-india-revolutionizes-engineering-with-ai-first-approach/131012546</t>
    </r>
    <r>
      <rPr>
        <i val="true"/>
        <sz val="9"/>
        <color rgb="FFC00000"/>
        <rFont val="EYInterstate"/>
        <family val="0"/>
        <charset val="1"/>
      </rPr>
      <t xml:space="preserve">  [Oct'26 audit: no credible source found – ET GCC URL (131012546) not retrievable via search. Direction is only corroborated by a trade profile (businessofgcc.com). Keep but downgrade source to trade or re-verify ET link.]
</t>
    </r>
    <r>
      <rPr>
        <b val="true"/>
        <sz val="10"/>
        <color rgb="FF00008B"/>
        <rFont val="EYInterstate"/>
        <family val="0"/>
        <charset val="1"/>
      </rPr>
      <t xml:space="preserve">
[Oct'26 verified additions]
</t>
    </r>
    <r>
      <rPr>
        <sz val="10"/>
        <color rgb="FF00008B"/>
        <rFont val="EYInterstate"/>
        <family val="0"/>
        <charset val="1"/>
      </rPr>
      <t xml:space="preserve">
(Jul 2026) Chubb signed an MoU with Guidance Tamil Nadu on 30 July 2026 to set up its first Chennai GCC (~220 high-skilled jobs) for advanced analytics, engineering and global business capabilities, alongside Hyderabad and Bengaluru; signed by Rohin Govindarajan, Global Head of Chubb Engineering Centers.
https://ssfglobal.in/industry_action/chubb-launches-first-chennai-gcc-to-expand-global-analytics-and-engineering-capabilities/
(Jul 2026) Same Chennai GCC/MoU reported by HR Katha and DT Next (investment announced before Tamil Nadu CM; part of four global firms creating 2,900+ jobs).
https://www.hrkatha.com/news/chubb-and-nordex-to-drive-job-creation-with-chennai-gcc-and-rd-expansion/
(2026) Chubb Engineering Center India (CECI) is described by Chubb as the largest engineering centre in its global network, with teams in Hyderabad, Bengaluru and Bhubaneswar.
https://about.chubb.com/careers/engineering-centers/india-engineering-center.html
(2026) Trade profile: Chubb India targets ~3,000 employees by 2027 with growth in AI, underwriting technology and digital platforms; AI underwriting tools and ML claims-analytics platforms being built in India (weaker source).
https://www.businessofgcc.com/gcc-data/companies/chubb-india</t>
    </r>
  </si>
  <si>
    <r>
      <rPr>
        <strike val="true"/>
        <sz val="10"/>
        <color rgb="FFC00000"/>
        <rFont val="EYInterstate"/>
        <family val="0"/>
        <charset val="1"/>
      </rPr>
      <t xml:space="preserve">1: Chubb Business Services India reached a reported FY2025 revenue range of ₹500 crore to ₹1,000 crore,
https://tracxn.com/d/legal-entities/india/chubb-business-services-india-private-limited/__QSsU0LOlpIz91kPfcQCZTC19-s_aEfZSzPEwcIQSix0</t>
    </r>
    <r>
      <rPr>
        <i val="true"/>
        <sz val="9"/>
        <color rgb="FFC00000"/>
        <rFont val="EYInterstate"/>
        <family val="0"/>
        <charset val="1"/>
      </rPr>
      <t xml:space="preserve">  [Oct'26 audit: incorrect – A Tracxn revenue band for the legal entity is corporate financial data, not evidence of a Finance function in India. Remove from P.]</t>
    </r>
  </si>
  <si>
    <r>
      <rPr>
        <strike val="true"/>
        <sz val="10"/>
        <color rgb="FFC00000"/>
        <rFont val="EYInterstate"/>
        <family val="0"/>
        <charset val="1"/>
      </rPr>
      <t xml:space="preserve">1: India engineering teams are increasingly supporting core underwriting, risk-pricing and claims processes
https://gcc.economictimes.indiatimes.com/news/talent-strategy/chubb-india-revolutionizes-engineering-with-ai-first-approach/131012546</t>
    </r>
    <r>
      <rPr>
        <i val="true"/>
        <sz val="9"/>
        <color rgb="FFC00000"/>
        <rFont val="EYInterstate"/>
        <family val="0"/>
        <charset val="1"/>
      </rPr>
      <t xml:space="preserve">  [Oct'26 audit: no credible source found – Same unretrievable ET GCC URL. Partially corroborated by businessofgcc.com trade profile. Downgrade source quality.]
</t>
    </r>
    <r>
      <rPr>
        <strike val="true"/>
        <sz val="10"/>
        <color rgb="FFC00000"/>
        <rFont val="EYInterstate"/>
        <family val="0"/>
        <charset val="1"/>
      </rPr>
      <t xml:space="preserve">
2. The proposed Chennai GCC expands India’s analytics and engineering network
https://www.business-standard.com/india-news/chubb-nordex-gcc-rd-centres-chennai-tamil-nadu-investments-126073000468_1.html</t>
    </r>
    <r>
      <rPr>
        <i val="true"/>
        <sz val="9"/>
        <color rgb="FFC00000"/>
        <rFont val="EYInterstate"/>
        <family val="0"/>
        <charset val="1"/>
      </rPr>
      <t xml:space="preserve">  [Oct'26 audit: belongs under Technology – Chennai GCC MoU (30 Jul 2026, ~220 jobs) confirmed by ssfglobal.in, hrkatha.com and dtnext.in. The centre is for 'advanced analytics, engineering and global business capabilities' -&gt; primarily Technology.]
</t>
    </r>
    <r>
      <rPr>
        <b val="true"/>
        <sz val="10"/>
        <color rgb="FF00008B"/>
        <rFont val="EYInterstate"/>
        <family val="0"/>
        <charset val="1"/>
      </rPr>
      <t xml:space="preserve">
[Oct'26 verified additions]
</t>
    </r>
    <r>
      <rPr>
        <sz val="10"/>
        <color rgb="FF00008B"/>
        <rFont val="EYInterstate"/>
        <family val="0"/>
        <charset val="1"/>
      </rPr>
      <t xml:space="preserve">
(Aug 2026) Chubb is actively hiring catastrophe-modelling analysts (Analyst I/II, Senior Analyst - CAT Modelling) in Hyderabad, confirming a live cat-modelling/actuarial support function in India.
https://jobs.anitab.org/companies/chubb/jobs/90305101-analyst-i-cat-modelling
(2026) Trade profile indicates India engineering teams build AI underwriting tools for commercial underwriters and ML claims-analytics platforms to predict claim severity and detect fraud (weaker source).
https://www.businessofgcc.com/gcc-data/companies/chubb-india</t>
    </r>
  </si>
  <si>
    <r>
      <rPr>
        <strike val="true"/>
        <sz val="10"/>
        <color rgb="FFC00000"/>
        <rFont val="EYInterstate"/>
        <family val="0"/>
        <charset val="1"/>
      </rPr>
      <t xml:space="preserve">No India Related Internal Audit key trends.</t>
    </r>
    <r>
      <rPr>
        <i val="true"/>
        <sz val="9"/>
        <color rgb="FFC00000"/>
        <rFont val="EYInterstate"/>
        <family val="0"/>
        <charset val="1"/>
      </rPr>
      <t xml:space="preserve">  [Oct'26 audit: incorrect – AMENDED BY AUDIT: there IS India-based SOX/controls evidence. Chubb is recruiting 'Global IT SOX Compliance Lead' roles in Bangalore (jobs.anitab.org id 90305173; hirist.tech) to run its Technology SOX compliance programme (ITGC/ITAC/SDLC controls, annual SOX IT assessment, partnering Internal and External Audit). The news.chubb.com Jan 2025 global leadership release remains irrelevant to India and can be dropped.]
</t>
    </r>
    <r>
      <rPr>
        <sz val="10"/>
        <rFont val="EYInterstate"/>
        <family val="0"/>
        <charset val="1"/>
      </rPr>
      <t xml:space="preserve">
Global underwriting audit strategy strengthened, but not attributed to India
https://news.chubb.com/2025-01-27-Chubb-Announces-Key-Leadership-Appointments-in-Overseas-General-Insurance
</t>
    </r>
    <r>
      <rPr>
        <b val="true"/>
        <sz val="10"/>
        <color rgb="FF00008B"/>
        <rFont val="EYInterstate"/>
        <family val="0"/>
        <charset val="1"/>
      </rPr>
      <t xml:space="preserve">
[Oct'26 verified additions]
</t>
    </r>
    <r>
      <rPr>
        <sz val="10"/>
        <color rgb="FF00008B"/>
        <rFont val="EYInterstate"/>
        <family val="0"/>
        <charset val="1"/>
      </rPr>
      <t xml:space="preserve">
(2026) Chubb is recruiting Global IT SOX Compliance Leads in Bangalore to run its Technology SOX compliance programme (ITGC/ITAC/SDLC control design, annual SOX IT assessment) as partner to Internal Audit and External Audit - evidence of an India-based SOX/controls assurance function (job-board evidence).
https://jobs.anitab.org/companies/chubb/jobs/90305173-global-it-sox-compliance-lead</t>
    </r>
  </si>
  <si>
    <t xml:space="preserve">1.Apr'26 - Separately from the GCC story, in April 2026, reports indicated Chubb is exploring a re‑entry into the Indian insurance market after nearly two decades, following regulatory liberalization (100% FDI)
2.Chubb is launching AI‑embedded tools and platforms globally to optimize underwriting and operations (19 November 2025). The platform uses proprietary AI models to analyze customer personas and dynamically recommend insurance products via APIs and SDKs for digital partners worldwide.
3.Chubb lays out ambitious digital transformation plans with focus on AI &amp; automation (Chubb utilizes data, technology, and processes to digitally enable workflows and drive significant expense reductions) - December 2025
4.Chubb Names Seshadri Iyer to Lead Global Operations, Technology and Digital Transformation (11 March 2026). The reorganization strengthens focus on data, AI, cloud, and platform modernization, areas where India is already Chubb’s largest execution and engineering base
5.India is now Chubb’s largest engineering center globally, ahead of Mexico and Greece, reflecting a long‑term bet on India for core insurance technology development
</t>
  </si>
  <si>
    <t xml:space="preserve">https://www.moneycontrol.com/banking/global-insurer-chubb-explores-india-re-entry-after-two-decades-article-13891678.html
Chubb launches AI embedded engine; Trucordia acquires 5: Insurance news | Digital Insurance
https://www.processexcellencenetwork.com/digital-transformation/news/chubb-lays-out-ambitious-digital-transformation-plans-with-focus-on-ai-automation
https://news.chubb.com/2026-03-11-Chubb-Names-Seshadri-Iyer-to-Lead-Global-Operations,-Technology-and-Digital-Transformation
https://timesofindia.indiatimes.com/city/hyderabad/chubbs-tech-hub-expansion-hyderabad-leads-as-major-global-workforce-center/articleshow/115310608.cms
</t>
  </si>
  <si>
    <t xml:space="preserve">Chubb's Tech Hub Expansion: Hyderabad Leads as Major Global Workforce Center | Hyderabad News - The Times of India</t>
  </si>
  <si>
    <t xml:space="preserve">Mong-Diep Dee Le (chief auditor)</t>
  </si>
  <si>
    <t xml:space="preserve">Peter Enns</t>
  </si>
  <si>
    <t xml:space="preserve"> Frances D. O'Brien </t>
  </si>
  <si>
    <t xml:space="preserve">Mohan Narayanaswamy</t>
  </si>
  <si>
    <t xml:space="preserve">Guardian India Operations Private Limited</t>
  </si>
  <si>
    <t xml:space="preserve">Chennai, Gurugram, New Delhi, Ankleshwar, Mumbai and Noida
https://www.ambitionbox.com/overview/guardian-india-overview/locations</t>
  </si>
  <si>
    <t xml:space="preserve">Information and Communication. In detail, this covers computer programming, consultancy and related activities.
https://www.thecompanycheck.com/company/guardian-india-operations-private-limited/U72200TN2003PTC051154</t>
  </si>
  <si>
    <t xml:space="preserve">2000 approx.
https://www.greatplacetowork.in/great/company/guardian-india-operations-pvt-ltd/</t>
  </si>
  <si>
    <t xml:space="preserve">Arijit Mukherji</t>
  </si>
  <si>
    <r>
      <rPr>
        <sz val="10"/>
        <rFont val="EYInterstate"/>
        <family val="0"/>
        <charset val="1"/>
      </rPr>
      <t xml:space="preserve">1: The India technology model is shifting from a captive GCC to a dedicated strategic business unit
https://www.etnownews.com/companies/hcltech-completes-acquisition-of-a-100-stake-in-guardian-india-operations-article-155226640
2: AI-led modernisation is becoming the core technology mandate of the dedicated India unit
https://www.hcltech.com/press-releases/hcltech-and-guardian-sign-new-expanded-partnership-ai-powered-modernization-across
</t>
    </r>
    <r>
      <rPr>
        <b val="true"/>
        <sz val="10"/>
        <color rgb="FF00008B"/>
        <rFont val="EYInterstate"/>
        <family val="0"/>
        <charset val="1"/>
      </rPr>
      <t xml:space="preserve">
[Oct'26 verified additions]
</t>
    </r>
    <r>
      <rPr>
        <sz val="10"/>
        <color rgb="FF00008B"/>
        <rFont val="EYInterstate"/>
        <family val="0"/>
        <charset val="1"/>
      </rPr>
      <t xml:space="preserve">
(Jul 2026) HCLTech agreed to acquire Guardian India Operations for US$10.5 million under a new seven-year partnership; ~2,000 engineers from Guardian's Chennai and Gurugram GCC transition into a dedicated HCLTech Strategic Business Unit led by Karunakaran Azhisur (former Guardian India Country Head).
https://www.businesstoday.in/amp/technology/story/hcltech-to-acquire-guardian-india-nearly-2000-employees-to-join-the-it-giant-543486-2026-07-16
(Jul 2026) HCLTech will expand use of its 'AI Force' service-transformation platform to build and deploy agentic AI capabilities for Guardian across data, applications and engineering functions.
https://kyodonewsprwire.jp/release/202607162705
(Aug 2026) Transaction completed 31 July 2026 (11:59 PM IST); the former captive is now integrated into HCLTech (aggregator report; HR Katha also reports staff onboarding).
https://www.hrkatha.com/news/merger-acquisition/hcltech-brings-guardian-india-operations-staff-on-board/</t>
    </r>
  </si>
  <si>
    <r>
      <rPr>
        <strike val="true"/>
        <sz val="10"/>
        <color rgb="FFC00000"/>
        <rFont val="EYInterstate"/>
        <family val="0"/>
        <charset val="1"/>
      </rPr>
      <t xml:space="preserve">1: Guardian India returned to strong revenue growth in FY2026 after a decline in FY2025
https://www.moneycontrol.com/news/business/information-technology/hcltech-expands-partnership-with-guardian-acquires-us-based-insurer-s-india-gcc-for-10-5-million-13975958.html</t>
    </r>
    <r>
      <rPr>
        <i val="true"/>
        <sz val="9"/>
        <color rgb="FFC00000"/>
        <rFont val="EYInterstate"/>
        <family val="0"/>
        <charset val="1"/>
      </rPr>
      <t xml:space="preserve">  [Oct'26 audit: no credible source found – Only a weak aggregator cites FY26 revenue; entity revenue is not evidence of a Finance function. Remove from P.]
</t>
    </r>
    <r>
      <rPr>
        <strike val="true"/>
        <sz val="10"/>
        <color rgb="FFC00000"/>
        <rFont val="EYInterstate"/>
        <family val="0"/>
        <charset val="1"/>
      </rPr>
      <t xml:space="preserve">
2: The GCC moved from captive ownership to a long-term managed-service commercial model</t>
    </r>
    <r>
      <rPr>
        <i val="true"/>
        <sz val="9"/>
        <color rgb="FFC00000"/>
        <rFont val="EYInterstate"/>
        <family val="0"/>
        <charset val="1"/>
      </rPr>
      <t xml:space="preserve">  [Oct'26 audit: belongs under Technology – No URL given. The ownership/commercial change is a corporate/technology-delivery model shift, not a finance function trend.]
</t>
    </r>
    <r>
      <rPr>
        <sz val="10"/>
        <rFont val="EYInterstate"/>
        <family val="0"/>
        <charset val="1"/>
      </rPr>
      <t xml:space="preserve">
Review HCLTech’s stock-exchange notice confirming completion of the 100% acquisition</t>
    </r>
  </si>
  <si>
    <r>
      <rPr>
        <sz val="10"/>
        <rFont val="EYInterstate"/>
        <family val="0"/>
        <charset val="1"/>
      </rPr>
      <t xml:space="preserve">1: The India delivery mandate is expanding across four major business areas
https://estrade.in/finance/hcltech-guardian-partnership/
2: Insurance operations are moving toward AI-enabled, product-aligned delivery
https://www.hcltech.com/press-releases/hcltech-and-guardian-sign-new-expanded-partnership-ai-powered-modernization-across
</t>
    </r>
    <r>
      <rPr>
        <b val="true"/>
        <sz val="10"/>
        <color rgb="FF00008B"/>
        <rFont val="EYInterstate"/>
        <family val="0"/>
        <charset val="1"/>
      </rPr>
      <t xml:space="preserve">
[Oct'26 verified additions]
</t>
    </r>
    <r>
      <rPr>
        <sz val="10"/>
        <color rgb="FF00008B"/>
        <rFont val="EYInterstate"/>
        <family val="0"/>
        <charset val="1"/>
      </rPr>
      <t xml:space="preserve">
(Jul 2026) Scope of the HCLTech-run unit covers technology and operations support linked to Guardian's group benefits, individual protection, retirement and wealth management businesses.
https://www.outlookbusiness.com/corporate/hcltech-to-acquire-guardian-india-for-105-million-2000-employees-to-transition</t>
    </r>
  </si>
  <si>
    <t xml:space="preserve">No India Related Internal Audit key trends.</t>
  </si>
  <si>
    <t xml:space="preserve">1.Guardian is undertaking a major tech transformation, moving away from legacy mainframe systems to modern cloud‑enabled microservices. This enables faster product development, improved operational efficiency, and better digital experiences for brokers and employers.
2.India GCC is a microcosm of Guardian Life Insurance building tech solutions for the American market. The global capability centre of Guardian Life Insurance in India supplements and complements the parent company. Its campuses in Gurugram and Chennai are creating valuable intellectual property related to the insurance industry.
3.Karunakaran (Karun) Azhisur was appointed Country Head – India, while continuing as Chief Information Officer (CIO) of Guardian India.
4.Guardian India Continues Operating as a Multi‑Location GCC Across Chennai and Gurugram</t>
  </si>
  <si>
    <t xml:space="preserve">https://yourstory.com/enterprise-story/2025/03/india-gcc-microcosm-guardian-life-insurance-shiney-prasad
https://gcc.economictimes.indiatimes.com/news/people-culture/guardian-india-names-karunakaran-azhisur-as-new-country-head/126960296
https://www.guardianlife.com/about-guardian/where-we-work/india</t>
  </si>
  <si>
    <t xml:space="preserve">‘India GCC is a microcosm of Guardian Life Insurance building tech solutions for the American market’ | YourStory</t>
  </si>
  <si>
    <t xml:space="preserve">Ankit Singh Chaudhury</t>
  </si>
  <si>
    <t xml:space="preserve">Deepa Baburaaj</t>
  </si>
  <si>
    <t xml:space="preserve">Karunakaran (Karun) Azhisur
https://www.sightsinplus.com/news/appointments/guardian-appoints-karunakaran-azhisur-as-country-head-india</t>
  </si>
  <si>
    <t xml:space="preserve">TIAA Global Capabilities (TIAA GC)</t>
  </si>
  <si>
    <t xml:space="preserve">Mumbai, Pune and Navi Mumbai
https://www.ambitionbox.com/overview/tiaa-overview/locations</t>
  </si>
  <si>
    <t xml:space="preserve">Global Technology, Operations, and Shared Services
https://www.greatplacetowork.in/great/company/tiaa-global-business-services-india-pvt-ltd/</t>
  </si>
  <si>
    <t xml:space="preserve">2700 approx.
https://www.greatplacetowork.in/great/company/tiaa-global-business-services-india-pvt-ltd/</t>
  </si>
  <si>
    <t xml:space="preserve">Since 2016</t>
  </si>
  <si>
    <t xml:space="preserve">Oindrila Majumdar</t>
  </si>
  <si>
    <t xml:space="preserve">1. GCSP Approval
2. Consultation required
3. Reverse Restrictions
</t>
  </si>
  <si>
    <r>
      <rPr>
        <sz val="10"/>
        <rFont val="EYInterstate"/>
        <family val="0"/>
        <charset val="1"/>
      </rPr>
      <t xml:space="preserve">1: TIAA Global Capabilities is scaling as an AI-powered GCC supporting enterprise technology transformation
https://www.business-standard.com/industry/news/tiaa-global-capabilities-leases-2-56-lakh-sq-ft-in-pune-for-320-crore-126082800968_1.html
2: India’s GCC role is expanding from technology support into broader technology, data, risk and client-experience delivery
https://themainstream.co.in/tiaa-expands-pune-gcc/
</t>
    </r>
    <r>
      <rPr>
        <b val="true"/>
        <sz val="10"/>
        <color rgb="FF00008B"/>
        <rFont val="EYInterstate"/>
        <family val="0"/>
        <charset val="1"/>
      </rPr>
      <t xml:space="preserve">
[Oct'26 verified additions]
</t>
    </r>
    <r>
      <rPr>
        <sz val="10"/>
        <color rgb="FF00008B"/>
        <rFont val="EYInterstate"/>
        <family val="0"/>
        <charset val="1"/>
      </rPr>
      <t xml:space="preserve">
(Aug 2026) TIAA Global Capabilities leased 255,713 sq ft at Panchshil Vantage, Wagholi, Pune on a 10-year term (Rs320 crore contractual rent; occupancy Dec 2026 and Jun 2027) to consolidate teams and support AI, data &amp; analytics, risk management and client-experience capabilities.
https://www.constructionworld.in/policy-updates-and-economic-news/tiaa-global-capabilities-leases-255713-square-feet-in-pune/96764
(Apr 2026) Deepak Gupta appointed Head of TIAA Global Capabilities and member of the TIAA India Board of Directors; he previously launched TIAA's AI Center of Excellence in India and scaled its technology shared services.
https://hrtoday.in/deepak-gupta-appointed-as-head-of-tiaa-global-capabilities-and-member-of-the-tiaa-india-board-of-directors/
(2026) TIAA careers pages describe TIAA Global Capabilities (est. 2016) as focused on technology, operations and expanding into shared services, insourcing key platforms and processes to reduce risk.
https://careers.tiaa.org/analyst-onboarding-client-assignment/job/CE18DAD11D2B59AA57CE07977DBB34B8</t>
    </r>
  </si>
  <si>
    <r>
      <rPr>
        <strike val="true"/>
        <sz val="10"/>
        <color rgb="FFC00000"/>
        <rFont val="EYInterstate"/>
        <family val="0"/>
        <charset val="1"/>
      </rPr>
      <t xml:space="preserve">1: The India entity recorded significant FY2025 revenue growth and profitability
https://www.thecompanycheck.com/company/tiaa-global-capabilities-private-limited/U72901MH2016FTC279876</t>
    </r>
    <r>
      <rPr>
        <i val="true"/>
        <sz val="9"/>
        <color rgb="FFC00000"/>
        <rFont val="EYInterstate"/>
        <family val="0"/>
        <charset val="1"/>
      </rPr>
      <t xml:space="preserve">  [Oct'26 audit: incorrect – Corporate registry financials are not evidence of a Finance function in India. Remove from P.]
</t>
    </r>
    <r>
      <rPr>
        <strike val="true"/>
        <sz val="10"/>
        <color rgb="FFC00000"/>
        <rFont val="EYInterstate"/>
        <family val="0"/>
        <charset val="1"/>
      </rPr>
      <t xml:space="preserve">
2: Profit, EBITDA, net worth and total assets increased during FY2025
https://www.tofler.in/tiaa-global-capabilities-private-limited/company/U72901MH2016FTC279876</t>
    </r>
    <r>
      <rPr>
        <i val="true"/>
        <sz val="9"/>
        <color rgb="FFC00000"/>
        <rFont val="EYInterstate"/>
        <family val="0"/>
        <charset val="1"/>
      </rPr>
      <t xml:space="preserve">  [Oct'26 audit: incorrect – Tofler financial data, not a finance-function trend. Remove.]
</t>
    </r>
    <r>
      <rPr>
        <b val="true"/>
        <sz val="10"/>
        <color rgb="FF00008B"/>
        <rFont val="EYInterstate"/>
        <family val="0"/>
        <charset val="1"/>
      </rPr>
      <t xml:space="preserve">
[Oct'26 verified additions]
</t>
    </r>
    <r>
      <rPr>
        <sz val="10"/>
        <color rgb="FF00008B"/>
        <rFont val="EYInterstate"/>
        <family val="0"/>
        <charset val="1"/>
      </rPr>
      <t xml:space="preserve">
(2026) TIAA is hiring 'Analyst - Finance Control' roles in Pune/Mumbai whose duties are SOX-mandated continual testing of internal finance controls, remediation of gaps and working with external auditors - evidence of a finance-controls/ICFR function inside the India GCC (job-posting evidence).
https://careers.tiaa.org/analyst-finance-control/job/31A93F863B6F1182CFCC849708C5E845</t>
    </r>
  </si>
  <si>
    <r>
      <rPr>
        <strike val="true"/>
        <sz val="10"/>
        <color rgb="FFC00000"/>
        <rFont val="EYInterstate"/>
        <family val="0"/>
        <charset val="1"/>
      </rPr>
      <t xml:space="preserve">1: The India centre is expanding its capacity for global technology, operations and shared services
https://www.business-standard.com/industry/news/tiaa-global-capabilities-leases-2-56-lakh-sq-ft-in-pune-for-320-crore-126082800968_1.html</t>
    </r>
    <r>
      <rPr>
        <i val="true"/>
        <sz val="9"/>
        <color rgb="FFC00000"/>
        <rFont val="EYInterstate"/>
        <family val="0"/>
        <charset val="1"/>
      </rPr>
      <t xml:space="preserve">  [Oct'26 audit: belongs under Technology – Duplicate of O1 (same Pune lease). Keep one lease bullet in O.]
</t>
    </r>
    <r>
      <rPr>
        <strike val="true"/>
        <sz val="10"/>
        <color rgb="FFC00000"/>
        <rFont val="EYInterstate"/>
        <family val="0"/>
        <charset val="1"/>
      </rPr>
      <t xml:space="preserve">
2: TIAA is making a substantial long-term investment in its Pune delivery footprint
https://gcc-pulse.com/news-updates/tiaa-expands-global-capability-operations-in-pune-with-2-55-lakh-sq-ft-lease/</t>
    </r>
    <r>
      <rPr>
        <i val="true"/>
        <sz val="9"/>
        <color rgb="FFC00000"/>
        <rFont val="EYInterstate"/>
        <family val="0"/>
        <charset val="1"/>
      </rPr>
      <t xml:space="preserve">  [Oct'26 audit: belongs under Technology – Third repetition of the same lease. Consolidate into O.]
</t>
    </r>
    <r>
      <rPr>
        <b val="true"/>
        <sz val="10"/>
        <color rgb="FF00008B"/>
        <rFont val="EYInterstate"/>
        <family val="0"/>
        <charset val="1"/>
      </rPr>
      <t xml:space="preserve">
[Oct'26 verified additions]
</t>
    </r>
    <r>
      <rPr>
        <sz val="10"/>
        <color rgb="FF00008B"/>
        <rFont val="EYInterstate"/>
        <family val="0"/>
        <charset val="1"/>
      </rPr>
      <t xml:space="preserve">
(2026) TIAA is hiring client-operations roles in India (Analyst / Associate - Onboarding &amp; Client Assignment; Associate - Client Services, Pune), indicating live retirement-plan operations and client-servicing work in the GCC.
https://careers.tiaa.org/analyst-associate-onboarding-client-assignment/job/73A80F1434BAEF873D854491623A81A7
(Aug 2026) The new Pune premises are earmarked in part for risk management and client-experience teams.
https://www.constructionworld.in/policy-updates-and-economic-news/tiaa-global-capabilities-leases-255713-square-feet-in-pune/96764</t>
    </r>
  </si>
  <si>
    <r>
      <rPr>
        <strike val="true"/>
        <sz val="10"/>
        <color rgb="FFC00000"/>
        <rFont val="EYInterstate"/>
        <family val="0"/>
        <charset val="1"/>
      </rPr>
      <t xml:space="preserve">A separate corporate database reports that TIAA Global Capabilities Private Limited generated more than ₹1,000 crore in revenue for FY2025 and had 2,693 employees as of 1 March 2026. It describes the entity’s principal business activity as administrative and support services.
https://tracxn.com/d/legal-entities/india/tiaa-global-capabilities-private-limited/__FuT_ZIBWUoOVOE5O8hGvZLUxcIxSxxO0_FduMbAp1H0#about</t>
    </r>
    <r>
      <rPr>
        <i val="true"/>
        <sz val="9"/>
        <color rgb="FFC00000"/>
        <rFont val="EYInterstate"/>
        <family val="0"/>
        <charset val="1"/>
      </rPr>
      <t xml:space="preserve">  [Oct'26 audit: incorrect – Tracxn revenue/headcount data has nothing to do with Internal Audit. Replace with 'No India internal audit trends found'.]
</t>
    </r>
    <r>
      <rPr>
        <b val="true"/>
        <sz val="10"/>
        <color rgb="FF00008B"/>
        <rFont val="EYInterstate"/>
        <family val="0"/>
        <charset val="1"/>
      </rPr>
      <t xml:space="preserve">
[Oct'26 verified additions]
</t>
    </r>
    <r>
      <rPr>
        <sz val="10"/>
        <color rgb="FF00008B"/>
        <rFont val="EYInterstate"/>
        <family val="0"/>
        <charset val="1"/>
      </rPr>
      <t xml:space="preserve">
(2026) TIAA GC India finance-control analysts perform SOX control testing and audit coordination with external auditors (same posting as P) - adjacent evidence of SOX/ICFR testing work in India; no separate internal-audit department disclosed.
https://careers.tiaa.org/analyst-finance-control/job/31A93F863B6F1182CFCC849708C5E845</t>
    </r>
  </si>
  <si>
    <r>
      <rPr>
        <sz val="10"/>
        <rFont val="EYInterstate"/>
        <family val="0"/>
        <charset val="1"/>
      </rPr>
      <t xml:space="preserve">1.Enterprise GenAI platform: TIAA launched TIAA gAIt, a secure, enterprise‑wide GenAI platform enabling generative AI use cases across client servicing, content, research, asset management, and cybersecurity awareness.
2.AI Power Day was a key milestone in TIAA Global Capabilities’ journey to AI-enabled excellence. Creation of a digital library of 30+ finance‑specific AI prompts and use cases to embed AI into daily work, especially in finance and analytics roles.
3.Deepak Gupta was appointed Head of TIAA Global Capabilities, joining TIAA’s Global Leadership Team and the TIAA India Board, reporting to the Chief Operating, Information &amp; Digital Officer.
4.TIAA Global Capabilities Pvt Ltd (formerly known as TIAA Global Business Services (India) Pvt Ltd) is a Great Place To Work
</t>
    </r>
    <r>
      <rPr>
        <sz val="10"/>
        <color theme="6"/>
        <rFont val="EYInterstate"/>
        <family val="0"/>
        <charset val="1"/>
      </rPr>
      <t xml:space="preserve">5.Nuveen, TIAA and Principal® Expand Access to Guaranteed Lifetime Income, Marking the Milestone with Bobby Bonilla on His Annual Payday
</t>
    </r>
    <r>
      <rPr>
        <sz val="10"/>
        <rFont val="EYInterstate"/>
        <family val="0"/>
        <charset val="1"/>
      </rPr>
      <t xml:space="preserve">
</t>
    </r>
  </si>
  <si>
    <t xml:space="preserve">https://www.tiaa.org/public/about-tiaa/news-press/news/2024/07-17
https://www.linkedin.com/posts/val-volkau-4a9a7333_tiaaproud-activity-7435338616417128448-h2jm/
TIAA Global Capabilities Pvt Ltd (formerly known as TIAA Global Business Services (India) Pvt Ltd), a Great Place To Work
https://www.linkedin.com/feed/update/urn:li:share:7443440723737108480/
https://www.prnewswire.com/news-releases/nuveen-tiaa-and-principal-expand-access-to-guaranteed-lifetime-income-marking-the-milestone-with-bobby-bonilla-on-his-annual-payday-302815828.html
</t>
  </si>
  <si>
    <t xml:space="preserve">TIAA Careers | Global Capabilities</t>
  </si>
  <si>
    <t xml:space="preserve">Dave Dowrich</t>
  </si>
  <si>
    <t xml:space="preserve">Mike Cowell</t>
  </si>
  <si>
    <t xml:space="preserve">Deepak Gupta
https://www.linkedin.com/feed/update/urn:li:activity:7445415670017679361/</t>
  </si>
  <si>
    <t xml:space="preserve">SunLife Global Solutions</t>
  </si>
  <si>
    <t xml:space="preserve">Gurugram (Head Office) and Bengaluru
Source:
https://www.sunlife.com/slgs/en/contact-us/
https://www.sunlife.com/slgs/en/newsroom/press-releases/2026/sun-life-global-solutions-india-at-20/</t>
  </si>
  <si>
    <r>
      <rPr>
        <sz val="10"/>
        <color theme="1"/>
        <rFont val="EYInterstate"/>
        <family val="0"/>
        <charset val="1"/>
      </rPr>
      <t xml:space="preserve">SLGS provides extensive
</t>
    </r>
    <r>
      <rPr>
        <b val="true"/>
        <sz val="10"/>
        <color theme="1"/>
        <rFont val="EYInterstate"/>
        <family val="0"/>
        <charset val="1"/>
      </rPr>
      <t xml:space="preserve">Finance
</t>
    </r>
    <r>
      <rPr>
        <sz val="10"/>
        <color theme="1"/>
        <rFont val="EYInterstate"/>
        <family val="0"/>
        <charset val="1"/>
      </rPr>
      <t xml:space="preserve">Finance Shared Services, Financial Reporting, Investment Operations, Actuarial
</t>
    </r>
    <r>
      <rPr>
        <b val="true"/>
        <sz val="10"/>
        <color theme="1"/>
        <rFont val="EYInterstate"/>
        <family val="0"/>
        <charset val="1"/>
      </rPr>
      <t xml:space="preserve">Operations:
</t>
    </r>
    <r>
      <rPr>
        <sz val="10"/>
        <color theme="1"/>
        <rFont val="EYInterstate"/>
        <family val="0"/>
        <charset val="1"/>
      </rPr>
      <t xml:space="preserve">Client Care, Claims, Policy Servicing, Operations
</t>
    </r>
    <r>
      <rPr>
        <b val="true"/>
        <sz val="10"/>
        <color theme="1"/>
        <rFont val="EYInterstate"/>
        <family val="0"/>
        <charset val="1"/>
      </rPr>
      <t xml:space="preserve">Technology:
</t>
    </r>
    <r>
      <rPr>
        <sz val="10"/>
        <color theme="1"/>
        <rFont val="EYInterstate"/>
        <family val="0"/>
        <charset val="1"/>
      </rPr>
      <t xml:space="preserve">Digital Engineering, Data &amp; Analytics, AI/GenAI, Infrastructure, Application Development
Source:
https://www.sunlife.com/slgs/en/services/
https://www.sunlife.com/slgs/en/newsroom/press-releases/2026/sun-life-global-solutions-india-at-20/
https://www.sunlife.com/slgs/en/</t>
    </r>
  </si>
  <si>
    <t xml:space="preserve">Local GCC FTE: ~5,000 employees
https://www.techcircle.in/2025/07/14/significant-rise-in-strategic-leadership-roles-at-sun-life-global-solutions-in-last-5-yrs-ajayan-narayanan</t>
  </si>
  <si>
    <t xml:space="preserve">Since 2006</t>
  </si>
  <si>
    <t xml:space="preserve">Sujoy Ghosh</t>
  </si>
  <si>
    <r>
      <rPr>
        <sz val="10"/>
        <rFont val="EYInterstate"/>
        <family val="0"/>
        <charset val="1"/>
      </rPr>
      <t xml:space="preserve">1: SLGS India is scaling GenAI from experimentation toward global deployment
https://www.cxodigitalpulse.com/sun-life-global-solutions-india-at-20-driving-enterprise-impact-innovation-and-transformation/
</t>
    </r>
    <r>
      <rPr>
        <strike val="true"/>
        <sz val="10"/>
        <color rgb="FFC00000"/>
        <rFont val="EYInterstate"/>
        <family val="0"/>
        <charset val="1"/>
      </rPr>
      <t xml:space="preserve">
2: AI is becoming part of SLGS India’s enterprise value-creation model, with governance remaining central
https://gcc.economictimes.indiatimes.com/videos/power-talks/gccs-as-growth-engines-inside-sun-life-global-solutions-ai-journey/126136910</t>
    </r>
    <r>
      <rPr>
        <i val="true"/>
        <sz val="9"/>
        <color rgb="FFC00000"/>
        <rFont val="EYInterstate"/>
        <family val="0"/>
        <charset val="1"/>
      </rPr>
      <t xml:space="preserve">  [Oct'26 audit: no credible source found – ET GCC 'Power Talks' video URL not retrievable via search; governance claim unverified.]
</t>
    </r>
    <r>
      <rPr>
        <b val="true"/>
        <sz val="10"/>
        <color rgb="FF00008B"/>
        <rFont val="EYInterstate"/>
        <family val="0"/>
        <charset val="1"/>
      </rPr>
      <t xml:space="preserve">
[Oct'26 verified additions]
</t>
    </r>
    <r>
      <rPr>
        <sz val="10"/>
        <color rgb="FF00008B"/>
        <rFont val="EYInterstate"/>
        <family val="0"/>
        <charset val="1"/>
      </rPr>
      <t xml:space="preserve">
(Feb 2026) Marking 20 years in India, SLGS reported supporting 20+ GenAI innovation pilots for global deployment, with offices in Gurugram and Bengaluru serving all Sun Life pillars (Canada, Asia, US, Asset Management and Corporate functions).
https://www.sunlife.com/slgs/en/newsroom/press-releases/2026/sun-life-global-solutions-india-at-20/
(Feb 2026) SLGS leadership frames the 20-year milestone as a launchpad to 'accelerate AI-led innovation' and build a workforce skilled in emerging technologies.
https://www.cxodigitalpulse.com/?p=45758
(Nov 2024) SLGS partnered with IIT Indore (announced 29 Nov 2024) to apply AI/ML, data analytics and GenAI to insurance problems such as risk appraisal, claims settlement and customer segmentation; the partnership is cited again in the Feb 2026 'India at 20' release.
https://www.sunlife.com/slgs/en/newsroom/press-releases/2024/sun-life-global-solutions-partners-with-IIT-Indore-to-foster-innovation/
(May 2026) New MD Bianca Ilibasic previously shaped Sun Life Asia's AI roadmap and straight-through processing as Asia COO; her SLGS mandate is to scale the centre as an enterprise capability across 28 markets.
https://www.sunlife.com/slgs/en/newsroom/press-releases/2026/sun-life-appoints-bianca-ilibasic-as-managing-director-sun-life/</t>
    </r>
  </si>
  <si>
    <r>
      <rPr>
        <strike val="true"/>
        <sz val="10"/>
        <color rgb="FFC00000"/>
        <rFont val="EYInterstate"/>
        <family val="0"/>
        <charset val="1"/>
      </rPr>
      <t xml:space="preserve">1: SLGS India delivered strong FY2025 revenue growth and remained profitable
https://www.thecompanycheck.com/company/sun-life-global-solutions-private-limited/U74140HR2006FTC036049</t>
    </r>
    <r>
      <rPr>
        <i val="true"/>
        <sz val="9"/>
        <color rgb="FFC00000"/>
        <rFont val="EYInterstate"/>
        <family val="0"/>
        <charset val="1"/>
      </rPr>
      <t xml:space="preserve">  [Oct'26 audit: incorrect – Registry financials are not evidence of a Finance function. Remove.]
</t>
    </r>
    <r>
      <rPr>
        <sz val="10"/>
        <rFont val="EYInterstate"/>
        <family val="0"/>
        <charset val="1"/>
      </rPr>
      <t xml:space="preserve">
2: Finance, investment operations and actuarial capabilities are becoming part of an integrated enterprise hub
https://gcc.economictimes.indiatimes.com/news/people-culture/behind-the-strategic-reset-at-sun-life-global-solutions/126248822
</t>
    </r>
    <r>
      <rPr>
        <b val="true"/>
        <sz val="10"/>
        <color rgb="FF00008B"/>
        <rFont val="EYInterstate"/>
        <family val="0"/>
        <charset val="1"/>
      </rPr>
      <t xml:space="preserve">
[Oct'26 verified additions]
</t>
    </r>
    <r>
      <rPr>
        <sz val="10"/>
        <color rgb="FF00008B"/>
        <rFont val="EYInterstate"/>
        <family val="0"/>
        <charset val="1"/>
      </rPr>
      <t xml:space="preserve">
(May 2026) Finance is one of the multi-functional teams under the new SLGS Managing Director (Technology, Operations, Analytics, Actuarial, HR, Finance, Risk &amp; Compliance), confirming a live finance shared-services function in India/Philippines.
https://www.sunlife.com/slgs/en/newsroom/press-releases/2026/sun-life-appoints-bianca-ilibasic-as-managing-director-sun-life/</t>
    </r>
  </si>
  <si>
    <r>
      <rPr>
        <sz val="10"/>
        <rFont val="EYInterstate"/>
        <family val="0"/>
        <charset val="1"/>
      </rPr>
      <t xml:space="preserve">1: SLGS India has evolved from an operations and application-maintenance centre into an integrated insurance and asset-management capability hub
https://www.thehansindia.com/business/sun-life-global-solutions-india-at-20-driving-enterprise-impact-innovation-and-transformation-1050637
</t>
    </r>
    <r>
      <rPr>
        <strike val="true"/>
        <sz val="10"/>
        <color rgb="FFC00000"/>
        <rFont val="EYInterstate"/>
        <family val="0"/>
        <charset val="1"/>
      </rPr>
      <t xml:space="preserve">
2: SLGS India is moving toward accountability for upstream business and client outcomes
https://gcc.economictimes.indiatimes.com/news/people-culture/behind-the-strategic-reset-at-sun-life-global-solutions/126248822</t>
    </r>
    <r>
      <rPr>
        <i val="true"/>
        <sz val="9"/>
        <color rgb="FFC00000"/>
        <rFont val="EYInterstate"/>
        <family val="0"/>
        <charset val="1"/>
      </rPr>
      <t xml:space="preserve">  [Oct'26 audit: no credible source found – ET GCC 'strategic reset' URL not retrievable; claim not independently verified.]
</t>
    </r>
    <r>
      <rPr>
        <strike val="true"/>
        <sz val="10"/>
        <color rgb="FFC00000"/>
        <rFont val="EYInterstate"/>
        <family val="0"/>
        <charset val="1"/>
      </rPr>
      <t xml:space="preserve">
3: Insurance-operations development: Client care and process efficiency are being integrated with digital modernisation
https://gcc.economictimes.indiatimes.com/news/people-culture/behind-the-strategic-reset-at-sun-life-global-solutions/126248822</t>
    </r>
    <r>
      <rPr>
        <i val="true"/>
        <sz val="9"/>
        <color rgb="FFC00000"/>
        <rFont val="EYInterstate"/>
        <family val="0"/>
        <charset val="1"/>
      </rPr>
      <t xml:space="preserve">  [Oct'26 audit: no credible source found – Same unretrievable ET GCC URL; generic claim.]
</t>
    </r>
    <r>
      <rPr>
        <b val="true"/>
        <sz val="10"/>
        <color rgb="FF00008B"/>
        <rFont val="EYInterstate"/>
        <family val="0"/>
        <charset val="1"/>
      </rPr>
      <t xml:space="preserve">
[Oct'26 verified additions]
</t>
    </r>
    <r>
      <rPr>
        <sz val="10"/>
        <color rgb="FF00008B"/>
        <rFont val="EYInterstate"/>
        <family val="0"/>
        <charset val="1"/>
      </rPr>
      <t xml:space="preserve">
(May 2026) Sun Life appointed Bianca Ilibasic (ex-VP &amp; COO, Sun Life Asia) as SLGS Managing Director, leading India and Philippines teams including Operations, Actuarial and Risk &amp; Compliance supporting Sun Life across 28 markets.
https://www.sunlife.com/slgs/en/newsroom/press-releases/2026/sun-life-appoints-bianca-ilibasic-as-managing-director-sun-life/
(Feb 2026) SLGS says it has evolved from a 2006 operations and application-maintenance delivery centre into an integrated global capability hub enabling 'scaled operations' and process innovation for all Sun Life business groups; it also works with 20+ FinTech/InsurTech start-ups on modernisation.
https://www.sunlife.com/slgs/en/newsroom/press-releases/2026/sun-life-global-solutions-india-at-20/</t>
    </r>
  </si>
  <si>
    <r>
      <rPr>
        <strike val="true"/>
        <sz val="10"/>
        <color rgb="FFC00000"/>
        <rFont val="EYInterstate"/>
        <family val="0"/>
        <charset val="1"/>
      </rPr>
      <t xml:space="preserve">1: AI governance and responsible innovation are visible
https://gcc.economictimes.indiatimes.com/videos/power-talks/gccs-as-growth-engines-inside-sun-life-global-solutions-ai-journey/126136910</t>
    </r>
    <r>
      <rPr>
        <i val="true"/>
        <sz val="9"/>
        <color rgb="FFC00000"/>
        <rFont val="EYInterstate"/>
        <family val="0"/>
        <charset val="1"/>
      </rPr>
      <t xml:space="preserve">  [Oct'26 audit: belongs under Technology – AI governance is a technology/risk theme, not internal audit/SOX; ET video URL unverified.]
</t>
    </r>
    <r>
      <rPr>
        <strike val="true"/>
        <sz val="10"/>
        <color rgb="FFC00000"/>
        <rFont val="EYInterstate"/>
        <family val="0"/>
        <charset val="1"/>
      </rPr>
      <t xml:space="preserve">
2: Sun Life released its 2025 Annual Report, Sustainability Report and Public Accountability Statement in March 2026. The group report discusses responsible AI guided by trust, privacy and responsible innovation and states that more than 50 strategic GenAI tools were deployed during 2025.
https://sunlife.mediaroom.com/2026-03-24-Sun-Life-releases-2025-Annual-Reports</t>
    </r>
    <r>
      <rPr>
        <i val="true"/>
        <sz val="9"/>
        <color rgb="FFC00000"/>
        <rFont val="EYInterstate"/>
        <family val="0"/>
        <charset val="1"/>
      </rPr>
      <t xml:space="preserve">  [Oct'26 audit: belongs under Technology – Group-level (Canada) annual report content; not India internal audit.]
</t>
    </r>
    <r>
      <rPr>
        <b val="true"/>
        <sz val="10"/>
        <color rgb="FF00008B"/>
        <rFont val="EYInterstate"/>
        <family val="0"/>
        <charset val="1"/>
      </rPr>
      <t xml:space="preserve">
[Oct'26 verified additions]
</t>
    </r>
    <r>
      <rPr>
        <sz val="10"/>
        <color rgb="FF00008B"/>
        <rFont val="EYInterstate"/>
        <family val="0"/>
        <charset val="1"/>
      </rPr>
      <t xml:space="preserve">
(May 2026) SLGS houses Risk &amp; Compliance teams under the MD's remit (no internal-audit/SOX team disclosed specifically; treat as adjacent evidence only).
https://www.sunlife.com/slgs/en/newsroom/press-releases/2026/sun-life-appoints-bianca-ilibasic-as-managing-director-sun-life/</t>
    </r>
  </si>
  <si>
    <r>
      <rPr>
        <sz val="10"/>
        <rFont val="EYInterstate"/>
        <family val="0"/>
        <charset val="1"/>
      </rPr>
      <t xml:space="preserve">1.Sun Life Global Solutions India at 20: Driving Enterprise Impact, Innovation and transformation
2.India and the Philippines together serve all Sun Life geographies — Canada, the U.S., Asia, and Asset Management &amp; Corporate functions. Over two decades, SLGS moved from application maintenance and operations to enterprise‑wide digital transformation, AI, engineering, analytics, actuarial, finance, legal, and HR shared services.
3.In 2024–2025, SLGS developed 20+ Generative AI proofs‑of‑concept, many of which moved into production — including intelligent chatbots, workflow automation, and developer productivity tools.
4.India teams now handle complete customer and policy lifecycles, including onboarding, underwriting, servicing, and claims for multiple product lines.
5.SLGS is scaling AI-led innovation with 20+ GenAI pilots, collaborating with 20+ FinTech and InsurTech startups, and strengthening advanced analytics capabilities through academic partnerships, including IIT Indore.
</t>
    </r>
    <r>
      <rPr>
        <sz val="10"/>
        <color theme="6"/>
        <rFont val="EYInterstate"/>
        <family val="0"/>
        <charset val="1"/>
      </rPr>
      <t xml:space="preserve">6.Bianca Ilibasic appointed Managing Director of Sun Life Global Solutions.</t>
    </r>
  </si>
  <si>
    <t xml:space="preserve">Sun Life Global Solutions India at 20: Driving Enterprise Impact, Innovation and transformation | Sun Life Global Solutions
https://gcc.economictimes.indiatimes.com/videos/power-talks/gccs-as-growth-engines-inside-sun-life-global-solutions-ai-journey/126136910?utm_source=top_news&amp;utm_medium=tagListing
https://etedge-insights.com/trending/sun-life-global-solutions-india-marks-20-years-of-transformation-and-innovation/
https://www.techcircle.in/2025/07/14/significant-rise-in-strategic-leadership-roles-at-sun-life-global-solutions-in-last-5-yrs-ajayan-narayanan
https://www.expresscomputer.in/exclusives/mirror-operations-shifted-us-from-lift-and-shift-to-transform-and-shift-rajat-vibhas-sun-life-global-solutions-india/127163/
https://www.linkedin.com/posts/gccpulse_globalcapabilitycentres-gccnews-activity-7431629843320020992-fAJE/
https://gcc.economictimes.indiatimes.com/news/people-culture/bianca-ilibasic-appointed-managing-director-of-sun-life-global-solutions/131171852</t>
  </si>
  <si>
    <t xml:space="preserve">Group level only </t>
  </si>
  <si>
    <t xml:space="preserve">Tarun Sareen</t>
  </si>
  <si>
    <t xml:space="preserve">Optum India (GCC)</t>
  </si>
  <si>
    <t xml:space="preserve">Gurugram, Haryana - HO
Hyderabad, Bengaluru, Chennai, Noida and Pune
https://www.optum.in/contact.html</t>
  </si>
  <si>
    <r>
      <rPr>
        <sz val="10"/>
        <color theme="1"/>
        <rFont val="EYInterstate"/>
        <family val="0"/>
        <charset val="1"/>
      </rPr>
      <t xml:space="preserve">Optum India publicly states that its global operations include
</t>
    </r>
    <r>
      <rPr>
        <b val="true"/>
        <sz val="10"/>
        <color theme="1"/>
        <rFont val="EYInterstate"/>
        <family val="0"/>
        <charset val="1"/>
      </rPr>
      <t xml:space="preserve">Finance
</t>
    </r>
    <r>
      <rPr>
        <sz val="10"/>
        <color theme="1"/>
        <rFont val="EYInterstate"/>
        <family val="0"/>
        <charset val="1"/>
      </rPr>
      <t xml:space="preserve">Financial Operations, AP, Treasury, Revenue Cycle, Payment Integrity
</t>
    </r>
    <r>
      <rPr>
        <b val="true"/>
        <sz val="10"/>
        <color theme="1"/>
        <rFont val="EYInterstate"/>
        <family val="0"/>
        <charset val="1"/>
      </rPr>
      <t xml:space="preserve">Operations
</t>
    </r>
    <r>
      <rPr>
        <sz val="10"/>
        <color theme="1"/>
        <rFont val="EYInterstate"/>
        <family val="0"/>
        <charset val="1"/>
      </rPr>
      <t xml:space="preserve">Claims, Provider Operations, PBM, Billing, Contact Center, Clinical Support
</t>
    </r>
    <r>
      <rPr>
        <b val="true"/>
        <sz val="10"/>
        <color theme="1"/>
        <rFont val="EYInterstate"/>
        <family val="0"/>
        <charset val="1"/>
      </rPr>
      <t xml:space="preserve">Technology
</t>
    </r>
    <r>
      <rPr>
        <sz val="10"/>
        <color theme="1"/>
        <rFont val="EYInterstate"/>
        <family val="0"/>
        <charset val="1"/>
      </rPr>
      <t xml:space="preserve">Software Engineering, AI/GenAI, Cloud, Analytics, ML, Digital Health, Claims Technology
Source:
https://www.optum.in/global-operations.html
https://www.businessofgcc.com/gcc-data/companies/unitedhealth-group-india-gurugram
https://placemeright.in/companies/optum-india/
https://www.optum.in/</t>
    </r>
  </si>
  <si>
    <t xml:space="preserve">Company size: 10,001+ employees
https://www.linkedin.com/company/optumindia</t>
  </si>
  <si>
    <t xml:space="preserve">Since 2022
</t>
  </si>
  <si>
    <t xml:space="preserve">Andrew Witty</t>
  </si>
  <si>
    <r>
      <rPr>
        <strike val="true"/>
        <sz val="10"/>
        <color rgb="FFC00000"/>
        <rFont val="EYInterstate"/>
        <family val="0"/>
        <charset val="1"/>
      </rPr>
      <t xml:space="preserve">1: Optum India is moving from delivery execution toward AI-led healthcare innovation and outcome ownership
https://gcc.economictimes.indiatimes.com/news/talent-strategy/built-to-scale-optum-india-on-building-ai-led-healthcare/130275751</t>
    </r>
    <r>
      <rPr>
        <i val="true"/>
        <sz val="9"/>
        <color rgb="FFC00000"/>
        <rFont val="EYInterstate"/>
        <family val="0"/>
        <charset val="1"/>
      </rPr>
      <t xml:space="preserve">  [Oct'26 audit: no credible source found – ET GCC URL not retrievable. Direction corroborated by optum.in (MD recognised for healthcare innovation, digital transformation).]
</t>
    </r>
    <r>
      <rPr>
        <strike val="true"/>
        <sz val="10"/>
        <color rgb="FFC00000"/>
        <rFont val="EYInterstate"/>
        <family val="0"/>
        <charset val="1"/>
      </rPr>
      <t xml:space="preserve">
2: Responsible AI, explainability and healthcare impact are becoming central to the India GCC’s technology direction
https://www.optum.in/about/news/future-of-global-capability-centers-in-ai-era.html</t>
    </r>
    <r>
      <rPr>
        <i val="true"/>
        <sz val="9"/>
        <color rgb="FFC00000"/>
        <rFont val="EYInterstate"/>
        <family val="0"/>
        <charset val="1"/>
      </rPr>
      <t xml:space="preserve">  [Oct'26 audit: no credible source found – optum.in URL exists but no extract surfaced to verify the responsible-AI/explainability wording.]
</t>
    </r>
    <r>
      <rPr>
        <b val="true"/>
        <sz val="10"/>
        <color rgb="FF00008B"/>
        <rFont val="EYInterstate"/>
        <family val="0"/>
        <charset val="1"/>
      </rPr>
      <t xml:space="preserve">
[Oct'26 verified additions]
</t>
    </r>
    <r>
      <rPr>
        <sz val="10"/>
        <color rgb="FF00008B"/>
        <rFont val="EYInterstate"/>
        <family val="0"/>
        <charset val="1"/>
      </rPr>
      <t xml:space="preserve">
(Apr 2026) ANSR launched a Healthcare GCC Accelerator platform (1 Apr 2026) in partnership with Optum, combining ANSR's GCC build model with Optum.ai technology and healthcare domain expertise to help healthcare enterprises build AI-enabled capability centres in India.
https://www.digitalhealthnews.com/ansr-launches-healthcare-gcc-accelerator-platform-to-drive-ai-enabled-enterprise-transformation
(Apr 2026) ANSR's own announcement: it will leverage Optum.ai to help customers modernise operations and embed AI into core workflows.
https://ansr.com/?p=67716
(2026) Optum India MD Uma Ratnam Krishnan named among Analytics India Magazine's Top Life Sciences &amp; Healthcare GCC Heads in India 2026, credited for driving healthcare innovation and digital transformation.
https://www.optum.in/about/news/uma-ratnam-krishnan-top-gcc-leader-2026.html
(2026) UnitedHealth Group is hiring a Director, AI/ML Engineering (GCC Sales and Solution) in Bengaluru, signalling an AI engineering build-out in the India GCC.
https://careers.unitedhealthgroup.com/job/bengaluru/director-ai-ml-engineering-gcc-sales-and-solution/50688/96482817536</t>
    </r>
  </si>
  <si>
    <r>
      <rPr>
        <strike val="true"/>
        <sz val="10"/>
        <color rgb="FFC00000"/>
        <rFont val="EYInterstate"/>
        <family val="0"/>
        <charset val="1"/>
      </rPr>
      <t xml:space="preserve">1: The principal India GCC entity reported strong FY2025 revenue and profitability
https://www.thecompanycheck.com/company/optum-global-solutions-india-private-limited/U72900TG2010PTC067943</t>
    </r>
    <r>
      <rPr>
        <i val="true"/>
        <sz val="9"/>
        <color rgb="FFC00000"/>
        <rFont val="EYInterstate"/>
        <family val="0"/>
        <charset val="1"/>
      </rPr>
      <t xml:space="preserve">  [Oct'26 audit: incorrect – Registry financials, not a Finance-function trend. Remove.]
</t>
    </r>
    <r>
      <rPr>
        <strike val="true"/>
        <sz val="10"/>
        <color rgb="FFC00000"/>
        <rFont val="EYInterstate"/>
        <family val="0"/>
        <charset val="1"/>
      </rPr>
      <t xml:space="preserve">
2: A separate Optum health-technology entity recorded material FY2025 growth
https://tracxn.com/d/legal-entities/india/optum-health-technology-india-private-limited/__XTY3YsFj4wyyasfYCZcfdk4u0OgxNk0bycAQ2-HqxTY</t>
    </r>
    <r>
      <rPr>
        <i val="true"/>
        <sz val="9"/>
        <color rgb="FFC00000"/>
        <rFont val="EYInterstate"/>
        <family val="0"/>
        <charset val="1"/>
      </rPr>
      <t xml:space="preserve">  [Oct'26 audit: incorrect – Tracxn financials, not a Finance-function trend. Remove.]</t>
    </r>
  </si>
  <si>
    <r>
      <rPr>
        <strike val="true"/>
        <sz val="10"/>
        <color rgb="FFC00000"/>
        <rFont val="EYInterstate"/>
        <family val="0"/>
        <charset val="1"/>
      </rPr>
      <t xml:space="preserve">1: India’s operating model is shifting toward integrated, capability-led ownership across the healthcare value chain
https://gcc.economictimes.indiatimes.com/news/talent-strategy/built-to-scale-optum-india-on-building-ai-led-healthcare/130275751</t>
    </r>
    <r>
      <rPr>
        <i val="true"/>
        <sz val="9"/>
        <color rgb="FFC00000"/>
        <rFont val="EYInterstate"/>
        <family val="0"/>
        <charset val="1"/>
      </rPr>
      <t xml:space="preserve">  [Oct'26 audit: no credible source found – Same unretrievable ET GCC URL.]
</t>
    </r>
    <r>
      <rPr>
        <strike val="true"/>
        <sz val="10"/>
        <color rgb="FFC00000"/>
        <rFont val="EYInterstate"/>
        <family val="0"/>
        <charset val="1"/>
      </rPr>
      <t xml:space="preserve">
2: Healthcare operations are increasingly being integrated with advanced analytics and technology
https://www.optum.in/about/careers.html</t>
    </r>
    <r>
      <rPr>
        <i val="true"/>
        <sz val="9"/>
        <color rgb="FFC00000"/>
        <rFont val="EYInterstate"/>
        <family val="0"/>
        <charset val="1"/>
      </rPr>
      <t xml:space="preserve">  [Oct'26 audit: no credible source found – Generic careers page citation; no dated news. Weak.]
</t>
    </r>
    <r>
      <rPr>
        <sz val="10"/>
        <rFont val="EYInterstate"/>
        <family val="0"/>
        <charset val="1"/>
      </rPr>
      <t xml:space="preserve">
3: A major Chennai GCC expansion increased Optum’s India operating footprint
https://economictimes.indiatimes.com/topic/optum-global-solutions
</t>
    </r>
    <r>
      <rPr>
        <b val="true"/>
        <sz val="10"/>
        <color rgb="FF00008B"/>
        <rFont val="EYInterstate"/>
        <family val="0"/>
        <charset val="1"/>
      </rPr>
      <t xml:space="preserve">
[Oct'26 verified additions]
</t>
    </r>
    <r>
      <rPr>
        <sz val="10"/>
        <color rgb="FF00008B"/>
        <rFont val="EYInterstate"/>
        <family val="0"/>
        <charset val="1"/>
      </rPr>
      <t xml:space="preserve">
(2025) Optum Global Solutions leased 500,000 sq ft at Embassy Splendid Tech Zone, Chennai for a new GCC (operational from Q3 2025), adding to ~750,000 sq ft in Noida and Bengaluru; Optum India employs 30,000+ across Noida, Bengaluru and Chennai.
https://www.digitalhealthnews.com/optum-expands-healthcare-gcc-network-with-chennai-office-lease</t>
    </r>
  </si>
  <si>
    <r>
      <rPr>
        <sz val="10"/>
        <rFont val="EYInterstate"/>
        <family val="0"/>
        <charset val="1"/>
      </rPr>
      <t xml:space="preserve">1.'- Optum is advancing AI-powered digital prior authorization to reshape care delivery
 - Optum uses AI to drive affordability and accelerate value-based care adoption
 - Optum Real expands with Microsoft to improve the provider experience across claims and reimbursement
 - Optum IIIT-Hyderabad to set up startup studio
 - ANSR and Optum Launch AI Platform for Healthcare's In-House Tech Hubs
 - GCCs are shaping global healthcare strategies and future leaders
2.With over two decades of presence and operations across five cities, Optum India exemplifies this evolution. The center integrates technology, data, operations and clinical expertise to deliver end-to-end healthcare solutions. “We are not just supporting global teams — we are co-creating with them,” Krishnan noted.
3.A key driver of this transformation is India’s vast and diverse talent pool. In India, over 1.6 million professionals are currently employed in GCCs, and that number is expected to rise to 4.2 million by 2030. Krishnan also underscored the growing inclusion of women in leadership, with 30% of future global roles expected to be held by women in India. 
She called for continued investment in second-tier cities like Indore, Vizag and Kota to tap into untapped talent and reduce operational costs.
</t>
    </r>
    <r>
      <rPr>
        <sz val="10"/>
        <color theme="6"/>
        <rFont val="EYInterstate"/>
        <family val="0"/>
        <charset val="1"/>
      </rPr>
      <t xml:space="preserve">4.ANSR has launched a new Healthcare GCC Accelerator powered by advanced AI capabilities in partnership with Optum. Announced on April 2, 2026, the platform helps healthcare enterprises rapidly build and scale AI-enabled Global Capability Centres (GCCs) by integrating strategy, site setup, workforce planning, governance, and Optum.ai technologies for modernizing operations in areas like revenue cycle management, prior authorization, and clinical workflows.</t>
    </r>
  </si>
  <si>
    <t xml:space="preserve">https://www.optum.com/en/about-us/news/page.hub5.ai-powered-digital-prior-authorization.html
https://briefglance.com/articles/ansr-and-optum-launch-ai-platform-for-healthcares-in-house-tech-hubs
https://www.optum.com/en/about-us/news/page.hub5.ai-drives-affordability-accelerate-value-based-care-adoption.html
Optum is advancing AI-powered digital prior authorization to reshape care delivery
https://www.optum.com/en/about-us/news/page.hub5.ai-drives-affordability-accelerate-value-based-care-adoption.html
https://www.optum.com/en/about-us/news/page.hub5.improving-provider-experience-across-claims-reimbursement.html
https://telanganatoday.com/optum-iiit-hyderabad-to-set-up-startup-studio
https://www.optum.in/about/news/how-gccs-are-shaping-global-strategies-future-leaders.html
https://healthbuzz.in/ansr-launches-ai-powered-healthcare-gcc-accelerator-to-accelerate-digital-transformation/
</t>
  </si>
  <si>
    <t xml:space="preserve">Work here</t>
  </si>
  <si>
    <t xml:space="preserve">Chetan Garg</t>
  </si>
  <si>
    <t xml:space="preserve">Uma Ratnam Krishnan (MD &amp; CEO ) of optum india</t>
  </si>
  <si>
    <t xml:space="preserve">Prudential Service India (GCC) 
</t>
  </si>
  <si>
    <t xml:space="preserve">Bengaluru
https://www.prudentialplc.com/en/newsroom/company-news/2025/prudential-launches-global-services-hub-in-bengaluru-india/</t>
  </si>
  <si>
    <t xml:space="preserve">Technology, operations, data, AI, software development, automated testing, cybersecurity, data analytics, innovation and digital transformation
https://www.prudentialplc.com/en/newsroom/company-news/2025/prudential-launches-global-services-hub-in-bengaluru-india/</t>
  </si>
  <si>
    <t xml:space="preserve">Not Verifiable (~400 (Mar'25))
https://www.prudentialplc.com/en/newsroom/company-news/2025/prudential-launches-global-services-hub-in-bengaluru-india/</t>
  </si>
  <si>
    <t xml:space="preserve">400+</t>
  </si>
  <si>
    <t xml:space="preserve">Since 2025
</t>
  </si>
  <si>
    <t xml:space="preserve">Anil Wadhwani</t>
  </si>
  <si>
    <r>
      <rPr>
        <sz val="10"/>
        <rFont val="EYInterstate"/>
        <family val="0"/>
        <charset val="1"/>
      </rPr>
      <t xml:space="preserve">1: Bengaluru has been established as one of Prudential plc’s two global technology and operations hubs
https://www.prudentialplc.com/en/newsroom/company-news/2025/prudential-launches-global-services-hub-in-bengaluru-india/
2: The India hub is supporting digital customer, agency, data and security platforms
https://hubbis.com/news/prudential-establishes-global-services-hub-in-india-to-drive-innovation
3: The technology strategy is focused on modernising Prudential’s core insurance operating environment
https://insuranceasia.com/insurance/news/prudential-services-india-expand-adding-over-400-tech-professionals
</t>
    </r>
    <r>
      <rPr>
        <b val="true"/>
        <sz val="10"/>
        <color rgb="FF00008B"/>
        <rFont val="EYInterstate"/>
        <family val="0"/>
        <charset val="1"/>
      </rPr>
      <t xml:space="preserve">
[Oct'26 verified additions]
</t>
    </r>
    <r>
      <rPr>
        <sz val="10"/>
        <color rgb="FF00008B"/>
        <rFont val="EYInterstate"/>
        <family val="0"/>
        <charset val="1"/>
      </rPr>
      <t xml:space="preserve">
(Mar 2025) Prudential plc opened Prudential Services India in Bengaluru (12 Mar 2025), its first fully owned facility in India, to grow to 400+ professionals over three years in data, AI, software development, automated testing and cybersecurity; it supports PRUServices and PRUForce platform development.
https://www.prudentialplc.com/en/newsroom/company-news/2025/prudential-launches-global-services-hub-in-bengaluru-india/
(2026) Prudential plc is recruiting in Bengaluru for roles such as Manager - Ethical Hacking/Penetration Testing (leading a team performing penetration testing for Prudential globally) and Senior Manager - Developer, Consolidation &amp; Planning Systems, evidencing ongoing engineering and cybersecurity build-out at the hub (job-board evidence).
https://builtinbengaluru.in/job/manager-ethicalhacking-penetration-testing/7540087</t>
    </r>
  </si>
  <si>
    <r>
      <rPr>
        <strike val="true"/>
        <sz val="10"/>
        <color rgb="FFC00000"/>
        <rFont val="EYInterstate"/>
        <family val="0"/>
        <charset val="1"/>
      </rPr>
      <t xml:space="preserve">1: The Indian legal entity reached material operating scale by FY2025
https://tracxn.com/d/legal-entities/india/prudential-technology-and-services-india-private-limited/__vllf7RZDDpCgx5Sm-nVIKyYvDsQiASqGo82U0QCO3F0</t>
    </r>
    <r>
      <rPr>
        <i val="true"/>
        <sz val="9"/>
        <color rgb="FFC00000"/>
        <rFont val="EYInterstate"/>
        <family val="0"/>
        <charset val="1"/>
      </rPr>
      <t xml:space="preserve">  [Oct'26 audit: incorrect – Tracxn registry data is not a Finance-function trend. Remove.]
</t>
    </r>
    <r>
      <rPr>
        <sz val="10"/>
        <rFont val="EYInterstate"/>
        <family val="0"/>
        <charset val="1"/>
      </rPr>
      <t xml:space="preserve">
2: The centre is designed to generate economies of skill and scale, but no separate finance-transformation programme is disclosed
https://www.prudentialplc.com/en/newsroom/company-news/2025/prudential-launches-global-services-hub-in-bengaluru-india/
</t>
    </r>
    <r>
      <rPr>
        <b val="true"/>
        <sz val="10"/>
        <color rgb="FF00008B"/>
        <rFont val="EYInterstate"/>
        <family val="0"/>
        <charset val="1"/>
      </rPr>
      <t xml:space="preserve">
[Oct'26 verified additions]
</t>
    </r>
    <r>
      <rPr>
        <sz val="10"/>
        <color rgb="FF00008B"/>
        <rFont val="EYInterstate"/>
        <family val="0"/>
        <charset val="1"/>
      </rPr>
      <t xml:space="preserve">
(2026) Prudential plc is hiring finance roles at the Bengaluru hub (e.g. Senior Executive - Finance, contract; Senior Manager - Developer, Consolidation &amp; Planning Systems) in a 'tightly controlled environment' requiring SOX understanding and coordination with internal/external audit - limited evidence of finance/finance-systems work in India (job-board evidence).
https://builtinbengaluru.in/job/senior-executive-finance-contract/7563619</t>
    </r>
  </si>
  <si>
    <r>
      <rPr>
        <sz val="10"/>
        <rFont val="EYInterstate"/>
        <family val="0"/>
        <charset val="1"/>
      </rPr>
      <t xml:space="preserve">1: The Bengaluru hub centralises operational support for Prudential’s Asia and Africa businesses
https://insuranceasia.com/insurance/news/prudential-services-india-expand-adding-over-400-tech-professionals
2: Customer and agency servicing are moving toward digital platform-based delivery
https://hubbis.com/news/prudential-establishes-global-services-hub-in-india-to-drive-innovation
</t>
    </r>
    <r>
      <rPr>
        <b val="true"/>
        <sz val="10"/>
        <color rgb="FF00008B"/>
        <rFont val="EYInterstate"/>
        <family val="0"/>
        <charset val="1"/>
      </rPr>
      <t xml:space="preserve">
[Oct'26 verified additions]
</t>
    </r>
    <r>
      <rPr>
        <sz val="10"/>
        <color rgb="FF00008B"/>
        <rFont val="EYInterstate"/>
        <family val="0"/>
        <charset val="1"/>
      </rPr>
      <t xml:space="preserve">
(Mar 2025) The Bengaluru hub is one of two global services hubs providing a central source of technology and operations expertise to Prudential's Asia and Africa markets, including digital customer self-servicing (PRUServices) and digital agency (PRUForce) platforms rolled out across Asia.
https://www.finews.asia/finance/42932-prudential-services-india-bengaluru-technology-data-ai-software-development-automated-testing-cybersecurity
(May 2026) Group context: Prudential plc agreed to acquire a 75% stake in Bharti Life Insurance for Rs3,500 crore (~US$389m) cash plus up to Rs700 crore contingent, its first management control of an Indian life insurer; subject to regulatory approvals. Not a GCC item but relevant to India insurance footprint.
https://www.prudentialplc.com/en/newsroom/company-news/2026/Prudential-plc-repositions-its-India-operations-through--a-controlling-stake-in-Bharti-Life-Insurance/</t>
    </r>
  </si>
  <si>
    <r>
      <rPr>
        <strike val="true"/>
        <sz val="10"/>
        <color rgb="FFC00000"/>
        <rFont val="EYInterstate"/>
        <family val="0"/>
        <charset val="1"/>
      </rPr>
      <t xml:space="preserve">1: Prudential Services India was established with cybersecurity as one of its core capability areas. Independent coverage also states that the centre will contribute to enhanced security operations.
https://hubbis.com/news/prudential-establishes-global-services-hub-in-india-to-drive-innovation</t>
    </r>
    <r>
      <rPr>
        <i val="true"/>
        <sz val="9"/>
        <color rgb="FFC00000"/>
        <rFont val="EYInterstate"/>
        <family val="0"/>
        <charset val="1"/>
      </rPr>
      <t xml:space="preserve">  [Oct'26 audit: belongs under Technology – Cybersecurity is a Technology capability, not internal audit/SOX. Already captured in O.]
</t>
    </r>
    <r>
      <rPr>
        <sz val="10"/>
        <rFont val="EYInterstate"/>
        <family val="0"/>
        <charset val="1"/>
      </rPr>
      <t xml:space="preserve">
2: No audit or control programme can be inferred from automated testing
https://www.prudentialplc.com/en/newsroom/company-news/2025/prudential-launches-global-services-hub-in-bengaluru-india/</t>
    </r>
  </si>
  <si>
    <r>
      <rPr>
        <sz val="10"/>
        <rFont val="EYInterstate"/>
        <family val="0"/>
        <charset val="1"/>
      </rPr>
      <t xml:space="preserve">1.Prudential Launches Global Services Hub in Bengaluru, India. This strategic investment underscores Prudential’s commitment to the Indian market and its focus on digital transformation. It is one of only two global services hubs supporting Prudential’s operations across Asia and Africa (24 markets).
2.This strategic GCC will serve as a critical engine for innovation, supporting Prudential’s operations across Asia and Africa, and is set to hire over 400 professionals in areas such as AI, data science, software development, cybersecurity, and automated testing in the next three years.
</t>
    </r>
    <r>
      <rPr>
        <sz val="10"/>
        <color theme="6"/>
        <rFont val="EYInterstate"/>
        <family val="0"/>
        <charset val="1"/>
      </rPr>
      <t xml:space="preserve">3.Prudential plc repositions its India operations through a controlling stake in Bharti Life Insurance</t>
    </r>
  </si>
  <si>
    <t xml:space="preserve">Prudential Launches Global Services Hub in Bengaluru, India | Prudential plc
https://hubbis.com/news/prudential-establishes-global-services-hub-in-india-to-drive-innovation
https://www.londonstockexchange.com/news-article/PRU/prudential-plc-repositions-its-india-operations/17595604</t>
  </si>
  <si>
    <t xml:space="preserve">Prudential Launches Global Services Hub in Bengaluru, India | Prudential plc</t>
  </si>
  <si>
    <t xml:space="preserve">Naveen Tahilyani
https://www.prudentialplc.com/en/newsroom/company-news/2025/prudential-plc-appoints-new-regional-ceo-and-new-eastspring-ceo/</t>
  </si>
  <si>
    <t xml:space="preserve">Principal Global Services(GCC)
(Principal Financial Group, USA)</t>
  </si>
  <si>
    <t xml:space="preserve">Pune and Hyderabad
https://www.principal.com/about-us/our-company/worldwide-locations</t>
  </si>
  <si>
    <t xml:space="preserve">Technology, Engineering, Retirement Services, Insurance Operations, Asset Management Support, Data Analytics, Compliance, Finance, HR, Risk Functions
https://careers.principal.com/in/jobs</t>
  </si>
  <si>
    <t xml:space="preserve">Not Verifiable (~3061,Sep'24)
https://tracxn.com/d/legal-entities/india/principal-global-services-private-limited/___3ABQRX0xxtgd7vcLSrpOuFKxh8AUe7St6BOxpA9ydo</t>
  </si>
  <si>
    <t xml:space="preserve">Dan Houston</t>
  </si>
  <si>
    <t xml:space="preserve">1. Scope of services Restricted
2. Business Relationship Restricted
3. Firm Loan Restricted
4. Consultation Required on Scope of Service
5. Audit Client Vendor 
6. GCSP Approval is Required
7. ACPA and/or IESBA Pre-concurrence Required</t>
  </si>
  <si>
    <r>
      <rPr>
        <sz val="10"/>
        <rFont val="EYInterstate"/>
        <family val="0"/>
        <charset val="1"/>
      </rPr>
      <t xml:space="preserve">1: Principal maintains a distributed GCC footprint across Pune and Hyderabad
https://www.principal.com/about-us/our-company/worldwide-locations
</t>
    </r>
    <r>
      <rPr>
        <strike val="true"/>
        <sz val="10"/>
        <color rgb="FFC00000"/>
        <rFont val="EYInterstate"/>
        <family val="0"/>
        <charset val="1"/>
      </rPr>
      <t xml:space="preserve">
2: PGS continues to operate as a large-scale technology and support-services organization
https://www.thecompanycheck.com/company/principal-global-services-private-limited/U64120PN2005PTC129516</t>
    </r>
    <r>
      <rPr>
        <i val="true"/>
        <sz val="9"/>
        <color rgb="FFC00000"/>
        <rFont val="EYInterstate"/>
        <family val="0"/>
        <charset val="1"/>
      </rPr>
      <t xml:space="preserve">  [Oct'26 audit: no credible source found – Cites a company registry which does not evidence any technology trend. Remove or replace.]
</t>
    </r>
    <r>
      <rPr>
        <b val="true"/>
        <sz val="10"/>
        <color rgb="FF00008B"/>
        <rFont val="EYInterstate"/>
        <family val="0"/>
        <charset val="1"/>
      </rPr>
      <t xml:space="preserve">
[Oct'26 verified additions]
</t>
    </r>
    <r>
      <rPr>
        <sz val="10"/>
        <color rgb="FF00008B"/>
        <rFont val="EYInterstate"/>
        <family val="0"/>
        <charset val="1"/>
      </rPr>
      <t xml:space="preserve">
(Feb 2026) Group-level: at the BofA conference (Feb 2026) Principal's CEO said employee access to AI tools expanded from under 1,000 at start-2025 to ~17,000 of 19,000 employees by end-2025 (~7,000 daily users), with use cases in code development, engagement centres, claims and underwriting. India-specific allocation not disclosed.
https://finance.yahoo.com/news/principal-financial-ceo-lifts-roe-210429080.html
(2026) Company page: Principal Global Services (est. 2006) is Principal's global capability centre in Pune and Hyderabad supporting retirement, insurance and asset-management solutions.
https://priglobal.com/india-offices/
(2026) PGS is hiring a strategic leadership role in India to build and scale an enterprise automation capability with a long-term automation &amp; AI roadmap - the only India-specific technology signal found (job-listing evidence).
https://in.indeed.com/Principal-Global-Services-jobs</t>
    </r>
  </si>
  <si>
    <r>
      <rPr>
        <strike val="true"/>
        <sz val="10"/>
        <color rgb="FFC00000"/>
        <rFont val="EYInterstate"/>
        <family val="0"/>
        <charset val="1"/>
      </rPr>
      <t xml:space="preserve">1: Strong FY2025 revenue growth and profitability
https://www.thecompanycheck.com/company/principal-global-services-private-limited/U64120PN2005PTC129516</t>
    </r>
    <r>
      <rPr>
        <i val="true"/>
        <sz val="9"/>
        <color rgb="FFC00000"/>
        <rFont val="EYInterstate"/>
        <family val="0"/>
        <charset val="1"/>
      </rPr>
      <t xml:space="preserve">  [Oct'26 audit: incorrect – Registry financials, not a Finance-function trend. Remove.]
</t>
    </r>
    <r>
      <rPr>
        <strike val="true"/>
        <sz val="10"/>
        <color rgb="FFC00000"/>
        <rFont val="EYInterstate"/>
        <family val="0"/>
        <charset val="1"/>
      </rPr>
      <t xml:space="preserve">
2: Revenue, profit and net-worth expansion continued during FY2025
https://www.emis.com/php/company-profile/IN/Principal_Global_Services_Private_Limited_en_3938893.html</t>
    </r>
    <r>
      <rPr>
        <i val="true"/>
        <sz val="9"/>
        <color rgb="FFC00000"/>
        <rFont val="EYInterstate"/>
        <family val="0"/>
        <charset val="1"/>
      </rPr>
      <t xml:space="preserve">  [Oct'26 audit: incorrect – EMIS financials, not a Finance-function trend. Remove.]
</t>
    </r>
    <r>
      <rPr>
        <b val="true"/>
        <sz val="10"/>
        <color rgb="FF00008B"/>
        <rFont val="EYInterstate"/>
        <family val="0"/>
        <charset val="1"/>
      </rPr>
      <t xml:space="preserve">
[Oct'26 verified additions]
</t>
    </r>
    <r>
      <rPr>
        <sz val="10"/>
        <color rgb="FF00008B"/>
        <rFont val="EYInterstate"/>
        <family val="0"/>
        <charset val="1"/>
      </rPr>
      <t xml:space="preserve">
(2026) PGS lists 'Senior Analyst - Accounting - SoX' positions in Pune - job-posting evidence of accounting/SOX controls work within the India GCC (no F&amp;A hub news).
https://in.indeed.com/Principal-Global-Services-jobs</t>
    </r>
  </si>
  <si>
    <r>
      <rPr>
        <strike val="true"/>
        <sz val="10"/>
        <color rgb="FFC00000"/>
        <rFont val="EYInterstate"/>
        <family val="0"/>
        <charset val="1"/>
      </rPr>
      <t xml:space="preserve">1: Multi-city operating model supports long-term GCC scale
https://www.principal.com/about-us/our-company/worldwide-locations</t>
    </r>
    <r>
      <rPr>
        <i val="true"/>
        <sz val="9"/>
        <color rgb="FFC00000"/>
        <rFont val="EYInterstate"/>
        <family val="0"/>
        <charset val="1"/>
      </rPr>
      <t xml:space="preserve">  [Oct'26 audit: no credible source found – Restates the locations page; no insurance-operations content or dated news.]
</t>
    </r>
    <r>
      <rPr>
        <b val="true"/>
        <sz val="10"/>
        <color rgb="FF00008B"/>
        <rFont val="EYInterstate"/>
        <family val="0"/>
        <charset val="1"/>
      </rPr>
      <t xml:space="preserve">
[Oct'26 verified additions]
</t>
    </r>
    <r>
      <rPr>
        <sz val="10"/>
        <color rgb="FF00008B"/>
        <rFont val="EYInterstate"/>
        <family val="0"/>
        <charset val="1"/>
      </rPr>
      <t xml:space="preserve">
(Feb 2026) Group-level only: AI use cases at Principal now include claims and underwriting; no India-specific insurance-operations news found.
https://finance.yahoo.com/news/principal-financial-ceo-lifts-roe-210429080.html</t>
    </r>
  </si>
  <si>
    <r>
      <rPr>
        <sz val="10"/>
        <rFont val="EYInterstate"/>
        <family val="0"/>
        <charset val="1"/>
      </rPr>
      <t xml:space="preserve">No India Related Internal Audit key trends.
</t>
    </r>
    <r>
      <rPr>
        <b val="true"/>
        <sz val="10"/>
        <color rgb="FF00008B"/>
        <rFont val="EYInterstate"/>
        <family val="0"/>
        <charset val="1"/>
      </rPr>
      <t xml:space="preserve">
[Oct'26 verified additions]
</t>
    </r>
    <r>
      <rPr>
        <sz val="10"/>
        <color rgb="FF00008B"/>
        <rFont val="EYInterstate"/>
        <family val="0"/>
        <charset val="1"/>
      </rPr>
      <t xml:space="preserve">
(2026) Same 'Senior Analyst - Accounting - SoX' Pune postings indicate SOX controls work in India (adjacent evidence; no internal-audit team disclosed).
https://in.indeed.com/Principal-Global-Services-jobs</t>
    </r>
  </si>
  <si>
    <t xml:space="preserve">1.Principal Financial Group has been recognized as one of the 2024 Top Employers for Tech Talent™ in India by the Everest Group. Principal Global Services ranked in the top 25 companies in the assessment conducted for India-based tech centers of more than 140 brands. 
2.Principal added an AI-Generated Answer feature to its public site Search function, making the firm the first in our coverage group to implement AI within the customer-facing digital experience.
</t>
  </si>
  <si>
    <t xml:space="preserve">https://www.linkedin.com/posts/principalglobalservices_we-are-proud-to-announce-that-principal-financial-activity-7249737828945850368-sWEF/
https://corporateinsight.com/ai-in-life-insurance-principals-feature-and-new-adoption-tools/</t>
  </si>
  <si>
    <t xml:space="preserve">Worldwide locations | Principal</t>
  </si>
  <si>
    <t xml:space="preserve">Madhavi Dahanukar</t>
  </si>
  <si>
    <t xml:space="preserve">N2G Worldwide Insurance Services</t>
  </si>
  <si>
    <t xml:space="preserve">Pune
https://tracxn.com/d/legal-entities/india/n2g-global-services-private-limited/__Hhb-sbfnRo-8huMcAvjdWgmIvrM7KoBJBcoNxRAoaJM#about</t>
  </si>
  <si>
    <t xml:space="preserve">Technology and Business operations
https://in.linkedin.com/company/n2g-global-services</t>
  </si>
  <si>
    <t xml:space="preserve">Not available</t>
  </si>
  <si>
    <t xml:space="preserve">11–50 Pune</t>
  </si>
  <si>
    <t xml:space="preserve">Since 2025</t>
  </si>
  <si>
    <t xml:space="preserve">Kevin M strong</t>
  </si>
  <si>
    <t xml:space="preserve">Not found in GIS</t>
  </si>
  <si>
    <r>
      <rPr>
        <sz val="10"/>
        <rFont val="EYInterstate"/>
        <family val="0"/>
        <charset val="1"/>
      </rPr>
      <t xml:space="preserve">1: N2G established its first India GCC to strengthen IT capability
https://tta.in/tta-advised-n2g-worldwide-insurance-services-llc-in-relation-to-the-establishment-of-the-gcc/
2: Technology capability is being brought in-house through the India GCC
https://www.barandbench.com/law-firms/dealstreet/tta-assists-n2g-insurance-on-setting-up-global-capability-center-in-india
</t>
    </r>
    <r>
      <rPr>
        <b val="true"/>
        <sz val="10"/>
        <color rgb="FF00008B"/>
        <rFont val="EYInterstate"/>
        <family val="0"/>
        <charset val="1"/>
      </rPr>
      <t xml:space="preserve">
[Oct'26 verified additions]
</t>
    </r>
    <r>
      <rPr>
        <sz val="10"/>
        <color rgb="FF00008B"/>
        <rFont val="EYInterstate"/>
        <family val="0"/>
        <charset val="1"/>
      </rPr>
      <t xml:space="preserve">
(Mar 2025) N2G Worldwide Insurance Services (New Jersey-based Nationwide-Generali GC&amp;C JV) set up its first global capability centre in Pune, incorporated as N2G Global Services Pvt Ltd with TT&amp;A as legal adviser, to access Indian information-technology talent.
https://www.barandbench.com/law-firms/dealstreet/tta-assists-n2g-insurance-on-setting-up-global-capability-center-in-india
(Mar 2025) TT&amp;A provided end-to-end set-up support for the GCC, including entity incorporation and intercompany (services) agreements, the legal basis for the Pune IT/operations captive.
https://tta.in/?p=12496</t>
    </r>
  </si>
  <si>
    <r>
      <rPr>
        <strike val="true"/>
        <sz val="10"/>
        <color rgb="FFC00000"/>
        <rFont val="EYInterstate"/>
        <family val="0"/>
        <charset val="1"/>
      </rPr>
      <t xml:space="preserve">1: Newly incorporated India services entity
https://tracxn.com/d/legal-entities/india/n2g-global-services-private-limited/__Hhb-sbfnRo-8huMcAvjdWgmIvrM7KoBJBcoNxRAoaJM</t>
    </r>
    <r>
      <rPr>
        <i val="true"/>
        <sz val="9"/>
        <color rgb="FFC00000"/>
        <rFont val="EYInterstate"/>
        <family val="0"/>
        <charset val="1"/>
      </rPr>
      <t xml:space="preserve">  [Oct'26 audit: incorrect – Entity incorporation is corporate set-up, not a finance-function (F&amp;A/FP&amp;A/treasury) trend. Tracxn is a weak directory source. No evidence of any finance work in India.]
</t>
    </r>
    <r>
      <rPr>
        <strike val="true"/>
        <sz val="10"/>
        <color rgb="FFC00000"/>
        <rFont val="EYInterstate"/>
        <family val="0"/>
        <charset val="1"/>
      </rPr>
      <t xml:space="preserve">
2: Investment in building an India GCC
https://www.barandbench.com/law-firms/dealstreet/tta-assists-n2g-insurance-on-setting-up-global-capability-center-in-india</t>
    </r>
    <r>
      <rPr>
        <i val="true"/>
        <sz val="9"/>
        <color rgb="FFC00000"/>
        <rFont val="EYInterstate"/>
        <family val="0"/>
        <charset val="1"/>
      </rPr>
      <t xml:space="preserve">  [Oct'26 audit: incorrect – Bar &amp; Bench does not mention investment amounts or finance functions; it names only IT and Insurance Operations. Not a Finance-bucket item.]</t>
    </r>
  </si>
  <si>
    <r>
      <rPr>
        <sz val="10"/>
        <rFont val="EYInterstate"/>
        <family val="0"/>
        <charset val="1"/>
      </rPr>
      <t xml:space="preserve">1: India GCC established to support insurance operations
https://www.barandbench.com/law-firms/dealstreet/tta-assists-n2g-insurance-on-setting-up-global-capability-center-in-india
</t>
    </r>
    <r>
      <rPr>
        <strike val="true"/>
        <sz val="10"/>
        <color rgb="FFC00000"/>
        <rFont val="EYInterstate"/>
        <family val="0"/>
        <charset val="1"/>
      </rPr>
      <t xml:space="preserve">
2: Support of multinational commercial insurance business
https://n2g.com/home.html</t>
    </r>
    <r>
      <rPr>
        <i val="true"/>
        <sz val="9"/>
        <color rgb="FFC00000"/>
        <rFont val="EYInterstate"/>
        <family val="0"/>
        <charset val="1"/>
      </rPr>
      <t xml:space="preserve">  [Oct'26 audit: no credible source found – Generic corporate description of the US JV; not an India trend. Bar &amp; Bench says the GCC delivers 'solutions to multinational brokers and their clients', which can replace this.]
</t>
    </r>
    <r>
      <rPr>
        <b val="true"/>
        <sz val="10"/>
        <color rgb="FF00008B"/>
        <rFont val="EYInterstate"/>
        <family val="0"/>
        <charset val="1"/>
      </rPr>
      <t xml:space="preserve">
[Oct'26 verified additions]
</t>
    </r>
    <r>
      <rPr>
        <sz val="10"/>
        <color rgb="FF00008B"/>
        <rFont val="EYInterstate"/>
        <family val="0"/>
        <charset val="1"/>
      </rPr>
      <t xml:space="preserve">
(Mar 2025) The Pune GCC is scoped to support N2G's multinational commercial-insurance operations, serving multinational brokers and their clients alongside IT.
https://www.barandbench.com/law-firms/dealstreet/tta-assists-n2g-insurance-on-setting-up-global-capability-center-in-india</t>
    </r>
  </si>
  <si>
    <r>
      <rPr>
        <sz val="10"/>
        <rFont val="EYInterstate"/>
        <family val="0"/>
        <charset val="1"/>
      </rPr>
      <t xml:space="preserve">N2G Worldwide Insurance Services, LLC (the joint venture between Nationwide and Generali) in India
1.Bar &amp; Bench (Dealstreet, March 6, 2025) confirms the establishment of N2G’s GCC in Pune, India, including legal and operational setup
2. Mar' 26 - TT&amp;A advised N2G Worldwide Insurance Services, LLC, a leading provider of a variety of insurance products around the world, to establish its global capability center (GCC) in India. The TT&amp;A team provided end-to-end assistance in setting up the GCC including entity incorporation, formalizing various intercompany agreements, and providing legal and regulatory advice in relation to the establishment of the GCC. 
</t>
    </r>
    <r>
      <rPr>
        <sz val="10"/>
        <color theme="6"/>
        <rFont val="EYInterstate"/>
        <family val="0"/>
        <charset val="1"/>
      </rPr>
      <t xml:space="preserve">3.TT&amp;A assisted N2G Worldwide Insurance Services, LLC, on establishing its global capability center in India.</t>
    </r>
  </si>
  <si>
    <t xml:space="preserve">https://news.nationwide.com/kevin-m-strong-named-new-n2g-ceo/
https://n2g.com/about.html
https://tta.in/tta-advised-n2g-worldwide-insurance-services-llc-in-relation-to-the-establishment-of-the-gcc/
https://www.barandbench.com/dealstreet/tta-assists-n2g-insurance-on-setting-up-global-capability-center-in-india
</t>
  </si>
  <si>
    <t xml:space="preserve">Agnes Dres</t>
  </si>
  <si>
    <t xml:space="preserve">ERGO Technology and Services Pvt. Ltd.</t>
  </si>
  <si>
    <t xml:space="preserve">Mumbai
https://www.ambitionbox.com/overview/ergo-technology-and-services-overview/locations</t>
  </si>
  <si>
    <t xml:space="preserve">Software Engineering, Enterprise IT, Digital Transformation, Insurance Technology, Global IT Services, Product Development Support
https://www.ergo.com/en/microsite/ergo-technology-services-india/expertise</t>
  </si>
  <si>
    <t xml:space="preserve">760
https://www.greatplacetowork.in/great/company/ergo-technology-services-limited/</t>
  </si>
  <si>
    <t xml:space="preserve">760-800</t>
  </si>
  <si>
    <t xml:space="preserve">Mehmood Hasan Mansoori</t>
  </si>
  <si>
    <r>
      <rPr>
        <sz val="10"/>
        <rFont val="EYInterstate"/>
        <family val="0"/>
        <charset val="1"/>
      </rPr>
      <t xml:space="preserve">1: ET&amp;S India is becoming a core technology hub supporting ERGO's global digital-transformation agenda
https://www.ergo.com/en/microsite/ergo-technology-services-india/about-ets-india
</t>
    </r>
    <r>
      <rPr>
        <strike val="true"/>
        <sz val="10"/>
        <color rgb="FFC00000"/>
        <rFont val="EYInterstate"/>
        <family val="0"/>
        <charset val="1"/>
      </rPr>
      <t xml:space="preserve">
2: ET&amp;S India continues to expand technology capability and workforce scale
https://www.greatplacetowork.in/great/company/ergo-technology-services-limited/</t>
    </r>
    <r>
      <rPr>
        <i val="true"/>
        <sz val="9"/>
        <color rgb="FFC00000"/>
        <rFont val="EYInterstate"/>
        <family val="0"/>
        <charset val="1"/>
      </rPr>
      <t xml:space="preserve">  [Oct'26 audit: no credible source found – GPTW page only states 557 India-based employees; it contains no expansion claim. Rephrase as a headcount datapoint.]
</t>
    </r>
    <r>
      <rPr>
        <b val="true"/>
        <sz val="10"/>
        <color rgb="FF00008B"/>
        <rFont val="EYInterstate"/>
        <family val="0"/>
        <charset val="1"/>
      </rPr>
      <t xml:space="preserve">
[Oct'26 verified additions]
</t>
    </r>
    <r>
      <rPr>
        <sz val="10"/>
        <color rgb="FF00008B"/>
        <rFont val="EYInterstate"/>
        <family val="0"/>
        <charset val="1"/>
      </rPr>
      <t xml:space="preserve">
(current, undated) ET&amp;S India (Powai, Mumbai; founded 2022) operates as ERGO's offshore development centre, delivering IT solutions for the Group alongside the German (ITERGO) and Polish (ET&amp;S S.A.) technology hubs; roughly 557 India employees per GPTW.
https://www.ergo.com/en/microsite/ergo-technology-services-india/about-ets-india
(current) GPTW listing records ET&amp;S India at 557 India-based employees, the only public headcount datapoint found.
https://www.greatplacetowork.in/great/company/ergo-technology-services-limited
(Sep 2026) ERGO Group appointed ERGO NEXT CEO Guy Goldstein as Chief AI Officer on the management board effective 1 Oct 2026 (CDO Mark Klein leaves at end-2026) and will invest around EUR 130 million through 2030 to scale its GenAI platform; India-specific allocation not disclosed, but ET&amp;S India is one of the three delivery hubs.
https://www.insurancebusinessmag.com/us/news/breaking-news/ergo-group-creates-a-chief-ai-officer-role-591322.aspx</t>
    </r>
  </si>
  <si>
    <r>
      <rPr>
        <strike val="true"/>
        <sz val="10"/>
        <color rgb="FFC00000"/>
        <rFont val="EYInterstate"/>
        <family val="0"/>
        <charset val="1"/>
      </rPr>
      <t xml:space="preserve">1: ET&amp;S India has received significant capital investment to support GCC growth
https://tracxn.com/d/legal-entities/india/ergo-technology-services-private-limited/__sQHHj5DEP1-NvulIZ-TRTuw_-AnvlDOlYaAh0sp1D3A</t>
    </r>
    <r>
      <rPr>
        <i val="true"/>
        <sz val="9"/>
        <color rgb="FFC00000"/>
        <rFont val="EYInterstate"/>
        <family val="0"/>
        <charset val="1"/>
      </rPr>
      <t xml:space="preserve">  [Oct'26 audit: incorrect – No evidence surfaced; and parent capital infusion is not a Finance-function (F&amp;A/FP&amp;A) trend. Tracxn is a weak source.]
</t>
    </r>
    <r>
      <rPr>
        <strike val="true"/>
        <sz val="10"/>
        <color rgb="FFC00000"/>
        <rFont val="EYInterstate"/>
        <family val="0"/>
        <charset val="1"/>
      </rPr>
      <t xml:space="preserve">
2: FY2025 performance indicators suggest continued scale-up
https://www.tofler.in/ergo-technology-and-services-private-limited/company/U72900MH2022FTC375558</t>
    </r>
    <r>
      <rPr>
        <i val="true"/>
        <sz val="9"/>
        <color rgb="FFC00000"/>
        <rFont val="EYInterstate"/>
        <family val="0"/>
        <charset val="1"/>
      </rPr>
      <t xml:space="preserve">  [Oct'26 audit: incorrect – Entity financial filings are not evidence of finance work being done in India. Misreads the Finance bucket. Tofler is a registry mirror, not a trend source.]</t>
    </r>
  </si>
  <si>
    <r>
      <rPr>
        <strike val="true"/>
        <sz val="10"/>
        <color rgb="FFC00000"/>
        <rFont val="EYInterstate"/>
        <family val="0"/>
        <charset val="1"/>
      </rPr>
      <t xml:space="preserve">1: India supports technology delivery across the insurance value chain
https://www.ergo.com/en/microsite/ergo-technology-services-india/expertise</t>
    </r>
    <r>
      <rPr>
        <i val="true"/>
        <sz val="9"/>
        <color rgb="FFC00000"/>
        <rFont val="EYInterstate"/>
        <family val="0"/>
        <charset val="1"/>
      </rPr>
      <t xml:space="preserve">  [Oct'26 audit: belongs under Technology – ET&amp;S is a pure IT/software hub; 'technology delivery across the value chain' is a Technology item, not insurance operations.]
</t>
    </r>
    <r>
      <rPr>
        <strike val="true"/>
        <sz val="10"/>
        <color rgb="FFC00000"/>
        <rFont val="EYInterstate"/>
        <family val="0"/>
        <charset val="1"/>
      </rPr>
      <t xml:space="preserve">
2: ET&amp;S India is supporting ERGO's broader digital-insurance transformation
https://www.ergo.com/en/microsite/ergo-technology-services-india</t>
    </r>
    <r>
      <rPr>
        <i val="true"/>
        <sz val="9"/>
        <color rgb="FFC00000"/>
        <rFont val="EYInterstate"/>
        <family val="0"/>
        <charset val="1"/>
      </rPr>
      <t xml:space="preserve">  [Oct'26 audit: belongs under Technology – Same generic microsite text; duplicative of O1.]
</t>
    </r>
    <r>
      <rPr>
        <strike val="true"/>
        <sz val="10"/>
        <color rgb="FFC00000"/>
        <rFont val="EYInterstate"/>
        <family val="0"/>
        <charset val="1"/>
      </rPr>
      <t xml:space="preserve">
3: ET&amp;S contributes to customer-centric insurance product development
https://www.ergo.com/en/microsite/ergo-technology-services-india</t>
    </r>
    <r>
      <rPr>
        <i val="true"/>
        <sz val="9"/>
        <color rgb="FFC00000"/>
        <rFont val="EYInterstate"/>
        <family val="0"/>
        <charset val="1"/>
      </rPr>
      <t xml:space="preserve">  [Oct'26 audit: no credible source found – Microsite extract describes IT solutions 'across all insurance sectors', not product development. No insurance-operations (claims/UW/actuarial) work evidenced in India.]</t>
    </r>
  </si>
  <si>
    <r>
      <rPr>
        <sz val="10"/>
        <rFont val="EYInterstate"/>
        <family val="0"/>
        <charset val="1"/>
      </rPr>
      <t xml:space="preserve">1. German insurer Ergo will invest over €130 million over five years to build its generative AI (GenAI) infrastructure.
Mark Klein, Chief Digital Officer of Ergo Group said “We are in the process of scaling AIcross all key processes in multiple countries. The time for pilots is over. These systems now have to deliver measurable business value.” Klein added that Ergo has already deployed over 110 AI algorithms across business functions, and is focused on expanding these use cases across seven European markets. “Scaling is essential. AI doesn’t come cheap. If you don’t reuse assets and deploy solutions across markets, you will never arrive at a sustainable business case,”
2. Aug' 25 - CamCom Technologies, an award-winning, industry-agnostic computer vision company headquartered in Bengaluru, has entered into a strategic partnership with ERGO Group AG, one of Europe's leading insurance groups. Under this collaboration, CamCom will serve as the primary technology partner for ERGO's AI-powered visual inspection solution, which is now being rolled out across multiple European markets.
</t>
    </r>
    <r>
      <rPr>
        <sz val="10"/>
        <color theme="6"/>
        <rFont val="EYInterstate"/>
        <family val="0"/>
        <charset val="1"/>
      </rPr>
      <t xml:space="preserve">3.ET&amp;S in India is a part of ERGO Technology &amp; Services Management AG, a global technology holding, with competencies in digital transformation, know-how in creating and implementing complex IT systems with a focus on the quality of solutions and a portfolio aligned with the entire value chain of the insurance market.
</t>
    </r>
    <r>
      <rPr>
        <sz val="10"/>
        <rFont val="EYInterstate"/>
        <family val="0"/>
        <charset val="1"/>
      </rPr>
      <t xml:space="preserve">
</t>
    </r>
  </si>
  <si>
    <t xml:space="preserve">http://timesofindia.indiatimes.com/articleshow/123018438.cms?utm_source=contentofinterest&amp;utm_medium=text&amp;utm_campaign=cppst
https://mail.itnewsonline.com/news/ERGO-Group-AG-Launches-3rd-Tech-Hub-of-ERGO-Technology-and-Services-Management-in-Mumbai-India/8428
https://www.greatplacetowork.in/great/company/ergo-technology-services-limited
https://contactout.com/Mehmood-Mansoori-19652218
https://www.business-standard.com/content/press-releases-ani/india-s-camcom-technologies-announces-strategic-partnership-with-ergo-group-ag-in-landmark-global-ai-deployment-for-insurance-sector-125080200640_1.html
https://www.ergo.com/en/microsite/ergo-technology-services-india
</t>
  </si>
  <si>
    <t xml:space="preserve">https://contactout.com/Mehmood-Mansoori-19652218
https://www.thecompanycheck.com/people-profile/pramod-kumar-agarwal/ACSPA8606L</t>
  </si>
  <si>
    <t xml:space="preserve">Pramod Kumar Agarwal</t>
  </si>
  <si>
    <t xml:space="preserve">Mehmood Mansoori</t>
  </si>
  <si>
    <t xml:space="preserve">Hartford Global Services Private ltd</t>
  </si>
  <si>
    <t xml:space="preserve">Urjita</t>
  </si>
  <si>
    <t xml:space="preserve">1.Technology engineering and Global technology operations
2.Digital platforms
3.Artificial Intelligence
https://gcc.economictimes.indiatimes.com/news/the-hartford-opens-new-technology-center-in-hyderabad-set-to-create-1200-jobs/128704797</t>
  </si>
  <si>
    <t xml:space="preserve">Not verifiable (~1200 employees)
https://www.linkedin.com/posts/et-gcc_gcc-hartford-globalcapabilitycentres-activity-7431651108068130816-SoGE</t>
  </si>
  <si>
    <t xml:space="preserve">~19100 </t>
  </si>
  <si>
    <t xml:space="preserve">20 August 2025 
</t>
  </si>
  <si>
    <t xml:space="preserve">Christopher Swift</t>
  </si>
  <si>
    <t xml:space="preserve">1. GCSP Approval required
</t>
  </si>
  <si>
    <r>
      <rPr>
        <sz val="10"/>
        <rFont val="EYInterstate"/>
        <family val="0"/>
        <charset val="1"/>
      </rPr>
      <t xml:space="preserve">1.The Hartford expanded its technology footprint by opening a new Columbus tech hub focused on AI, cloud architecture and technology transformation, while reaffirming Hyderabad, India as part of its global technology ecosystem.(Jan'26)
https://ir.thehartford.com/news/news-details/2026/The-Hartford-Expands-Technology-Team-With-New-Office-In-Columbus-Ohio/default.aspx
</t>
    </r>
    <r>
      <rPr>
        <strike val="true"/>
        <sz val="10"/>
        <color rgb="FFC00000"/>
        <rFont val="EYInterstate"/>
        <family val="0"/>
        <charset val="1"/>
      </rPr>
      <t xml:space="preserve">
2.The Hartford highlighted AI as a strategic underwriting and risk-management capability, emphasizing stronger data quality, testing, governance and cross-functional collaboration.
https://www.thehartford.com/insights-center/research-studies/artificial-intelligence-collaboration</t>
    </r>
    <r>
      <rPr>
        <i val="true"/>
        <sz val="9"/>
        <color rgb="FFC00000"/>
        <rFont val="EYInterstate"/>
        <family val="0"/>
        <charset val="1"/>
      </rPr>
      <t xml:space="preserve">  [Oct'26 audit: incorrect – Group thought-leadership research page, not India GCC news. Not a Hyderabad trend.]
</t>
    </r>
    <r>
      <rPr>
        <b val="true"/>
        <sz val="10"/>
        <color rgb="FF00008B"/>
        <rFont val="EYInterstate"/>
        <family val="0"/>
        <charset val="1"/>
      </rPr>
      <t xml:space="preserve">
[Oct'26 verified additions]
</t>
    </r>
    <r>
      <rPr>
        <sz val="10"/>
        <color rgb="FF00008B"/>
        <rFont val="EYInterstate"/>
        <family val="0"/>
        <charset val="1"/>
      </rPr>
      <t xml:space="preserve">
(Sep 2025) The Hartford announced (12 Sep 2025) and opened (30 Sep 2025) its first India technology centre in Hyderabad's Financial District, positioned as a hub for engineering excellence focused on AI, digital transformation and advanced technology, complementing US hubs in Hartford, Chicago and Charlotte; Capgemini was engaged to support set-up and day-one operations.
https://www.theweek.in/wire-updates/business/2025/09/12/dcm46-the-hartford.html
(Feb 2026) Telangana IT Minister D. Sridhar Babu formally inaugurated The Hartford's Global Technology Centre at Kalyani Trident, Financial District, Hyderabad on 23 Feb 2026; the facility (reported at up to 258,000 sq ft; other reports say 1.6 lakh sq ft) is to scale to ~1,200 employees working on AI, digital platforms and cloud engineering.
https://www.siasat.com/us-insurance-major-the-hartford-opens-global-tech-centre-in-hyderabad-3374371/
(May 2026) Pritam Banerjee joined The Hartford India (Hyderabad) as Senior Director to lead AI initiatives across multiple lines of business, with a mandate to modernise platforms and deliver business value at scale.
https://hrtoday.in/pritam-banerjee-joins-the-hartford-india-as-senior-director-to-lead-ai-initiatives-across-business-lines/</t>
    </r>
  </si>
  <si>
    <r>
      <rPr>
        <strike val="true"/>
        <sz val="10"/>
        <color rgb="FFC00000"/>
        <rFont val="EYInterstate"/>
        <family val="0"/>
        <charset val="1"/>
      </rPr>
      <t xml:space="preserve">1.The Hartford reported strong Q2 2026 results with $1.3B net income, premium growth across key businesses and continued investment in technology, data and AI.(Jul'26)
https://newsroom.thehartford.com/newsroom-home/news-releases/news-release-details/2026/The-Hartford-Reports-Strong-Second-Quarter-2026-Financial-Results/default.aspx</t>
    </r>
    <r>
      <rPr>
        <i val="true"/>
        <sz val="9"/>
        <color rgb="FFC00000"/>
        <rFont val="EYInterstate"/>
        <family val="0"/>
        <charset val="1"/>
      </rPr>
      <t xml:space="preserve">  [Oct'26 audit: incorrect – Group earnings release; the Finance bucket is about finance functions performed in India, not parent P&amp;L.]
</t>
    </r>
    <r>
      <rPr>
        <strike val="true"/>
        <sz val="10"/>
        <color rgb="FFC00000"/>
        <rFont val="EYInterstate"/>
        <family val="0"/>
        <charset val="1"/>
      </rPr>
      <t xml:space="preserve">
2.The Hartford continues to focus on reserve development, catastrophe management and specialty-insurance risk performance, but no major new public reinsurance-operating model announcement was identified.(Jul'26)
https://newsroom.thehartford.com/newsroom-home/news-releases/news-release-details/2026/The-Hartford-Reports-Strong-Second-Quarter-2026-Financial-Results/default.aspx</t>
    </r>
    <r>
      <rPr>
        <i val="true"/>
        <sz val="9"/>
        <color rgb="FFC00000"/>
        <rFont val="EYInterstate"/>
        <family val="0"/>
        <charset val="1"/>
      </rPr>
      <t xml:space="preserve">  [Oct'26 audit: incorrect – Self-described non-finding; group-level; not an India finance item. Delete.]
</t>
    </r>
    <r>
      <rPr>
        <strike val="true"/>
        <sz val="10"/>
        <color rgb="FFC00000"/>
        <rFont val="EYInterstate"/>
        <family val="0"/>
        <charset val="1"/>
      </rPr>
      <t xml:space="preserve">
3.The Hartford's Business Insurance segment delivered 5% written-premium growth in Q2 2026, supported by strong underwriting performance across Small Business, Middle &amp; Large Business and Global Specialty lines (Jul'26)
https://newsroom.thehartford.com/newsroom-home/news-releases/news-release-details/2026/The-Hartford-Reports-Strong-Second-Quarter-2026-Financial-Results/default.aspx</t>
    </r>
    <r>
      <rPr>
        <i val="true"/>
        <sz val="9"/>
        <color rgb="FFC00000"/>
        <rFont val="EYInterstate"/>
        <family val="0"/>
        <charset val="1"/>
      </rPr>
      <t xml:space="preserve">  [Oct'26 audit: incorrect – Group segment results, not India finance function. Delete.]</t>
    </r>
  </si>
  <si>
    <r>
      <rPr>
        <strike val="true"/>
        <sz val="10"/>
        <color rgb="FFC00000"/>
        <rFont val="EYInterstate"/>
        <family val="0"/>
        <charset val="1"/>
      </rPr>
      <t xml:space="preserve">1.The Hartford To Acquire Equitable’s Employee Benefits Business (Au'26)
Through the Equitable acquisition, The Hartford will gain unified digital platforms and real-time API integrations designed to improve customer, employer and broker experiences.
https://ir.thehartford.com/news/news-details/2026/The-Hartford-To-Acquire-Equitables-Employee-Benefits-Business/default.aspx</t>
    </r>
    <r>
      <rPr>
        <i val="true"/>
        <sz val="9"/>
        <color rgb="FFC00000"/>
        <rFont val="EYInterstate"/>
        <family val="0"/>
        <charset val="1"/>
      </rPr>
      <t xml:space="preserve">  [Oct'26 audit: incorrect – Group M&amp;A in the US; no India operations link stated. Not an India insurance-operations trend.]
</t>
    </r>
    <r>
      <rPr>
        <b val="true"/>
        <sz val="10"/>
        <color rgb="FF00008B"/>
        <rFont val="EYInterstate"/>
        <family val="0"/>
        <charset val="1"/>
      </rPr>
      <t xml:space="preserve">
[Oct'26 verified additions]
</t>
    </r>
    <r>
      <rPr>
        <sz val="10"/>
        <color rgb="FF00008B"/>
        <rFont val="EYInterstate"/>
        <family val="0"/>
        <charset val="1"/>
      </rPr>
      <t xml:space="preserve">
(2025-26) The Hyderabad centre is an engineering hub rather than a processing centre, but its stated focus areas include AI development for underwriting and claims processing, customer-facing insurance platform engineering and fraud-detection analytics (trade-source characterisation).
https://themachinemaker.com/news/the-hartford-opens-technology-center-in-hyderabad-to-advance-innovation-and-ai-capabilities/</t>
    </r>
  </si>
  <si>
    <t xml:space="preserve">Not Publically disclosed</t>
  </si>
  <si>
    <r>
      <rPr>
        <sz val="10"/>
        <rFont val="EYInterstate"/>
        <family val="0"/>
        <charset val="1"/>
      </rPr>
      <t xml:space="preserve">1. US-based insurance player The Hartford on Monday opened its first global technology centre in India in February 2026, spread over 1.6 lakh sq ft at Hyderabad’s Financial District, and it is expected to scale up to nearly 1,200 employees over the next few years.
Capgemini engaged to support initial setup and operational excellence of the India GCC.
2. The Chief Data, AI &amp; Operations Officer stated that India teams will apply AI and emerging technologies to elevate enterprise capabilities while maintaining regulatory and ethical standards.
</t>
    </r>
    <r>
      <rPr>
        <sz val="10"/>
        <color theme="6"/>
        <rFont val="EYInterstate"/>
        <family val="0"/>
        <charset val="1"/>
      </rPr>
      <t xml:space="preserve">3.Pritam Banerjee Joins The Hartford India as Senior Director to Lead AI Initiatives Across Business Lines</t>
    </r>
  </si>
  <si>
    <t xml:space="preserve">https://timesofindia.indiatimes.com/city/hyderabad/200-year-old-us-insurer-the-hartford-opens-first-india-global-tech-centre-in-hyderabad/articleshow/128727054.cms
https://www.deccanchronicle.com/business/the-hartford-announces-launch-of-technology-center-in-hyderabad-1903048
https://www.business-standard.com/content/press-releases-ani/the-hartford-opens-technology-center-in-hyderabad-to-accelerate-ai-innovation-125100100615_1.html
https://hrtoday.in/pritam-banerjee-joins-the-hartford-india-as-senior-director-to-lead-ai-initiatives-across-business-lines/
</t>
  </si>
  <si>
    <t xml:space="preserve">Srikanth Lanka</t>
  </si>
  <si>
    <t xml:space="preserve">Surya Prakash Thammiraju
https://timesofindia.indiatimes.com/city/hyderabad/200-year-old-us-insurer-the-hartford-opens-first-india-global-tech-centre-in-hyderabad/articleshow/128727054.cms</t>
  </si>
  <si>
    <t xml:space="preserve">Zurich Insurance group</t>
  </si>
  <si>
    <t xml:space="preserve">1.Technology operations
2.AI &amp; Analytics
3.Cybersecurity
4.Digital platforms
5.Business operations
https://timesofindia.indiatimes.com/city/hyderabad/zurich-insurance-opens-gcc-in-hyderabad/articleshow/130616701.cms</t>
  </si>
  <si>
    <t xml:space="preserve">60000+</t>
  </si>
  <si>
    <t xml:space="preserve">April,2026</t>
  </si>
  <si>
    <t xml:space="preserve">Mario Greco (Global)</t>
  </si>
  <si>
    <r>
      <rPr>
        <strike val="true"/>
        <sz val="10"/>
        <color rgb="FFC00000"/>
        <rFont val="EYInterstate"/>
        <family val="0"/>
        <charset val="1"/>
      </rPr>
      <t xml:space="preserve">1.Cytora Partnership update
Zurich expanded its AI-powered underwriting platform with Cytora, reducing manual underwriting triage time by 80% and increasing straight-through processing from 10% to 95%.(May'26)
https://fintech.global/2026/05/18/zurich-expands-agentic-ai-rollout-with-cytora-partnership/</t>
    </r>
    <r>
      <rPr>
        <i val="true"/>
        <sz val="9"/>
        <color rgb="FFC00000"/>
        <rFont val="EYInterstate"/>
        <family val="0"/>
        <charset val="1"/>
      </rPr>
      <t xml:space="preserve">  [Oct'26 audit: incorrect – Group-level vendor partnership (fintech.global); no India/Hyderabad link stated. Not an India GCC trend. Replace with the Apr 2026 GCC launch and leadership hires.]
</t>
    </r>
    <r>
      <rPr>
        <b val="true"/>
        <sz val="10"/>
        <color rgb="FF00008B"/>
        <rFont val="EYInterstate"/>
        <family val="0"/>
        <charset val="1"/>
      </rPr>
      <t xml:space="preserve">
[Oct'26 verified additions]
</t>
    </r>
    <r>
      <rPr>
        <sz val="10"/>
        <color rgb="FF00008B"/>
        <rFont val="EYInterstate"/>
        <family val="0"/>
        <charset val="1"/>
      </rPr>
      <t xml:space="preserve">
(Apr 2026) Zurich launched a Global Capability Center in Hyderabad (announced ~28 Apr 2026) to strengthen its global technology infrastructure and accelerate AI adoption; it will create 1,000+ jobs and recruit across cloud engineering, data &amp; AI, application development, cybersecurity and quality engineering.
https://explorer.hub71.com/news/feed/zurich-insurance-launches-global-capability-center-in-hyderabad-to-advance-ai-and-tech-capabilities
(Jul 2026) Amit Kalra (ex-Swiss Re Head of Global Business Solutions, 23+ years in insurance/reinsurance) appointed Head of Zurich Capability Centers effective 1 July 2026, to shape the Group's GCC strategy and oversee the Hyderabad build-out.
https://reinsurancene.ws/zurich-appoints-amit-kalra-to-lead-new-global-capability-center-in-india/</t>
    </r>
  </si>
  <si>
    <r>
      <rPr>
        <strike val="true"/>
        <sz val="10"/>
        <color rgb="FFC00000"/>
        <rFont val="EYInterstate"/>
        <family val="0"/>
        <charset val="1"/>
      </rPr>
      <t xml:space="preserve">1.Zurich Insurance Group reported record H1 2026 results with business operating profit of USD 4.8 billion and net income of USD 3.5 billion, driven by strong growth across P&amp;C, Life and Specialty businesses.(Aug'26)
https://www.zurich.com/media/news-releases/2026/2026-0806-01</t>
    </r>
    <r>
      <rPr>
        <i val="true"/>
        <sz val="9"/>
        <color rgb="FFC00000"/>
        <rFont val="EYInterstate"/>
        <family val="0"/>
        <charset val="1"/>
      </rPr>
      <t xml:space="preserve">  [Oct'26 audit: incorrect – Group earnings release, not an India finance-function item.]
</t>
    </r>
    <r>
      <rPr>
        <b val="true"/>
        <sz val="10"/>
        <color rgb="FF00008B"/>
        <rFont val="EYInterstate"/>
        <family val="0"/>
        <charset val="1"/>
      </rPr>
      <t xml:space="preserve">
[Oct'26 verified additions]
</t>
    </r>
    <r>
      <rPr>
        <sz val="10"/>
        <color rgb="FF00008B"/>
        <rFont val="EYInterstate"/>
        <family val="0"/>
        <charset val="1"/>
      </rPr>
      <t xml:space="preserve">
(mid-2026) Ganesh Rao joined the Zurich India GCC (Hyderabad) as Chief Operating Officer with a mandate spanning GCC strategy, operations, finance, site management, vendor governance, risk and compliance, and procurement; he was previously Head of Shared Services and Chief Administrative Officer at Principal Financial Group (Apr 2024 to Apr 2026).
https://www.cxodigitalpulse.com/?p=61973</t>
    </r>
  </si>
  <si>
    <r>
      <rPr>
        <sz val="10"/>
        <rFont val="EYInterstate"/>
        <family val="0"/>
        <charset val="1"/>
      </rPr>
      <t xml:space="preserve">1.Beazley Acquizition
Zurich completed the £8.1 billion acquisition of Beazley, creating one of the world's largest specialty insurance operations under Zurich Global Specialty.(Oct'26)
https://beinsure.com/news/zurich-completes-8-1-bn-acquisition-of-lloyds-insurer-beazley/
The acquisition of Beazley significantly expands Zurich's specialty-insurance footprint and Lloyd's market presence, strengthening capabilities in cyber, specialty and complex commercial risks.
</t>
    </r>
    <r>
      <rPr>
        <strike val="true"/>
        <sz val="10"/>
        <color rgb="FFC00000"/>
        <rFont val="EYInterstate"/>
        <family val="0"/>
        <charset val="1"/>
      </rPr>
      <t xml:space="preserve">
2.Zurich's GenAI-powered "Voice IQ" solution analyzes customer calls in real time to improve retention, service quality and personalized customer recommendations.
https://www.zurich.com/about-us/ai-at-zurich</t>
    </r>
    <r>
      <rPr>
        <i val="true"/>
        <sz val="9"/>
        <color rgb="FFC00000"/>
        <rFont val="EYInterstate"/>
        <family val="0"/>
        <charset val="1"/>
      </rPr>
      <t xml:space="preserve">  [Oct'26 audit: incorrect – Group AI showcase page; no evidence it is built or run from Hyderabad. If kept as context it is a Technology item, not Q.]
</t>
    </r>
    <r>
      <rPr>
        <b val="true"/>
        <sz val="10"/>
        <color rgb="FF00008B"/>
        <rFont val="EYInterstate"/>
        <family val="0"/>
        <charset val="1"/>
      </rPr>
      <t xml:space="preserve">
[Oct'26 verified additions]
</t>
    </r>
    <r>
      <rPr>
        <sz val="10"/>
        <color rgb="FF00008B"/>
        <rFont val="EYInterstate"/>
        <family val="0"/>
        <charset val="1"/>
      </rPr>
      <t xml:space="preserve">
(Apr 2026) The Hyderabad centre is designed as a strategic extension of Zurich's operating model, not a back-office, taking end-to-end ownership across engineering, data and core business operations with AI-enabled ways of working embedded in delivery.
https://digitalterminal.in/amp/story/tech-companies/zurich-insurance-group-launches-new-hyderabad-gcc-to-boost-ai-growth-appoints-amit-kalra-as-global-head</t>
    </r>
  </si>
  <si>
    <t xml:space="preserve">1. Zurich opens GCC in Hyderabad, appoints Amit Kalra as India Head (28th April'26)
2.According to a statement, the Hyderabad centre will act as a strategic extension of Zurich’s global operating model, with end-to-end ownership across engineering, data and core business operations. The centre will embed AI-enabled ways of working into how solutions are designed, delivered and scaled across the Group.
</t>
  </si>
  <si>
    <t xml:space="preserve">https://gcc.economictimes.indiatimes.com/news/workplace-transformation/zurich-insurance-group-launches-global-capability-center-in-hyderabad-appoints-amit-kalra-as-head/130579683
https://yourstory.com/enterprise-story/2026/04/zurich-insurance-group-gcc-in-hyderabad</t>
  </si>
  <si>
    <t xml:space="preserve">Carelon Global Solutions India LLP
(GCC of Elevance Health, Inc.  parent of Anthem Blue Cross Blue Shield / Carelon)</t>
  </si>
  <si>
    <t xml:space="preserve">Bengaluru, Hyderabad &amp; Gurugram</t>
  </si>
  <si>
    <t xml:space="preserve">1.Cloud Engineering
2.Ops and business process
3.AI/Gen AI
4.Software engineering
5.Machine Learning
6.Data Analytics
7.Engineering &amp; Technology
https://www.businessofgcc.com/gcc-data/companies/elevance-health-india</t>
  </si>
  <si>
    <t xml:space="preserve">15071 employees as on Apr 01, 2026
https://tracxn.com/d/legal-entities/india/carelon-global-solutions-india-llp/__t5LyM-s_Qomr3Pl1A8yaRuQEDYf5b_gqcK3ODIcKVYY</t>
  </si>
  <si>
    <t xml:space="preserve">~103,000 (Elevance Health, global)</t>
  </si>
  <si>
    <t xml:space="preserve">~18,000-25,000 (sources vary; ~17,180 per FY21 filing, 18,000+ per 2025 company profile, 25,000+ per LinkedIn global Carelon Global Solutions incl. non-India sites)</t>
  </si>
  <si>
    <t xml:space="preserve">Since 2000 (as Legato Health Technologies; rebranded Carelon Global Solutions in 2022)</t>
  </si>
  <si>
    <t xml:space="preserve">Gail K. Boudreaux (Chair, President &amp; CEO, Elevance Health)</t>
  </si>
  <si>
    <t xml:space="preserve">1.Full scope of service restrictions
2.Audit committee pre approval and/or IESBA pre-concurrence required for services
3.GSCP approval required
4.Business relationships restrictions
5.Firm loans</t>
  </si>
  <si>
    <r>
      <rPr>
        <strike val="true"/>
        <sz val="10"/>
        <color rgb="FFC00000"/>
        <rFont val="EYInterstate"/>
        <family val="0"/>
        <charset val="1"/>
      </rPr>
      <t xml:space="preserve">1.Carelon Global Solutions India is positioning GCCs as innovation-led enterprises focused on digital transformation, healthcare technology modernization and future-ready operating models.
https://www.carelonglobal.in/about-us/newsroom</t>
    </r>
    <r>
      <rPr>
        <i val="true"/>
        <sz val="9"/>
        <color rgb="FFC00000"/>
        <rFont val="EYInterstate"/>
        <family val="0"/>
        <charset val="1"/>
      </rPr>
      <t xml:space="preserve">  [Oct'26 audit: no credible source found – Generic newsroom landing URL with no dated item; the claim is marketing language. Replace with concrete items (GenAI/agentic hiring, Gurugram tech scale).]
</t>
    </r>
    <r>
      <rPr>
        <b val="true"/>
        <sz val="10"/>
        <color rgb="FF00008B"/>
        <rFont val="EYInterstate"/>
        <family val="0"/>
        <charset val="1"/>
      </rPr>
      <t xml:space="preserve">
[Oct'26 verified additions]
</t>
    </r>
    <r>
      <rPr>
        <sz val="10"/>
        <color rgb="FF00008B"/>
        <rFont val="EYInterstate"/>
        <family val="0"/>
        <charset val="1"/>
      </rPr>
      <t xml:space="preserve">
(2025-26, ongoing) Carelon Global Solutions India is actively hiring GenAI and agentic-AI engineering roles (Senior Software Engineer III GenAI/AI-ML building LLM, RAG and agent-based systems; Tech Lead III Generative AI) in Bengaluru and Gurugram, consistent with its AI/ML and data-analytics charter (job-board evidence, weaker).
https://www.apna.co/job/bengaluru/gen-ai-tech-lead-gr-39784-71565-jr194894-1815241818
(current) Elevance Health's Gurugram centre (est. 2014) houses ~8,000 technology and analytics professionals building claims technology, pharmacy-care and behavioral-health platforms and care-management analytics for 46 million US members; Elevance India targets 10,000 employees by 2027.
https://www.businessofgcc.com/gcc-data/companies/elevance-health-india
(current) Pawan Sachdeva, Managing Director - Technology, leads digital transformation and data &amp; analytics for Carelon Global Solutions India (profile from ET GCC Summit).
https://gcc.et-edge.com/2024-hyderabad/?p=11625</t>
    </r>
  </si>
  <si>
    <t xml:space="preserve">No key news identified</t>
  </si>
  <si>
    <r>
      <rPr>
        <strike val="true"/>
        <sz val="10"/>
        <color rgb="FFC00000"/>
        <rFont val="EYInterstate"/>
        <family val="0"/>
        <charset val="1"/>
      </rPr>
      <t xml:space="preserve">1.Carelon continues expanding healthcare operations across claims, provider services, clinical operations, risk adjustment and BPaaS delivery.
https://www.carelon.com/capabilities/operations-and-digital-transformation
2.Carelon uses automation and analytics to modernize end-to-end claims operations while maintaining 99.4% audited claims-processing accuracy.
https://www.carelon.com/capabilities/operations-and-digital-transformation
3.Pawan Sachdeva promoted to Managing Director &amp; Head of Technology - India, responsible for healthcare technology, digital transformation and innovation across India operations. 
https://techdisruptormedia.com/leadership-movement/pawan-sachdeva-has-been-promoted-to-managing-director-and-head-of-technology-at-carelon-global-solutions-india/</t>
    </r>
    <r>
      <rPr>
        <i val="true"/>
        <sz val="9"/>
        <color rgb="FFC00000"/>
        <rFont val="EYInterstate"/>
        <family val="0"/>
        <charset val="1"/>
      </rPr>
      <t xml:space="preserve">  [Oct'26 audit: no credible source found – carelon.com is the US parent services-arm capabilities page, not India-specific and undated. India BPaaS/claims-technology support is supported instead by anthem.com CGS about-us and businessofgcc.]
</t>
    </r>
    <r>
      <rPr>
        <b val="true"/>
        <sz val="10"/>
        <color rgb="FF00008B"/>
        <rFont val="EYInterstate"/>
        <family val="0"/>
        <charset val="1"/>
      </rPr>
      <t xml:space="preserve">
[Oct'26 verified additions]
</t>
    </r>
    <r>
      <rPr>
        <sz val="10"/>
        <color rgb="FF00008B"/>
        <rFont val="EYInterstate"/>
        <family val="0"/>
        <charset val="1"/>
      </rPr>
      <t xml:space="preserve">
(current) From Bengaluru, Hyderabad and Gurugram, Carelon Global Solutions (ex-Legato, part of Carelon since Jan 2023) delivers Business-Process-as-a-Service, IT application support, automation and data analytics for Elevance Health's plans; 2026 off-campus drives are hiring junior Benefits Analysts (US healthcare operations) in Hyderabad.
https://www.anthem.com/content/carelon/public-cgs/us/en/home-in/about-us.html</t>
    </r>
  </si>
  <si>
    <t xml:space="preserve">1. Carelon Global Solutions India (formerly Legato Health Technologies) is the Global Capability Center of Elevance Health (formerly Anthem), one of the largest US health insurers. It provides IT application support, data analytics, digital solutions/automation, and Business-Process-as-a-Service (BPaaS) for Elevance Health's health plans, providers and systems, from offices in Bengaluru, Hyderabad and Gurugram.
2. Carelon Global Solutions India is led locally by Mosur Krishnamoorthy (Krishnamoorthy) Saisekar, VP &amp; Chief Country Executive, who has represented the India centre at forums including IIM Bangalore's Extended Leadership Team programme.
3. Elevance Health continues to scale Carelon (its healthcare-services arm, launched 2022) as a growth engine alongside Anthem Blue Cross Blue Shield plans; Elevance's India GCC is one of the largest health-insurance-linked GCCs in India by headcount (18,000+ employees).
4. As of 2025, Elevance subsidiaries Carelon Behavioral Health and Anthem Blue Cross and Blue Shield have faced 'ghost network' litigation in the US (New York/Connecticut).</t>
  </si>
  <si>
    <t xml:space="preserve">https://www.carelonglobal.in/
https://en.wikipedia.org/wiki/Elevance_Health
https://digest.iimb.ac.in/2023/04/elt-programme-for-carelon-global-solutions-india-ltd-llp-2/ (Krishnamoorthy Saisekar, VP &amp; Chief Country Executive)
https://tracxn.com/d/legal-entities/india/carelon-global-solutions-india-llp/</t>
  </si>
  <si>
    <t xml:space="preserve">Carelon Global Solutions India LinkedIn; Elevance Health Investor Relations (elevancehealth.com)</t>
  </si>
  <si>
    <t xml:space="preserve">Not disclosed (Elevance Health Group CFO: Mark Kaye)</t>
  </si>
  <si>
    <t xml:space="preserve">Mosur Krishnamoorthy (Krishnamoorthy) Saisekar — VP &amp; Chief Country Executive, Carelon Global Solutions India</t>
  </si>
  <si>
    <t xml:space="preserve">Intact India GCC (Gurugram)
(formerly RSA India GCC; Intact Financial Corporation)</t>
  </si>
  <si>
    <t xml:space="preserve">Gurugram</t>
  </si>
  <si>
    <t xml:space="preserve">Finance, Technology and Operations
https://themainstream.co.in/intact-india-welcomes-sameer-madan/</t>
  </si>
  <si>
    <t xml:space="preserve">201-500 (Linkedin)
https://in.linkedin.com/company/intact-india-gcc</t>
  </si>
  <si>
    <t xml:space="preserve">~32,000 (Intact Financial Corporation, global)</t>
  </si>
  <si>
    <t xml:space="preserve">Since RSA's original India centre; rebranded to Intact India following Intact/Tryg's 2021 acquisition of RSA Insurance Group</t>
  </si>
  <si>
    <t xml:space="preserve">Charles Brindamour (CEO, Intact Financial Corporation)</t>
  </si>
  <si>
    <t xml:space="preserve">1.Full scope of service restrictions
2.Audit committee pre approval and/or IESBA pre-concurrence required for services
3.GSCP approval required
4.Business relationships restrictions
5.Firm loans
6.Consultation required</t>
  </si>
  <si>
    <r>
      <rPr>
        <strike val="true"/>
        <sz val="10"/>
        <color rgb="FFC00000"/>
        <rFont val="EYInterstate"/>
        <family val="0"/>
        <charset val="1"/>
      </rPr>
      <t xml:space="preserve">1.Intact continues expanding AI, analytics and automation capabilities through its Intact Lab, with over 500-600 AI models supporting pricing, underwriting, claims and fraud detection.
https://www.insurebench.com/insurers/intact</t>
    </r>
    <r>
      <rPr>
        <i val="true"/>
        <sz val="9"/>
        <color rgb="FFC00000"/>
        <rFont val="EYInterstate"/>
        <family val="0"/>
        <charset val="1"/>
      </rPr>
      <t xml:space="preserve">  [Oct'26 audit: incorrect – Group-level (Canada) capability from a weak aggregator; no India link and did not surface in search. Replace with the India-branch leadership page item on delivery for the UK&amp;I CIO organisation.]
</t>
    </r>
    <r>
      <rPr>
        <b val="true"/>
        <sz val="10"/>
        <color rgb="FF00008B"/>
        <rFont val="EYInterstate"/>
        <family val="0"/>
        <charset val="1"/>
      </rPr>
      <t xml:space="preserve">
[Oct'26 verified additions]
</t>
    </r>
    <r>
      <rPr>
        <sz val="10"/>
        <color rgb="FF00008B"/>
        <rFont val="EYInterstate"/>
        <family val="0"/>
        <charset val="1"/>
      </rPr>
      <t xml:space="preserve">
(current) Intact India's leadership page shows the Gurugram centre (DLF Cyber City) delivering technology for the UK &amp; International CIO organisation, with a dedicated head (Neha) leading delivery and operations from India to translate UK technology strategy into execution 'through scaled India capability'.
https://www.intactinsurance.co.uk/india-branch/leadership</t>
    </r>
  </si>
  <si>
    <r>
      <rPr>
        <sz val="10"/>
        <rFont val="EYInterstate"/>
        <family val="0"/>
        <charset val="1"/>
      </rPr>
      <t xml:space="preserve">1.Intact appointed Sameer Madan as CFTO for India GCC to oversee finance, technology, reporting and operations functions.(Mar'26)
https://themainstream.co.in/intact-india-welcomes-sameer-madan/
</t>
    </r>
    <r>
      <rPr>
        <b val="true"/>
        <sz val="10"/>
        <color rgb="FF00008B"/>
        <rFont val="EYInterstate"/>
        <family val="0"/>
        <charset val="1"/>
      </rPr>
      <t xml:space="preserve">
[Oct'26 verified additions]
</t>
    </r>
    <r>
      <rPr>
        <sz val="10"/>
        <color rgb="FF00008B"/>
        <rFont val="EYInterstate"/>
        <family val="0"/>
        <charset val="1"/>
      </rPr>
      <t xml:space="preserve">
(Mar 2026) Sameer Madan joined Intact India (Gurugram, on-site) as Chief of Finance, Technology and Operations for the India GCC, to strengthen finance, technology and operational frameworks and governance as the GCC's scope expands; he spent ~19 years at Agilent (latterly Director, Country Controllership, leading an India-based team for US GAAP and local compliance reporting for Agilent subsidiaries worldwide) and was Principal Advisor at Fractal on finance-oriented AI solutions. Company page records his start as Feb 2026 and describes him as an experienced CFO and India site leader.
https://hrtoday.in/sameer-madan-joins-intact-india-as-chief-of-finance-technology-and-operations-for-india-gcc/</t>
    </r>
  </si>
  <si>
    <r>
      <rPr>
        <strike val="true"/>
        <sz val="10"/>
        <color rgb="FFC00000"/>
        <rFont val="EYInterstate"/>
        <family val="0"/>
        <charset val="1"/>
      </rPr>
      <t xml:space="preserve">1.Artificial intelligence has moved from experimentation to execution at Intact Insurance. And in specialty lines – where underwriting is bespoke and risk profiles are complex – the insurer is deliberately embedding AI without diluting human judgment.(Mar'26)
https://www.insurancebusinessmag.com/us/news/technology/intact-sharpens-ai-strategy-across-specialty-lines-568227.aspx</t>
    </r>
    <r>
      <rPr>
        <i val="true"/>
        <sz val="9"/>
        <color rgb="FFC00000"/>
        <rFont val="EYInterstate"/>
        <family val="0"/>
        <charset val="1"/>
      </rPr>
      <t xml:space="preserve">  [Oct'26 audit: incorrect – Group/US specialty-lines article; no India link. Not an India insurance-operations trend.]
</t>
    </r>
    <r>
      <rPr>
        <strike val="true"/>
        <sz val="10"/>
        <color rgb="FFC00000"/>
        <rFont val="EYInterstate"/>
        <family val="0"/>
        <charset val="1"/>
      </rPr>
      <t xml:space="preserve">
2.The technology investment Intact Insurance has been building across its global specialty lines division now has a dedicated executive at its head. The company has appointed Rory Meleniclis as chief information officer for its global specialty lines business. He will oversee cloud modernization, core systems renewal, and the division's data and AI capabilities.
https://www.insurancebusinessmag.com/us/news/technology/intact-brings-in-banking-technology-veteran-to-lead-specialty-lines-ai-push-580637.aspx</t>
    </r>
    <r>
      <rPr>
        <i val="true"/>
        <sz val="9"/>
        <color rgb="FFC00000"/>
        <rFont val="EYInterstate"/>
        <family val="0"/>
        <charset val="1"/>
      </rPr>
      <t xml:space="preserve">  [Oct'26 audit: belongs under Technology – A CIO appointment (announced Jun 2026; ex-RBC; remit is core systems, cloud and AI for global specialty lines) is a Technology item; it is group-level with no India mandate stated, so keep only as context and add the date, which the team bullet lacks.]
</t>
    </r>
    <r>
      <rPr>
        <b val="true"/>
        <sz val="10"/>
        <color rgb="FF00008B"/>
        <rFont val="EYInterstate"/>
        <family val="0"/>
        <charset val="1"/>
      </rPr>
      <t xml:space="preserve">
[Oct'26 verified additions]
</t>
    </r>
    <r>
      <rPr>
        <sz val="10"/>
        <color rgb="FF00008B"/>
        <rFont val="EYInterstate"/>
        <family val="0"/>
        <charset val="1"/>
      </rPr>
      <t xml:space="preserve">
(Jan 2024; current set-up) Shobhit Manu Tyagi is Head of Capital at Intact India, running capital modelling and regulatory reporting for the group from Gurugram; Mayank Vaish (Head of Reserving since Jan 2022) leads a reserving team supporting UK, Ireland and Canada, evidencing an actuarial/capital hub in India.
https://www.intactinsurance.co.uk/india-branch/leadership
(Apr 2025, completed Oct 2025) Intact announced on 14 Apr 2025 that the RSA, NIG and FarmWeb brands would be retired and rebranded as Intact Insurance by end-2025, which took effect in Oct 2025; the Gurugram centre accordingly operates as Intact India serving Intact's UK&amp;I and Canadian businesses. Context item (corporate rebrand), not an operations trend in itself.
https://www.theinsurer.com/ti/news/rsa-officially-rebrands-to-intact-insurance-eyes-specialty-lines-growth-2025-10-06</t>
    </r>
  </si>
  <si>
    <t xml:space="preserve">1. Intact India (previously RSA India) is the Gurugram-based Global Capability Center of Intact Financial Corporation (TSX: IFC), the largest P&amp;C insurer in Canada and a leading specialty insurer in North America, UK and Ireland (via its 2021 acquisition of RSA Insurance Group, in partnership with Tryg). The centre continues to operate award-winning Guidewire, claims-platform, cloud/Azure data &amp; analytics, and finance-transformation teams that were originally built under RSA.
2. Mar' 26 - Intact appointed Sameer Madan as Chief of Finance, Technology and Operations (CFTO) for the India GCC, based in Gurugram, focused on AI-led finance transformation and building integrated enterprise functions (see also Top 20 UK tab, RSA/Intact row, for the same appointment from the UK-entity perspective).
3. Intact Financial Corporation published its 2025 Annual Report in March 2026 (CEO Charles Brindamour) and held its AGM on 6 May 2026; the Group reported a global workforce of ~32,000 employees.</t>
  </si>
  <si>
    <t xml:space="preserve">https://in.linkedin.com/company/rsaindia (RSA India / An Intact Company)
https://hrtoday.in/sameer-madan-joins-intact-india-as-chief-of-finance-technology-and-operations-for-india-gcc/
https://www.newswire.ca/news-releases/intact-financial-corporation-publishes-2025-annual-report-and-2026-management-proxy-circular-844375134.html</t>
  </si>
  <si>
    <t xml:space="preserve">Intact Financial Corporation 2025 Annual Report / Management Proxy Circular; simplywall.st leadership profile</t>
  </si>
  <si>
    <t xml:space="preserve">Not disclosed (Group CFO: Ken Anderson, ex-RSA UK &amp; International CFO)</t>
  </si>
  <si>
    <t xml:space="preserve">Sameer Madan — Chief of Finance, Technology and Operations (CFTO), India GCC</t>
  </si>
  <si>
    <t xml:space="preserve">PFI India Innovation Centre (GCC of Prudential Financial, Inc., USA)
</t>
  </si>
  <si>
    <t xml:space="preserve">Gurugram
https://www.pfi.com/india</t>
  </si>
  <si>
    <t xml:space="preserve">Artificial intelligence, data, enterprise cybersecurity, technology and global transformation
Read more at:
https://gcc.economictimes.indiatimes.com/news/workplace-transformation/pfi-innovation-centre-india-opens-new-gurugram-office/133498064</t>
  </si>
  <si>
    <t xml:space="preserve">Charles F. Lowrey (Chairman &amp; CEO, Prudential Financial, Inc.)</t>
  </si>
  <si>
    <r>
      <rPr>
        <sz val="10"/>
        <rFont val="EYInterstate"/>
        <family val="0"/>
        <charset val="1"/>
      </rPr>
      <t xml:space="preserve">1.The new facility, located in Gurugram's DLF Cyber City, will serve as the base for its growing India ops as the co. builds capabilities across AI,enterprise security,tech &amp; global transformation
Read more at:
https://gcc.economictimes.indiatimes.com/news/workplace-transformation/pfi-innovation-centre-india-opens-new-gurugram-office/133498064
</t>
    </r>
    <r>
      <rPr>
        <strike val="true"/>
        <sz val="10"/>
        <color rgb="FFC00000"/>
        <rFont val="EYInterstate"/>
        <family val="0"/>
        <charset val="1"/>
      </rPr>
      <t xml:space="preserve">
2.Prudential Financial reported over 260 AI use cases and more than 2,300 employees using agentic AI, including applications in underwriting, claims, operations and annuity pricing.
https://news.prudential.com/us-en/latest-news/prudential-news/2026/q2/AI-at-Prudential-Amplifying-human-potential-to-better-serve-our-customers
2.Prudential uses AI to reduce underwriting timelines from weeks to days and improve customer experience.
https://news.prudential.com/us-en/latest-news/prudential-news/2026/q2/AI-at-Prudential-Amplifying-human-potential-to-better-serve-our-customers</t>
    </r>
    <r>
      <rPr>
        <i val="true"/>
        <sz val="9"/>
        <color rgb="FFC00000"/>
        <rFont val="EYInterstate"/>
        <family val="0"/>
        <charset val="1"/>
      </rPr>
      <t xml:space="preserve">  [Oct'26 audit: no credible source found – Parent-level (US) AI statistics, not India-centre activity; URL did not surface in search. Keep only if re-verified and relabelled as parent context. Also two bullets are numbered '2'.]
</t>
    </r>
    <r>
      <rPr>
        <b val="true"/>
        <sz val="10"/>
        <color rgb="FF00008B"/>
        <rFont val="EYInterstate"/>
        <family val="0"/>
        <charset val="1"/>
      </rPr>
      <t xml:space="preserve">
[Oct'26 verified additions]
</t>
    </r>
    <r>
      <rPr>
        <sz val="10"/>
        <color rgb="FF00008B"/>
        <rFont val="EYInterstate"/>
        <family val="0"/>
        <charset val="1"/>
      </rPr>
      <t xml:space="preserve">
(Sep 2026) Prudential Financial Inc. opened its first India innovation centre, PFI Innovation Centre India, at Gurugram Cyber City under Haryana's GCC policy; inaugurated by Haryana Industries Minister Rao Narbir Singh. The centre is positioned as a technology/innovation hub.
https://www.uniindia.com/business-economy/business-haryana-pfi-innovation-centre/188639
(2026) PFI Innovation Centre India is actively listing roles on Indian job boards, indicating hiring ramp-up at the new Gurugram centre.
https://jobs.weekday.works/wkdyw7sa88</t>
    </r>
  </si>
  <si>
    <r>
      <rPr>
        <strike val="true"/>
        <sz val="10"/>
        <color rgb="FFC00000"/>
        <rFont val="EYInterstate"/>
        <family val="0"/>
        <charset val="1"/>
      </rPr>
      <t xml:space="preserve">1.Prudential Financial reported Q2 2026 adjusted operating income of $1.438 billion and assets under management of $1.642 trillion.
https://investor.prudential.com/news/detail/2634/prudential-financial-inc-announces-second-quarter-2026-results</t>
    </r>
    <r>
      <rPr>
        <i val="true"/>
        <sz val="9"/>
        <color rgb="FFC00000"/>
        <rFont val="EYInterstate"/>
        <family val="0"/>
        <charset val="1"/>
      </rPr>
      <t xml:space="preserve">  [Oct'26 audit: incorrect – Parent quarterly earnings are not a Finance-function focus area of the India centre; remove from P.]
</t>
    </r>
    <r>
      <rPr>
        <strike val="true"/>
        <sz val="10"/>
        <color rgb="FFC00000"/>
        <rFont val="EYInterstate"/>
        <family val="0"/>
        <charset val="1"/>
      </rPr>
      <t xml:space="preserve">
2.Upasna Nischal appointed Head of HR, PFI Innovation Centre India
https://gcc.economictimes.indiatimes.com/news/talent-strategy/empowering-talent-pfi-innovation-centre-india-focuses-on-upskilling-for-global-impact/131738777</t>
    </r>
    <r>
      <rPr>
        <i val="true"/>
        <sz val="9"/>
        <color rgb="FFC00000"/>
        <rFont val="EYInterstate"/>
        <family val="0"/>
        <charset val="1"/>
      </rPr>
      <t xml:space="preserve">  [Oct'26 audit: no credible source found – HR leadership appointment is not Finance; belongs in Key Trends (col S) or general leadership, not O/P/Q/R. ET GCC URL plausible but not surfaced.]</t>
    </r>
  </si>
  <si>
    <r>
      <rPr>
        <strike val="true"/>
        <sz val="10"/>
        <color rgb="FFC00000"/>
        <rFont val="EYInterstate"/>
        <family val="0"/>
        <charset val="1"/>
      </rPr>
      <t xml:space="preserve">1.The India centre is intended to support transformation across Prudential's businesses spanning life insurance, retirement, annuities and asset management.
https://www.pfi.com/india</t>
    </r>
    <r>
      <rPr>
        <i val="true"/>
        <sz val="9"/>
        <color rgb="FFC00000"/>
        <rFont val="EYInterstate"/>
        <family val="0"/>
        <charset val="1"/>
      </rPr>
      <t xml:space="preserve">  [Oct'26 audit: no credible source found – pfi.com/india page not surfaced in search; generic statement of business lines served, not an insurance-operations capability. Weak.]</t>
    </r>
  </si>
  <si>
    <t xml:space="preserve">1. Prudential Financial, Inc. (NYSE: PRU) — the New Jersey-headquartered US life insurer and asset manager operating in India under the 'Pramerica' and 'PFI' brand names — has built a new Innovation Centre in Gurugram, describing it as part of its continuing growth strategy. This is a SEPARATE company and GCC from UK-listed Prudential plc (Anil Wadhwani, CEO), whose own Bengaluru GCC is already captured at row 27 ('Prudential Service India'); the two 'Prudential' names are explicitly unaffiliated, as both companies state on their respective websites.
2. PFI's only prior India presence of note was Pramerica Systems, whose employees and select assets were acquired by TCS in 2020 — meaning the new Gurugram Innovation Centre represents a fresh, direct GCC build-out by PFI itself rather than a continuation of the divested BPO unit.
3. Locally, Prudential Financial's India-linked joint ventures include Pramerica Life Insurance (with Piramal Finance) and Pramerica Mutual Fund, both branded 'Pramerica' and distinct from the GCC/Innovation Centre.</t>
  </si>
  <si>
    <t xml:space="preserve">https://www.prudential.com/links/about/worldwide-locations/india
https://www.pfi.com/india
https://www.bloomberg.com/news/articles/2020-11-12/tcs-is-said-to-acquire-pramerica-services-unit-from-prudential</t>
  </si>
  <si>
    <t xml:space="preserve">pfi.com/india; prudential.com worldwide locations page</t>
  </si>
  <si>
    <t xml:space="preserve">Assurant India GCC</t>
  </si>
  <si>
    <t xml:space="preserve">Hyderabad, Bengaluru, Chennai, Gurugram &amp; Mumbai
https://jobs.assurant.com/en/locations/india/</t>
  </si>
  <si>
    <t xml:space="preserve">Technology,claims,Finance,customer service,Collections,Insurance &amp; Protection services, GCC support services
https://www.thehindu.com/business/Industry/assurant-india-to-hire-300-people-in-next-12-months/article67641675.ece
https://jobs.assurant.com/en/locations/india/</t>
  </si>
  <si>
    <t xml:space="preserve">Not Verifiable (~300 planning to hire in next 12 months(Dec'23 news)
https://www.thehindu.com/business/Industry/assurant-india-to-hire-300-people-in-next-12-months/article67641675.ece</t>
  </si>
  <si>
    <t xml:space="preserve">Keith Demmings (President &amp; CEO, Assurant, Inc.)</t>
  </si>
  <si>
    <t xml:space="preserve">1..GSCP approval required
2.Reverse restrictions</t>
  </si>
  <si>
    <r>
      <rPr>
        <strike val="true"/>
        <sz val="10"/>
        <color rgb="FFC00000"/>
        <rFont val="EYInterstate"/>
        <family val="0"/>
        <charset val="1"/>
      </rPr>
      <t xml:space="preserve">1.Assurant continues expanding AI, automation, analytics and digital protection capabilities across connected devices, automotive and home-protection businesses.
https://www.ainvest.com/news/assurant-leverages-technology-power-long-term-growth-2605-26/</t>
    </r>
    <r>
      <rPr>
        <i val="true"/>
        <sz val="9"/>
        <color rgb="FFC00000"/>
        <rFont val="EYInterstate"/>
        <family val="0"/>
        <charset val="1"/>
      </rPr>
      <t xml:space="preserve">  [Oct'26 audit: no credible source found – ainvest.com is an AI-generated aggregator (weak); claim is parent-level, not India GCC. Not surfaced in search. Replace with careers-page evidence of India data/AI roles.]
</t>
    </r>
    <r>
      <rPr>
        <strike val="true"/>
        <sz val="10"/>
        <color rgb="FFC00000"/>
        <rFont val="EYInterstate"/>
        <family val="0"/>
        <charset val="1"/>
      </rPr>
      <t xml:space="preserve">
2.Assurant's 2026 consumer study found India among the most AI-optimistic markets, with strong demand for AI-enabled protection, support and customer experiences.
https://smartsolutionsworld.com/india-leads-with-high-technology-optimism-as-demand-for-ai-driven-experiences-accelerates-assurant/</t>
    </r>
    <r>
      <rPr>
        <i val="true"/>
        <sz val="9"/>
        <color rgb="FFC00000"/>
        <rFont val="EYInterstate"/>
        <family val="0"/>
        <charset val="1"/>
      </rPr>
      <t xml:space="preserve">  [Oct'26 audit: incorrect – A consumer-sentiment survey about the Indian market is not a GCC technology focus area; remove (or move to Key Trends as market context).]
</t>
    </r>
    <r>
      <rPr>
        <b val="true"/>
        <sz val="10"/>
        <color rgb="FF00008B"/>
        <rFont val="EYInterstate"/>
        <family val="0"/>
        <charset val="1"/>
      </rPr>
      <t xml:space="preserve">
[Oct'26 verified additions]
</t>
    </r>
    <r>
      <rPr>
        <sz val="10"/>
        <color rgb="FF00008B"/>
        <rFont val="EYInterstate"/>
        <family val="0"/>
        <charset val="1"/>
      </rPr>
      <t xml:space="preserve">
(2025-2026) Assurant's India GCC careers page positions India as a GCC supporting global operations across technology, analytics and insurance, with roles in Hyderabad, Bengaluru, Chennai, Gurgaon and Mumbai.
https://jobs.assurant.com/locations/india/
(2026) Active India hiring for data engineering supporting ML/AI and contact-centre/digital-interaction analytics (Hyderabad, Bengaluru), plus data-science roles (Associate Technical Scientist) refreshing ML models.
https://jobs.weekday.works/data-engineer-at-assurant-4405571676
(2026) Assurant India data-science hiring: Associate Technical Scientist roles (remote, Bengaluru/Chennai/Hyderabad) to apply ML tools and refresh existing ML models.
https://builtinbengaluru.in/job/associate-technical-scientist/4134740</t>
    </r>
  </si>
  <si>
    <r>
      <rPr>
        <strike val="true"/>
        <sz val="10"/>
        <color rgb="FFC00000"/>
        <rFont val="EYInterstate"/>
        <family val="0"/>
        <charset val="1"/>
      </rPr>
      <t xml:space="preserve">1.Assurant increased its FY2026 outlook after delivering record Q2 2026 financial results and continued investment in growth capabilities.
https://www.assurant.com/news-insights/news_releases/assurant-second-quarter-2026-financial-results</t>
    </r>
    <r>
      <rPr>
        <i val="true"/>
        <sz val="9"/>
        <color rgb="FFC00000"/>
        <rFont val="EYInterstate"/>
        <family val="0"/>
        <charset val="1"/>
      </rPr>
      <t xml:space="preserve">  [Oct'26 audit: incorrect – Parent earnings/outlook is not an India Finance-function item; remove from P.]
</t>
    </r>
    <r>
      <rPr>
        <b val="true"/>
        <sz val="10"/>
        <color rgb="FF00008B"/>
        <rFont val="EYInterstate"/>
        <family val="0"/>
        <charset val="1"/>
      </rPr>
      <t xml:space="preserve">
[Oct'26 verified additions]
</t>
    </r>
    <r>
      <rPr>
        <sz val="10"/>
        <color rgb="FF00008B"/>
        <rFont val="EYInterstate"/>
        <family val="0"/>
        <charset val="1"/>
      </rPr>
      <t xml:space="preserve">
(2025-2026) Assurant's India careers page lists finance among the functions staffed at the India GCC (alongside technology, data, HR and operations); a Lead Analyst (accounting/Power BI) role is advertised in Hyderabad.
https://jobs.assurant.com/locations/india/</t>
    </r>
  </si>
  <si>
    <r>
      <rPr>
        <strike val="true"/>
        <sz val="10"/>
        <color rgb="FFC00000"/>
        <rFont val="EYInterstate"/>
        <family val="0"/>
        <charset val="1"/>
      </rPr>
      <t xml:space="preserve">1.Assurant's global leadership reorganization combined operations and IT under the Chief Operating Officer to improve operational efficiency and technology execution.(Sep'25)
https://in.marketscreener.com/news/assurant-inc-announces-executive-appointments-effective-september-15-2025-ce7c51dade80f325</t>
    </r>
    <r>
      <rPr>
        <i val="true"/>
        <sz val="9"/>
        <color rgb="FFC00000"/>
        <rFont val="EYInterstate"/>
        <family val="0"/>
        <charset val="1"/>
      </rPr>
      <t xml:space="preserve">  [Oct'26 audit: belongs under Key Trends (col S) as group/parent context, not an India focus item – Parent (US) executive reorganisation, not India operations; marketscreener URL not surfaced. Weak relevance to India GCC.]
</t>
    </r>
    <r>
      <rPr>
        <strike val="true"/>
        <sz val="10"/>
        <color rgb="FFC00000"/>
        <rFont val="EYInterstate"/>
        <family val="0"/>
        <charset val="1"/>
      </rPr>
      <t xml:space="preserve">
2.Assurant is deploying AI-enabled service platforms, digital claims processing and personalized customer-support experiences across its connected-living businesses.
https://www.ainvest.com/news/assurant-leverages-technology-power-long-term-growth-2605-26/
3.India leadership now includes executives experienced in underwriting, casualty, specialty insurance, claims and reinsurance, indicating potential strengthening of insurance-domain capabilities.Harini Kanan appointed as a coountry head.
https://biztechherald.com/harini-kannan-appointed-as-country-head-india-at-assurant/</t>
    </r>
    <r>
      <rPr>
        <i val="true"/>
        <sz val="9"/>
        <color rgb="FFC00000"/>
        <rFont val="EYInterstate"/>
        <family val="0"/>
        <charset val="1"/>
      </rPr>
      <t xml:space="preserve">  [Oct'26 audit: no credible source found – Same weak ainvest source; parent-level, not India.]
</t>
    </r>
    <r>
      <rPr>
        <b val="true"/>
        <sz val="10"/>
        <color rgb="FF00008B"/>
        <rFont val="EYInterstate"/>
        <family val="0"/>
        <charset val="1"/>
      </rPr>
      <t xml:space="preserve">
[Oct'26 verified additions]
</t>
    </r>
    <r>
      <rPr>
        <sz val="10"/>
        <color rgb="FF00008B"/>
        <rFont val="EYInterstate"/>
        <family val="0"/>
        <charset val="1"/>
      </rPr>
      <t xml:space="preserve">
(2025-2026) Assurant describes its India GCC as a strategic talent hub with growing opportunities in claims, actuarial support and training, acting as an extension of global Assurant teams.
https://jobs.assurant.com/en/india-build-your-future-in-a-technology-forward-workplace/
(Apr 2026) Harini Kannan (ex-HDFC ERGO) appointed Country Head - India at Assurant, as the company strengthens Auto and Consumer Living solutions in India alongside a growing GCC.
https://hrtoday.in/harini-kannan-appointed-as-country-head-india-at-assurant/</t>
    </r>
  </si>
  <si>
    <t xml:space="preserve">1. Assurant, Inc. (NYSE: AIZ) — the US-headquartered global specialty insurer known for mobile device protection, extended service contracts, and lender-placed/renters insurance — operates a Global Capability Center in India spanning technology, analytics, and insurance services, with roles across Hyderabad, Bengaluru, Chennai, Gurugram and Mumbai.
2. Assurant states its India GCC is Great Place to Work® certified, and highlights internal career-progression stories (e.g., data-services interns converting to full-time Data Warehouse Developer roles) as part of its India talent narrative.</t>
  </si>
  <si>
    <t xml:space="preserve">https://www.assurant.in/</t>
  </si>
  <si>
    <t xml:space="preserve">assurant.com investor relations (for Group CEO/CFO); jobs.assurant.com/en/locations/india (GCC description)</t>
  </si>
  <si>
    <t xml:space="preserve">Nationwide Global Services Center Pvt. Ltd. (Nationwide Mutual Insurance, USA) </t>
  </si>
  <si>
    <t xml:space="preserve">Hyderabad
https://timesofindia.indiatimes.com/city/hyderabad/nationwide-opens-first-campus-outside-us-in-hyderabad/articleshow/132271390.cms</t>
  </si>
  <si>
    <t xml:space="preserve">Technology, including software engineering, infrastructure,engineering, infrastructure, cybersecurity, architecture, 
Read more at:
http://timesofindia.indiatimes.com/articleshow/132271390.cms?utm_source=contentofinterest&amp;utm_medium=text&amp;utm_campaign=cppst
</t>
  </si>
  <si>
    <t xml:space="preserve">60+
https://timesofindia.indiatimes.com/city/hyderabad/nationwide-opens-first-campus-outside-us-in-hyderabad/articleshow/132271390.cms</t>
  </si>
  <si>
    <t xml:space="preserve">25,000+</t>
  </si>
  <si>
    <t xml:space="preserve">July'2026</t>
  </si>
  <si>
    <t xml:space="preserve">1.GSCP Approval required</t>
  </si>
  <si>
    <r>
      <rPr>
        <strike val="true"/>
        <sz val="10"/>
        <color rgb="FFC00000"/>
        <rFont val="EYInterstate"/>
        <family val="0"/>
        <charset val="1"/>
      </rPr>
      <t xml:space="preserve">1.Nationwide announced a $1.5 billion technology investment through 2028, including approximately $100 million annually for AI initiatives.
https://news.nationwide.com/nationwide-announces-15-billion-investment-to-accelerate-technology-ai/</t>
    </r>
    <r>
      <rPr>
        <i val="true"/>
        <sz val="9"/>
        <color rgb="FFC00000"/>
        <rFont val="EYInterstate"/>
        <family val="0"/>
        <charset val="1"/>
      </rPr>
      <t xml:space="preserve">  [Oct'26 audit: belongs under Key Trends (col S) as group/parent context, not an India focus item – Parent-level US investment; news.nationwide.com URL not surfaced in search. Plausible but not India-specific; label as parent context if retained.]
</t>
    </r>
    <r>
      <rPr>
        <strike val="true"/>
        <sz val="10"/>
        <color rgb="FFC00000"/>
        <rFont val="EYInterstate"/>
        <family val="0"/>
        <charset val="1"/>
      </rPr>
      <t xml:space="preserve">
2.Nationwide is scaling AI across claims, customer service, underwriting and software engineering. It has already deployed several AI initiatives and identified multiple AI transformation programs.
https://www.insurancebusinessmag.com/us/news/technology/nationwide-drives-ai-experimentation-and-flagship-underwriting-transformation-566584.aspx
3.Hyderabad GCC created to build engineering, digital, cybersecurity, AI, cloud, software engineering and business capabilities.
https://gcc.economictimes.indiatimes.com/news/workplace-transformation/nationwide-launches-first-international-global-capability-center-in-hyderabad/132263509</t>
    </r>
    <r>
      <rPr>
        <i val="true"/>
        <sz val="9"/>
        <color rgb="FFC00000"/>
        <rFont val="EYInterstate"/>
        <family val="0"/>
        <charset val="1"/>
      </rPr>
      <t xml:space="preserve">  [Oct'26 audit: belongs under Key Trends (col S) as group/parent context, not an India focus item – Parent-level AI programme (Insurance Business Mag); not India-centre activity, not surfaced.]
</t>
    </r>
    <r>
      <rPr>
        <b val="true"/>
        <sz val="10"/>
        <color rgb="FF00008B"/>
        <rFont val="EYInterstate"/>
        <family val="0"/>
        <charset val="1"/>
      </rPr>
      <t xml:space="preserve">
[Oct'26 verified additions]
</t>
    </r>
    <r>
      <rPr>
        <sz val="10"/>
        <color rgb="FF00008B"/>
        <rFont val="EYInterstate"/>
        <family val="0"/>
        <charset val="1"/>
      </rPr>
      <t xml:space="preserve">
(Jul 2026) Nationwide opened its first international campus, Nationwide Global Services Center Pvt Ltd ('Nationwide India'), in Hyderabad, joining Columbus, Des Moines and Scottsdale; the centre supports engineering, digital and business capabilities within a global 24/7 operating model.
https://www.uniindia.com/nationwide-opens-first-international-campus-in-hyderabad-to-expand-global-operations/business-economy/news/3902972.html
(Jul 2026) Vikas Jaswal appointed SVP &amp; Managing Director to lead the Hyderabad campus, overseeing operations, recruitment and capability development in India.
https://telanganatoday.com/us-insurance-giant-nationwide-opens-global-services-centre-in-hyderabad
(Jul 2026) The Hyderabad centre starts with about 60 employees and aims to grow past 100, positioned to accelerate innovation, decision-making and productivity across the organisation.
https://www.newsbytesapp.com/news/business/nationwide-opens-1st-international-campus-in-hyderabad-to-speed-innovation/tldr
(Jul 2026) Trade coverage describes the Hyderabad GCC as a captive engineering node focused on cloud infrastructure, data analytics, AI and cybersecurity (weaker source).
https://ssfglobal.in/?p=41673</t>
    </r>
  </si>
  <si>
    <r>
      <rPr>
        <strike val="true"/>
        <sz val="10"/>
        <color rgb="FFC00000"/>
        <rFont val="EYInterstate"/>
        <family val="0"/>
        <charset val="1"/>
      </rPr>
      <t xml:space="preserve">1.Nationwide remains among the largest U.S. insurance and financial-services providers, reporting over $73 billion in premiums and sales according to ET GCC coverage. 
https://gcc.economictimes.indiatimes.com/news/workplace-transformation/nationwide-launches-global-capability-centre-in-hyderabad/131478429</t>
    </r>
    <r>
      <rPr>
        <i val="true"/>
        <sz val="9"/>
        <color rgb="FFC00000"/>
        <rFont val="EYInterstate"/>
        <family val="0"/>
        <charset val="1"/>
      </rPr>
      <t xml:space="preserve">  [Oct'26 audit: incorrect – Parent premium/sales figures are not a Finance-function focus area of the India GCC; remove from P.]
</t>
    </r>
    <r>
      <rPr>
        <strike val="true"/>
        <sz val="10"/>
        <color rgb="FFC00000"/>
        <rFont val="EYInterstate"/>
        <family val="0"/>
        <charset val="1"/>
      </rPr>
      <t xml:space="preserve">
2.The company has appointed Vikas Jaswal as Senior Vice President and Managing Director of Nationwide India. He will oversee the Hyderabad operations, talent hiring and capability development while working with the company's global leadership teams.</t>
    </r>
    <r>
      <rPr>
        <i val="true"/>
        <sz val="9"/>
        <color rgb="FFC00000"/>
        <rFont val="EYInterstate"/>
        <family val="0"/>
        <charset val="1"/>
      </rPr>
      <t xml:space="preserve">  [Oct'26 audit: belongs under Technology – General GCC leadership appointment (confirmed by UNI), not Finance; keep once under Technology/Key Trends and delete the duplicate in Q5.]
</t>
    </r>
    <r>
      <rPr>
        <sz val="10"/>
        <rFont val="EYInterstate"/>
        <family val="0"/>
        <charset val="1"/>
      </rPr>
      <t xml:space="preserve">
Read More:
https://www.moneycontrol.com/news/business/information-technology/us-insurer-nationwide-opens-first-india-gcc-in-hyderabad-13969286.html</t>
    </r>
  </si>
  <si>
    <r>
      <rPr>
        <strike val="true"/>
        <sz val="10"/>
        <color rgb="FFC00000"/>
        <rFont val="EYInterstate"/>
        <family val="0"/>
        <charset val="1"/>
      </rPr>
      <t xml:space="preserve">1.Nationwide is deploying AI-enabled underwriting tools that summarize submissions, identify risk-data gaps and improve underwriter productivity while keeping final decisions under human control
https://www.insurancebusinessmag.com/us/news/technology/nationwide-drives-ai-experimentation-and-flagship-underwriting-transformation-566584.aspx</t>
    </r>
    <r>
      <rPr>
        <i val="true"/>
        <sz val="9"/>
        <color rgb="FFC00000"/>
        <rFont val="EYInterstate"/>
        <family val="0"/>
        <charset val="1"/>
      </rPr>
      <t xml:space="preserve">  [Oct'26 audit: no credible source found – Parent-level US underwriting AI; no evidence it is done from Hyderabad; URL not surfaced.]
</t>
    </r>
    <r>
      <rPr>
        <strike val="true"/>
        <sz val="10"/>
        <color rgb="FFC00000"/>
        <rFont val="EYInterstate"/>
        <family val="0"/>
        <charset val="1"/>
      </rPr>
      <t xml:space="preserve">
2.Nationwide has implemented AI-powered claims summarization and call-transcript technologies to improve claims handling efficiency.
https://www.insurebench.com/insurers/nationwide.</t>
    </r>
    <r>
      <rPr>
        <i val="true"/>
        <sz val="9"/>
        <color rgb="FFC00000"/>
        <rFont val="EYInterstate"/>
        <family val="0"/>
        <charset val="1"/>
      </rPr>
      <t xml:space="preserve">  [Oct'26 audit: belongs under Key Trends (col S) as group/parent context, not an India focus item – insurebench.com is a low-credibility aggregator; parent-level; not surfaced.]
</t>
    </r>
    <r>
      <rPr>
        <strike val="true"/>
        <sz val="10"/>
        <color rgb="FFC00000"/>
        <rFont val="EYInterstate"/>
        <family val="0"/>
        <charset val="1"/>
      </rPr>
      <t xml:space="preserve">
3.Nationwide's AI strategy includes customer-service modernization and increased use of AI tools to improve customer experiences and service delivery.
https://www.liveinsurancenews.com/nationwide-insurance-tech/8566764/</t>
    </r>
    <r>
      <rPr>
        <i val="true"/>
        <sz val="9"/>
        <color rgb="FFC00000"/>
        <rFont val="EYInterstate"/>
        <family val="0"/>
        <charset val="1"/>
      </rPr>
      <t xml:space="preserve">  [Oct'26 audit: belongs under Key Trends (col S) as group/parent context, not an India focus item – liveinsurancenews.com is a weak trade blog; parent-level; not surfaced.]
</t>
    </r>
    <r>
      <rPr>
        <strike val="true"/>
        <sz val="10"/>
        <color rgb="FFC00000"/>
        <rFont val="EYInterstate"/>
        <family val="0"/>
        <charset val="1"/>
      </rPr>
      <t xml:space="preserve">
4.Hyderabad operations initially support Property &amp; Casualty Insurance, Life Insurance, Retirement Services, Annuities, Mutual Funds and Financial Services technology platforms.
https://timesofindia.indiatimes.com/city/hyderabad/nationwide-opens-first-campus-outside-us-in-hyderabad/articleshow/132271390.cms</t>
    </r>
    <r>
      <rPr>
        <i val="true"/>
        <sz val="9"/>
        <color rgb="FFC00000"/>
        <rFont val="EYInterstate"/>
        <family val="0"/>
        <charset val="1"/>
      </rPr>
      <t xml:space="preserve">  [Oct'26 audit: no credible source found – TOI extract did not surface; UNI/Telangana Today confirm only that the centre 'supports business functions' broadly. Plausible; retain only if TOI re-verified.]
</t>
    </r>
    <r>
      <rPr>
        <strike val="true"/>
        <sz val="10"/>
        <color rgb="FFC00000"/>
        <rFont val="EYInterstate"/>
        <family val="0"/>
        <charset val="1"/>
      </rPr>
      <t xml:space="preserve">
5.Vikas Jaswal was appointed Senior Vice President &amp; Managing Director, Nationwide India to lead the newly established Hyderabad GCC.
https://www.moneycontrol.com/news/business/information-technology/us-insurer-nationwide-opens-first-india-gcc-in-hyderabad-13969286.html</t>
    </r>
    <r>
      <rPr>
        <i val="true"/>
        <sz val="9"/>
        <color rgb="FFC00000"/>
        <rFont val="EYInterstate"/>
        <family val="0"/>
        <charset val="1"/>
      </rPr>
      <t xml:space="preserve">  [Oct'26 audit: belongs under Technology – Duplicate of P2; general leadership item, not insurance operations.]</t>
    </r>
  </si>
  <si>
    <t xml:space="preserve">1.Nationwide established its first international GCC through Nationwide Global Services Center Pvt. Ltd. in Hyderabad.
2.The new India center will support engineering, digital, technology and business functions under a global operating model.</t>
  </si>
  <si>
    <t xml:space="preserve">Nationwide Launches First International Global Capability Center in Hyderabad, ETGCC
https://www.moneycontrol.com/news/business/information-technology/us-insurer-nationwide-opens-first-india-gcc-in-hyderabad-13969286.html</t>
  </si>
  <si>
    <t xml:space="preserve">Tim Frommeyer</t>
  </si>
  <si>
    <r>
      <rPr>
        <b val="true"/>
        <sz val="10"/>
        <color theme="9" tint="-0.5"/>
        <rFont val="EYInterstate"/>
        <family val="0"/>
        <charset val="1"/>
      </rPr>
      <t xml:space="preserve">Vikas Jaswal</t>
    </r>
    <r>
      <rPr>
        <sz val="10"/>
        <color theme="1"/>
        <rFont val="EYInterstate"/>
        <family val="0"/>
        <charset val="1"/>
      </rPr>
      <t xml:space="preserve"> Senior Vice President &amp; Managing Director, Nationwide India.</t>
    </r>
  </si>
  <si>
    <t xml:space="preserve">Genworth India GCC (Genworth Financial, USA) </t>
  </si>
  <si>
    <t xml:space="preserve">Delhi NCR (Gurugram region)</t>
  </si>
  <si>
    <t xml:space="preserve">IT, Operations, Finance and Sourcing
https://www.linkedin.com/showcase/genworthindia</t>
  </si>
  <si>
    <t xml:space="preserve">51-200 
https://in.linkedin.com/showcase/genworthindia/</t>
  </si>
  <si>
    <t xml:space="preserve">2,500–3,000</t>
  </si>
  <si>
    <t xml:space="preserve">150+</t>
  </si>
  <si>
    <t xml:space="preserve">Jerome Upton</t>
  </si>
  <si>
    <t xml:space="preserve">1.GSCP Approval required
2.Business relationship restrictions
3.Firm loan
4.Consultation required</t>
  </si>
  <si>
    <r>
      <rPr>
        <strike val="true"/>
        <sz val="10"/>
        <color rgb="FFC00000"/>
        <rFont val="EYInterstate"/>
        <family val="0"/>
        <charset val="1"/>
      </rPr>
      <t xml:space="preserve">1.Genworth India continues to operate as a capability center supporting technology solutions and customer-service operations for North America.
https://in.linkedin.com/showcase/genworthindia/</t>
    </r>
    <r>
      <rPr>
        <i val="true"/>
        <sz val="9"/>
        <color rgb="FFC00000"/>
        <rFont val="EYInterstate"/>
        <family val="0"/>
        <charset val="1"/>
      </rPr>
      <t xml:space="preserve">  [Oct'26 audit: no credible source found – LinkedIn showcase page not indexed in search; no dated public news on India technology work in the last two years. Plausible but unverified; no date given.]</t>
    </r>
  </si>
  <si>
    <r>
      <rPr>
        <strike val="true"/>
        <sz val="10"/>
        <color rgb="FFC00000"/>
        <rFont val="EYInterstate"/>
        <family val="0"/>
        <charset val="1"/>
      </rPr>
      <t xml:space="preserve">1.Genworth reported Q2 2026 adjusted operating income of $112 million and continued capital returns through share repurchases and Enact cash generation.
https://www.nasdaq.com/press-release/genworth-financial-announces-second-quarter-2026-results-2026-08-05</t>
    </r>
    <r>
      <rPr>
        <i val="true"/>
        <sz val="9"/>
        <color rgb="FFC00000"/>
        <rFont val="EYInterstate"/>
        <family val="0"/>
        <charset val="1"/>
      </rPr>
      <t xml:space="preserve">  [Oct'26 audit: incorrect – Parent quarterly earnings are not an India Finance-function item; remove from P. Replace with India finance-entity role evidence (below).]
</t>
    </r>
    <r>
      <rPr>
        <b val="true"/>
        <sz val="10"/>
        <color rgb="FF00008B"/>
        <rFont val="EYInterstate"/>
        <family val="0"/>
        <charset val="1"/>
      </rPr>
      <t xml:space="preserve">
[Oct'26 verified additions]
</t>
    </r>
    <r>
      <rPr>
        <sz val="10"/>
        <color rgb="FF00008B"/>
        <rFont val="EYInterstate"/>
        <family val="0"/>
        <charset val="1"/>
      </rPr>
      <t xml:space="preserve">
(2025-2026) Genworth advertises a Finance Lead for its India affiliate (GFIPL) to run the entity's finance and accounting processes under India and US GAAP, guiding the GNW India team on monthly/annual close (entity finance, not a global finance shared service).
https://builtin.com/job/finance-lead/3082704</t>
    </r>
  </si>
  <si>
    <r>
      <rPr>
        <strike val="true"/>
        <sz val="10"/>
        <color rgb="FFC00000"/>
        <rFont val="EYInterstate"/>
        <family val="0"/>
        <charset val="1"/>
      </rPr>
      <t xml:space="preserve">1.India GCC supports Operations, Finance and technology functions for Genworth North America.
https://in.linkedin.com/showcase/genworthindia/?original_referer=</t>
    </r>
    <r>
      <rPr>
        <i val="true"/>
        <sz val="9"/>
        <color rgb="FFC00000"/>
        <rFont val="EYInterstate"/>
        <family val="0"/>
        <charset val="1"/>
      </rPr>
      <t xml:space="preserve">  [Oct'26 audit: no credible source found – Same undated LinkedIn source, not surfaced; the only verifiable operations evidence is an older Genpact outsourcing relationship covering agent services, analytics/actuarial, F&amp;A and sourcing (2013, outdated).]</t>
    </r>
  </si>
  <si>
    <r>
      <rPr>
        <strike val="true"/>
        <sz val="10"/>
        <color rgb="FFC00000"/>
        <rFont val="EYInterstate"/>
        <family val="0"/>
        <charset val="1"/>
      </rPr>
      <t xml:space="preserve">India leadership specifically references strengthening governance frameworks and ICOFR (Internal Control over Financial Reporting) compliance readiness.(Linkedin official pg)</t>
    </r>
    <r>
      <rPr>
        <i val="true"/>
        <sz val="9"/>
        <color rgb="FFC00000"/>
        <rFont val="EYInterstate"/>
        <family val="0"/>
        <charset val="1"/>
      </rPr>
      <t xml:space="preserve">  [Oct'26 audit: no credible source found – No URL given and no search extract mentions ICOFR at Genworth India; the only ICOFR-adjacent evidence is a Finance Lead job requiring India and US GAAP compliance for the India affiliate (GFIPL).]</t>
    </r>
  </si>
  <si>
    <t xml:space="preserve">1.Genworth India is the capability center for Genworth North America. It offers innovative technology solutions and customer service to the US businesses and customers.
2.Genworth's CareScout business continues rolling out Care Assurance, a standalone long-term care insurance solution.
As of Q1 2026:
Product available in 41 U.S. states.
Represents Genworth's push into next-generation LTC insurance offerings.
3.CEO Thomas McInerney on temporary leave; CFO Jerome Upton becomes Interim CEO</t>
  </si>
  <si>
    <t xml:space="preserve">Genworth India | LinkedIn
https://investor.genworth.com/
https://investor.genworth.com/news-events
</t>
  </si>
  <si>
    <t xml:space="preserve">Corporate Leadership :: Genworth Financial, Inc. (GNW)</t>
  </si>
  <si>
    <t xml:space="preserve">Blake Hodges</t>
  </si>
  <si>
    <r>
      <rPr>
        <b val="true"/>
        <sz val="10"/>
        <color theme="9" tint="-0.5"/>
        <rFont val="EYInterstate"/>
        <family val="0"/>
        <charset val="1"/>
      </rPr>
      <t xml:space="preserve">Bijal Shah</t>
    </r>
    <r>
      <rPr>
        <sz val="10"/>
        <color theme="9" tint="-0.5"/>
        <rFont val="EYInterstate"/>
        <family val="0"/>
        <charset val="1"/>
      </rPr>
      <t xml:space="preserve"> Country Head &amp; GCC Leader</t>
    </r>
  </si>
  <si>
    <t xml:space="preserve">Voya India (Voya Global Services Private Limited)</t>
  </si>
  <si>
    <t xml:space="preserve">Bengaluru (HQ, Manyata Embassy Business Park); 
Hyderabad (new GCC at Raheja Mindspace IT Park, launched 2026)</t>
  </si>
  <si>
    <t xml:space="preserve">Technology, data/AI, operations for Voya Health (employee benefits), Wealth (retirement) and Investment Management
https://www.voya.com/</t>
  </si>
  <si>
    <t xml:space="preserve">3,000+ across Bengaluru and Hyderabad (2026, per ssfglobal/ET-Edge GCC coverage)</t>
  </si>
  <si>
    <r>
      <rPr>
        <sz val="10"/>
        <rFont val="EYInterstate"/>
        <family val="0"/>
        <charset val="1"/>
      </rPr>
      <t xml:space="preserve">1.Voya opened a new Hyderabad GCC in June 2026 to support technology, engineering, automation and analytics functions. The company reported more than 3,000 employees across India.
https://gcc.economictimes.indiatimes.com/news/workplace-transformation/voya-financial-expands-presence-with-new-global-capability-center-in-hyderabad/131633042
</t>
    </r>
    <r>
      <rPr>
        <strike val="true"/>
        <sz val="10"/>
        <color rgb="FFC00000"/>
        <rFont val="EYInterstate"/>
        <family val="0"/>
        <charset val="1"/>
      </rPr>
      <t xml:space="preserve">
2.Voya continues enterprise-wide AI investments supporting customer service, claims processing, retirement operations and employee productivity. AI-enabled platforms handle millions of customer interactions annually.
https://www.publicnow.com/view/9689D369FF98548D90CF66DB8F85DD57CDC20933</t>
    </r>
    <r>
      <rPr>
        <i val="true"/>
        <sz val="9"/>
        <color rgb="FFC00000"/>
        <rFont val="EYInterstate"/>
        <family val="0"/>
        <charset val="1"/>
      </rPr>
      <t xml:space="preserve">  [Oct'26 audit: no credible source found – publicnow.com is a press-release mirror; claim is parent-level, not India-specific, and not surfaced in search.]
</t>
    </r>
    <r>
      <rPr>
        <strike val="true"/>
        <sz val="10"/>
        <color rgb="FFC00000"/>
        <rFont val="EYInterstate"/>
        <family val="0"/>
        <charset val="1"/>
      </rPr>
      <t xml:space="preserve">
3.Voya deployed AI-enabled onboarding and API connectivity solutions to modernize retirement-plan onboarding and improve operational efficiency.
https://investors.voya.com/news/news-details/2026/Voya-Financial-and-SinglepointAI-advance-retirement-plan-onboarding-through-AI-enhanced-technology-and-data-connectivity/default.aspx</t>
    </r>
    <r>
      <rPr>
        <i val="true"/>
        <sz val="9"/>
        <color rgb="FFC00000"/>
        <rFont val="EYInterstate"/>
        <family val="0"/>
        <charset val="1"/>
      </rPr>
      <t xml:space="preserve">  [Oct'26 audit: no credible source found – Parent/US partnership with SinglepointAI; no India link shown; URL not surfaced.]
</t>
    </r>
    <r>
      <rPr>
        <b val="true"/>
        <sz val="10"/>
        <color rgb="FF00008B"/>
        <rFont val="EYInterstate"/>
        <family val="0"/>
        <charset val="1"/>
      </rPr>
      <t xml:space="preserve">
[Oct'26 verified additions]
</t>
    </r>
    <r>
      <rPr>
        <sz val="10"/>
        <color rgb="FF00008B"/>
        <rFont val="EYInterstate"/>
        <family val="0"/>
        <charset val="1"/>
      </rPr>
      <t xml:space="preserve">
(Jun 2026) Voya Financial opened a new GCC in Hyderabad at Raheja Mindspace IT Park (announced 16 Jun 2026) alongside its Bengaluru hub, taking its India workforce past 3,000; led by Sharada Nandakumar, President &amp; CEO of Voya India, serving Voya's Health, Wealth and Investment Management businesses.
https://ssfglobal.in/?p=41624
(2026) Voya India is hiring Gen AI application developers in Bengaluru, signalling GenAI build-out at the GCC.
https://www.instahyre.com/job-332378-gen-ai-app-developer-at-voya-india-bangalore/
(2025-2026) Voya Global Services Pvt Ltd (formerly VFI SLK, wholly owned since Aug 2023) delivers technology and business-process transformation services to Voya's Retirement, Employee Benefits and Investment Management businesses.
https://www.greatplacetowork.in/great/company/vfi-slk-global-sevices</t>
    </r>
  </si>
  <si>
    <r>
      <rPr>
        <strike val="true"/>
        <sz val="10"/>
        <color rgb="FFC00000"/>
        <rFont val="EYInterstate"/>
        <family val="0"/>
        <charset val="1"/>
      </rPr>
      <t xml:space="preserve">1.Voya's India GCC continues supporting wealth, retirement and investment-management businesses, which remain core growth areas for the parent company.(2026)
https://www.voyaindia.com/</t>
    </r>
    <r>
      <rPr>
        <i val="true"/>
        <sz val="9"/>
        <color rgb="FFC00000"/>
        <rFont val="EYInterstate"/>
        <family val="0"/>
        <charset val="1"/>
      </rPr>
      <t xml:space="preserve">  [Oct'26 audit: incorrect – Describes business lines served, not a finance function; voyaindia.com not surfaced. Remove from P; Finance evidence exists via SOX/finance roles instead.]
</t>
    </r>
    <r>
      <rPr>
        <b val="true"/>
        <sz val="10"/>
        <color rgb="FF00008B"/>
        <rFont val="EYInterstate"/>
        <family val="0"/>
        <charset val="1"/>
      </rPr>
      <t xml:space="preserve">
[Oct'26 verified additions]
</t>
    </r>
    <r>
      <rPr>
        <sz val="10"/>
        <color rgb="FF00008B"/>
        <rFont val="EYInterstate"/>
        <family val="0"/>
        <charset val="1"/>
      </rPr>
      <t xml:space="preserve">
(2026) Voya India's Bengaluru SOX/finance-controls team works with Finance, Accounting and Audit teams on SOX documentation and remediation, indicating finance-reporting support from India.
https://accajobs.quintedge.com/jobs/sox-compliance-analyst-voya-india-7qbke6</t>
    </r>
  </si>
  <si>
    <r>
      <rPr>
        <strike val="true"/>
        <sz val="10"/>
        <color rgb="FFC00000"/>
        <rFont val="EYInterstate"/>
        <family val="0"/>
        <charset val="1"/>
      </rPr>
      <t xml:space="preserve">1.AI-support capabilities currently handle millions of annual customer interactions, including self-service resolution and digital customer engagement.(Sep'26)
https://www.publicnow.com/view/9689D369FF98548D90CF66DB8F85DD57CDC20933</t>
    </r>
    <r>
      <rPr>
        <i val="true"/>
        <sz val="9"/>
        <color rgb="FFC00000"/>
        <rFont val="EYInterstate"/>
        <family val="0"/>
        <charset val="1"/>
      </rPr>
      <t xml:space="preserve">  [Oct'26 audit: no credible source found – Parent-level AI customer-service claim from publicnow mirror; not India-specific.]
</t>
    </r>
    <r>
      <rPr>
        <b val="true"/>
        <sz val="10"/>
        <color rgb="FF00008B"/>
        <rFont val="EYInterstate"/>
        <family val="0"/>
        <charset val="1"/>
      </rPr>
      <t xml:space="preserve">
[Oct'26 verified additions]
</t>
    </r>
    <r>
      <rPr>
        <sz val="10"/>
        <color rgb="FF00008B"/>
        <rFont val="EYInterstate"/>
        <family val="0"/>
        <charset val="1"/>
      </rPr>
      <t xml:space="preserve">
(2025-2026) Voya India provides business process management services for Voya's Retirement, Employee Benefits (health/insurance) and Investment Management businesses from Bengaluru and Hyderabad.
https://www.greatplacetowork.in/great/company/vfi-slk-global-sevices</t>
    </r>
  </si>
  <si>
    <r>
      <rPr>
        <strike val="true"/>
        <sz val="10"/>
        <color rgb="FFC00000"/>
        <rFont val="EYInterstate"/>
        <family val="0"/>
        <charset val="1"/>
      </rPr>
      <t xml:space="preserve">Not Publically disclosed</t>
    </r>
    <r>
      <rPr>
        <i val="true"/>
        <sz val="9"/>
        <color rgb="FFC00000"/>
        <rFont val="EYInterstate"/>
        <family val="0"/>
        <charset val="1"/>
      </rPr>
      <t xml:space="preserve">  [Oct'26 audit: incorrect – Voya India is publicly hiring SOX compliance associates/senior associates in Bengaluru (RCM, narratives, flowcharts, remediation tracking with Finance, Accounting and Audit teams) - an internal-controls/SOX hub exists.]
</t>
    </r>
    <r>
      <rPr>
        <b val="true"/>
        <sz val="10"/>
        <color rgb="FF00008B"/>
        <rFont val="EYInterstate"/>
        <family val="0"/>
        <charset val="1"/>
      </rPr>
      <t xml:space="preserve">
[Oct'26 verified additions]
</t>
    </r>
    <r>
      <rPr>
        <sz val="10"/>
        <color rgb="FF00008B"/>
        <rFont val="EYInterstate"/>
        <family val="0"/>
        <charset val="1"/>
      </rPr>
      <t xml:space="preserve">
(2026) Voya India is hiring SOX Compliance Associates/Senior Associates in Bengaluru to perform Test of Design/Test of Effectiveness on SOX controls, maintain audit workpapers and SOX documentation (RCM, narratives, flowcharts) and track remediation plans with Finance, Accounting and Audit teams - evidence of a SOX/controls function at the GCC.
https://joinsaarthi.com/jobs/voya-financial/senior-associate-36367-bengaluru/5d4252df-6baa-49ac-89c2-13d092fefa5e
(2026) SOX Compliance Analyst role advertised for Voya India (Bengaluru).
https://accajobs.quintedge.com/jobs/sox-compliance-analyst-voya-india-7qbke6</t>
    </r>
  </si>
  <si>
    <t xml:space="preserve">https://ssfglobal.in/?p=41624
https://gcc.et-edge.com/?p=1000
https://www.greatplacetowork.in/great/company/vfi-slk-global-sevices
https://www.voyaindia.com/</t>
  </si>
  <si>
    <t xml:space="preserve">Sharada Nandakumar</t>
  </si>
  <si>
    <t xml:space="preserve">FNF India Private Limited
Fidelity National Financial (USA; title insurer)</t>
  </si>
  <si>
    <t xml:space="preserve">FNF India supports title insurance, escrow services, mortgage operations, claims management, title search and legal-service functions
https://fnfindia.co.in/</t>
  </si>
  <si>
    <t xml:space="preserve">~4000</t>
  </si>
  <si>
    <r>
      <rPr>
        <strike val="true"/>
        <sz val="10"/>
        <color rgb="FFC00000"/>
        <rFont val="EYInterstate"/>
        <family val="0"/>
        <charset val="1"/>
      </rPr>
      <t xml:space="preserve">1.FNF continues expanding its proprietary digital closing platform inHere, which reportedly supports a significant portion of residential transaction processing.
https://markets.financialcontent.com/stocks/article/marketminute-2026-2-20-fidelity-national-financial-signals-2026-expansion-as-inhere-tech-and-title-margins-hit-new-peaks</t>
    </r>
    <r>
      <rPr>
        <i val="true"/>
        <sz val="9"/>
        <color rgb="FFC00000"/>
        <rFont val="EYInterstate"/>
        <family val="0"/>
        <charset val="1"/>
      </rPr>
      <t xml:space="preserve">  [Oct'26 audit: no credible source found – Parent-level US platform; financialcontent 'MarketMinute' is a weak syndicated source; no evidence inHere work is done from India; not surfaced in search.]
</t>
    </r>
    <r>
      <rPr>
        <strike val="true"/>
        <sz val="10"/>
        <color rgb="FFC00000"/>
        <rFont val="EYInterstate"/>
        <family val="0"/>
        <charset val="1"/>
      </rPr>
      <t xml:space="preserve">
2.FNF management highlighted AI adoption, digital platforms and automation as drivers of operational efficiency and margin improvement.(May'26)
https://stockstory.org/us/stocks/nyse/fnf/news/earnings-call/fnf-q1-deep-dive-ai-adoption-and-commercial-growth-offset-residential-market-weakness</t>
    </r>
    <r>
      <rPr>
        <i val="true"/>
        <sz val="9"/>
        <color rgb="FFC00000"/>
        <rFont val="EYInterstate"/>
        <family val="0"/>
        <charset val="1"/>
      </rPr>
      <t xml:space="preserve">  [Oct'26 audit: no credible source found – Parent earnings-call commentary (stockstory, weak); ALTA coverage confirms CEO discussed technology/AI investments at parent level, but nothing India-specific.]
</t>
    </r>
    <r>
      <rPr>
        <b val="true"/>
        <sz val="10"/>
        <color rgb="FF00008B"/>
        <rFont val="EYInterstate"/>
        <family val="0"/>
        <charset val="1"/>
      </rPr>
      <t xml:space="preserve">
[Oct'26 verified additions]
</t>
    </r>
    <r>
      <rPr>
        <sz val="10"/>
        <color rgb="FF00008B"/>
        <rFont val="EYInterstate"/>
        <family val="0"/>
        <charset val="1"/>
      </rPr>
      <t xml:space="preserve">
(2025-2026) FNF India, the ~4,000-employee Bengaluru captive for all FNF family companies, provides business, knowledge-based and technology services and is ISO 27001:2022 certified with SOC 2 Type 2 attestation (information-security controls).
https://www.greatplacetowork.in/great/company/fnf-india-private-limited</t>
    </r>
  </si>
  <si>
    <r>
      <rPr>
        <strike val="true"/>
        <sz val="10"/>
        <color rgb="FFC00000"/>
        <rFont val="EYInterstate"/>
        <family val="0"/>
        <charset val="1"/>
      </rPr>
      <t xml:space="preserve">1.FNF reported Q2 2026 adjusted net earnings of $370 million and strong performance in its Title segment.
https://www.investor.fnf.com/news-releases/news-release-details/fnf-reports-second-quarter-2026-financial-results</t>
    </r>
    <r>
      <rPr>
        <i val="true"/>
        <sz val="9"/>
        <color rgb="FFC00000"/>
        <rFont val="EYInterstate"/>
        <family val="0"/>
        <charset val="1"/>
      </rPr>
      <t xml:space="preserve">  [Oct'26 audit: incorrect – Parent quarterly earnings are not an India Finance-function item; remove from P.]</t>
    </r>
  </si>
  <si>
    <r>
      <rPr>
        <strike val="true"/>
        <sz val="10"/>
        <color rgb="FFC00000"/>
        <rFont val="EYInterstate"/>
        <family val="0"/>
        <charset val="1"/>
      </rPr>
      <t xml:space="preserve">1.FNF continues to report growth in title-insurance revenues and transaction services despite housing-market headwinds.
https://www.investor.fnf.com/news-releases/news-release-details/fnf-reports-second-quarter-2026-financial-results
2.FNF's digital ecosystem including title, escrow and mortgage transaction services continues to focus on streamlined customer experiences and digital transaction processing.
https://markets.financialcontent.com/stocks/article/marketminute-2026-2-20-fidelity-national-financial-signals-2026-expansion-as-inhere-tech-and-title-margins-hit-new-peaks</t>
    </r>
    <r>
      <rPr>
        <i val="true"/>
        <sz val="9"/>
        <color rgb="FFC00000"/>
        <rFont val="EYInterstate"/>
        <family val="0"/>
        <charset val="1"/>
      </rPr>
      <t xml:space="preserve">  [Oct'26 audit: incorrect – Parent financial results, not India insurance-operations activity; replace with India title-search/examination hiring evidence.]
</t>
    </r>
    <r>
      <rPr>
        <b val="true"/>
        <sz val="10"/>
        <color rgb="FF00008B"/>
        <rFont val="EYInterstate"/>
        <family val="0"/>
        <charset val="1"/>
      </rPr>
      <t xml:space="preserve">
[Oct'26 verified additions]
</t>
    </r>
    <r>
      <rPr>
        <sz val="10"/>
        <color rgb="FF00008B"/>
        <rFont val="EYInterstate"/>
        <family val="0"/>
        <charset val="1"/>
      </rPr>
      <t xml:space="preserve">
(Aug 2026) FNF India ran a walk-in hiring drive (1 Aug 2026) for US Title Search professionals and Title Examiners (1-10 years; Current Owner/Two Owner/Full Search, title commitment) at its Bengaluru site (Brigade Tech Gardens, Brookefield), showing continued scaling of US title-search/examination operations from India.
https://jobs.weekday.works/walk-ins-at-fnfi-full-search-current-owner-two-owner-searchers-at-fnf-india-private-limited-wkdye0djwi
(2025-2026) FNF India describes itself as the global captive service centre for all Fidelity National Financial family companies in the US title industry, delivering business and knowledge services since 2005.
https://www.greatplacetowork.in/great/company/fnf-india-private-limited
(2026) Ongoing Title Specialist hiring at FNF India (Bengaluru) for US title-insurance support work.
https://jobs.weekday.works/title-specialist-at-fnf-india-private-limited-wkdyqgm2s7</t>
    </r>
  </si>
  <si>
    <t xml:space="preserve">https://fnf.com/companies/annuities-life-insurance
https://www.greatplacetowork.in/great/company/fnf-india-private-limited</t>
  </si>
  <si>
    <t xml:space="preserve">George Inasu</t>
  </si>
  <si>
    <t xml:space="preserve">List of Global Reinsurance branch/Broking companies in India</t>
  </si>
  <si>
    <t xml:space="preserve">Name of Entity</t>
  </si>
  <si>
    <t xml:space="preserve">Head-Office Location</t>
  </si>
  <si>
    <t xml:space="preserve">AXA XL Insurance - India Reinsurance Branch (XL)
</t>
  </si>
  <si>
    <t xml:space="preserve">Mumbai
Bengaluru &amp; Pune</t>
  </si>
  <si>
    <t xml:space="preserve">Reinsurance and Insurance Functions :
Property Reinsurance
Casualty Reinsurance
Specialty Reinsurance Lines
Agriculture Reinsurance
https://axaxl.com/insurance
</t>
  </si>
  <si>
    <t xml:space="preserve">Since 1986</t>
  </si>
  <si>
    <t xml:space="preserve">Alok Shukla</t>
  </si>
  <si>
    <t xml:space="preserve">[Oct'26] No India-specific technology item found; technology/AI is run at AXA XL / AXA Group level, not by the India reinsurance branch (searched: AXA XL India reinsurance branch 2025/2026 news and appointments). AUDIT: two further searches on the branch surfaced only underwriting/claims appointments; statement stands.</t>
  </si>
  <si>
    <t xml:space="preserve">[Oct'26] No India-specific finance item found; branch finance/regulatory reporting is a small local function with no public news (searched: AXA XL India reinsurance branch 2025/2026). AUDIT: no finance item surfaced; stands.</t>
  </si>
  <si>
    <r>
      <rPr>
        <b val="true"/>
        <sz val="10"/>
        <color rgb="FF00008B"/>
        <rFont val="EYInterstate"/>
        <family val="0"/>
        <charset val="1"/>
      </rPr>
      <t xml:space="preserve">[Oct'26 verified additions]
</t>
    </r>
    <r>
      <rPr>
        <sz val="10"/>
        <color rgb="FF00008B"/>
        <rFont val="EYInterstate"/>
        <family val="0"/>
        <charset val="1"/>
      </rPr>
      <t xml:space="preserve">
(Apr 2025) Alok Shukla, ex-Munich Re head of underwriting (earlier Regional Head of Agriculture), assumed the role of CEO of XL Insurance Company SE - India Reinsurance Branch on 1 April 2025, succeeding Joseph Augustine who stepped down on 31 January 2025 after 15 years; he is Mumbai-based and charged with growing the facultative reinsurance business.
https://www.reinsurancene.ws/alok-shukla-named-ceo-of-xl-insurance-india-reinsurance-branch/
(May 2025) AXA XL built out its Mumbai-based India branch team with five hires announced 14 May 2025: Saumitra Sharma (ex-Swiss Re) as Chief Underwriting Officer (joined 12 May 2025), Saurabh Bhootara as Property/Energy/Construction underwriter, Priya Manchanda as Claims Specialist, Vinod Kumar as Assistant Underwriter and Akash Jain as Underwriting Assistant, to deliver tailored facultative solutions to Indian clients and brokers.
https://axaxl.com/press-releases/axa-xl-strengthens-team-in-india-with-key-appointments
(May 2025) The branch's underwriting focus is facultative property, energy, construction, casualty and cyber: Saurabh Bhootara (ex-Liberty Mutual, 15+ years property/engineering underwriting) joined on 1 April 2025 as Property, Energy and Construction Underwriter and Vinod Kumar joined on 6 May 2025 as Assistant Underwriter across Cyber, Casualty and Property lines (announced 14 May 2025).
https://www.reinsurancene.ws/axa-xl-bolsters-indian-team-with-several-senior-appointments/</t>
    </r>
  </si>
  <si>
    <t xml:space="preserve">[Oct'26] No public internal audit / SOX / ICFR information for the India branch; audit is group-level (searched: AXA XL India reinsurance branch 2025/2026). AUDIT: nothing surfaced; stands.</t>
  </si>
  <si>
    <t xml:space="preserve">1.AXA XL Strengthens Team in India with Key Appointments (14 May 2025) 
</t>
  </si>
  <si>
    <t xml:space="preserve">https://axaxl.com/press-releases/axa-xl-strengthens-team-in-india-with-key-appointments</t>
  </si>
  <si>
    <t xml:space="preserve">AXA opens new office in Pune, expands Global Business Services centre - CNBC TV18
https://rocketreach.co/axa-xl-profile_b455dbe3fc94dd99</t>
  </si>
  <si>
    <t xml:space="preserve">Amit Agrawal</t>
  </si>
  <si>
    <t xml:space="preserve">AXA Group CRO</t>
  </si>
  <si>
    <t xml:space="preserve">India head mentioned
https://axaxl.com/press-releases/axa-xl-strengthens-team-in-india-with-key-appointments</t>
  </si>
  <si>
    <t xml:space="preserve">Empower Insurance</t>
  </si>
  <si>
    <t xml:space="preserve">1.Engineering
2.Sales &amp; Marketing
3.Finance and Ops
https://www.reveliolabs.com/companies/empower-india/employees</t>
  </si>
  <si>
    <t xml:space="preserve">735,Apr'26
https://www.reveliolabs.com/companies/empower-india/employees</t>
  </si>
  <si>
    <t xml:space="preserve">Since 1891</t>
  </si>
  <si>
    <t xml:space="preserve">Edmund F. Murphy III</t>
  </si>
  <si>
    <r>
      <rPr>
        <b val="true"/>
        <sz val="10"/>
        <color rgb="FF00008B"/>
        <rFont val="EYInterstate"/>
        <family val="0"/>
        <charset val="1"/>
      </rPr>
      <t xml:space="preserve">[Oct'26 verified additions]
</t>
    </r>
    <r>
      <rPr>
        <sz val="10"/>
        <color rgb="FF00008B"/>
        <rFont val="EYInterstate"/>
        <family val="0"/>
        <charset val="1"/>
      </rPr>
      <t xml:space="preserve">
(Current) Empower's Bengaluru centre supports global operations and develops new technologies for the US parent: most roles are in operations and technology, with further positions in reporting analytics, financial reporting, data science, marketing and analytics; job postings also describe round-the-clock technology support and business analytics/technology design for Empower and Putnam Investments.
https://jobs.empower.com/india</t>
    </r>
  </si>
  <si>
    <r>
      <rPr>
        <b val="true"/>
        <sz val="10"/>
        <color rgb="FF00008B"/>
        <rFont val="EYInterstate"/>
        <family val="0"/>
        <charset val="1"/>
      </rPr>
      <t xml:space="preserve">[Oct'26 verified additions]
</t>
    </r>
    <r>
      <rPr>
        <sz val="10"/>
        <color rgb="FF00008B"/>
        <rFont val="EYInterstate"/>
        <family val="0"/>
        <charset val="1"/>
      </rPr>
      <t xml:space="preserve">
(Current) The Bengaluru centre also houses finance functions: Empower's India careers page lists financial reporting and reporting-analytics positions, and live postings include Analyst - Payroll roles in Bengaluru.
https://jobs.empower.com/india</t>
    </r>
  </si>
  <si>
    <r>
      <rPr>
        <b val="true"/>
        <sz val="10"/>
        <color rgb="FF00008B"/>
        <rFont val="EYInterstate"/>
        <family val="0"/>
        <charset val="1"/>
      </rPr>
      <t xml:space="preserve">[Oct'26 verified additions]
</t>
    </r>
    <r>
      <rPr>
        <sz val="10"/>
        <color rgb="FF00008B"/>
        <rFont val="EYInterstate"/>
        <family val="0"/>
        <charset val="1"/>
      </rPr>
      <t xml:space="preserve">
(2025-2026) The Bengaluru centre is being expanded as Empower's India affiliate; live job postings cover US 401(k) retirement-plan recordkeeping operations, participant transaction processing, customer service and client service management (retirement-plan operations rather than insurance operations).
https://jobs.haceonline.org/job/specialist-processing-participant-transaction/83839144/
(FY2025) Empower Global Business Services India Pvt Ltd (incorporated Dec 2014, Bengaluru) reported revenue of about Rs 753 crore for the year ended 31 March 2025, indicating a sizeable captive operations/technology centre.
https://www.thecompanycheck.com/company/empower-global-business-services-india-private-limited/U74900KA2014FTC077522</t>
    </r>
  </si>
  <si>
    <t xml:space="preserve">[Oct'26] No public internal audit / SOX / ICFR team information for Empower India found (searched: Great West Global Business Services India internal audit SOX finance Bengaluru). AUDIT: nothing surfaced in two further searches; stands.</t>
  </si>
  <si>
    <t xml:space="preserve">1.Empower Insurance Brokers Private Limited is a newly incorporated on 19th September (2024) in Raipur Chhattisgarh, Indian‑owned insurance broking startup based in Raipur, operating domestically with basic advisory and intermediary services and no global, GCC, or AI‑led transformation footprint disclosed to date.
2. Empower Insurance does not have a publicly named CEO; the company is currently led by its founder‑directors Ramias Sohanlal Sharma and Vijendra Ramniwas Sharma.
</t>
  </si>
  <si>
    <t xml:space="preserve">https://tracxn.com/d/legal-entities/india/empower-insurance-brokers-private-limited/__eckhKmSEhPA-mW0w3YCDeh--Y1rqdUEn41Yw2D0EAIY
https://www.thecompanycheck.com/company/empower-insurance-brokers-private-limited/U66220CT2024PTC016865</t>
  </si>
  <si>
    <t xml:space="preserve">not disclosed</t>
  </si>
  <si>
    <t xml:space="preserve">Rajgopalan Iyengar</t>
  </si>
  <si>
    <t xml:space="preserve">India head mentioned
https://empowerindia.in/contact.html</t>
  </si>
  <si>
    <t xml:space="preserve">General Reinsurance AG (India Branch) </t>
  </si>
  <si>
    <t xml:space="preserve">Mumbai
Source:
https://www.genre.com/us/contactus/branch/asia/mumbai
https://www.dnb.com/business-directory/company-profiles/general-reinsurance-ag.0d4c9c4f676ca325cbb042cfd15129b3</t>
  </si>
  <si>
    <r>
      <rPr>
        <sz val="10"/>
        <color theme="1"/>
        <rFont val="EYInterstate"/>
        <family val="0"/>
        <charset val="1"/>
      </rPr>
      <t xml:space="preserve">Activities in India
</t>
    </r>
    <r>
      <rPr>
        <b val="true"/>
        <sz val="10"/>
        <color theme="1"/>
        <rFont val="EYInterstate"/>
        <family val="0"/>
        <charset val="1"/>
      </rPr>
      <t xml:space="preserve">Finance:
</t>
    </r>
    <r>
      <rPr>
        <sz val="10"/>
        <color theme="1"/>
        <rFont val="EYInterstate"/>
        <family val="0"/>
        <charset val="1"/>
      </rPr>
      <t xml:space="preserve">Finance Operations, Financial Reporting, CFO Function, Reinsurance Financial Management
</t>
    </r>
    <r>
      <rPr>
        <b val="true"/>
        <sz val="10"/>
        <color theme="1"/>
        <rFont val="EYInterstate"/>
        <family val="0"/>
        <charset val="1"/>
      </rPr>
      <t xml:space="preserve">Operations:
</t>
    </r>
    <r>
      <rPr>
        <sz val="10"/>
        <color theme="1"/>
        <rFont val="EYInterstate"/>
        <family val="0"/>
        <charset val="1"/>
      </rPr>
      <t xml:space="preserve">Property Reinsurance, Casualty Reinsurance, Marine Reinsurance, Auto/Motor Reinsurance, Specialty Lines, Life &amp; Health Reinsurance, Underwriting, Claims Management, Client Solutions
</t>
    </r>
    <r>
      <rPr>
        <b val="true"/>
        <sz val="10"/>
        <color theme="1"/>
        <rFont val="EYInterstate"/>
        <family val="0"/>
        <charset val="1"/>
      </rPr>
      <t xml:space="preserve">Technology:
</t>
    </r>
    <r>
      <rPr>
        <sz val="10"/>
        <color theme="1"/>
        <rFont val="EYInterstate"/>
        <family val="0"/>
        <charset val="1"/>
      </rPr>
      <t xml:space="preserve">Analytics support is referenced within Gen Re's business offerings; however, no dedicated India technology GCC or technology delivery center is publicly disclosed.
Sources:
https://www.genre.com/us/contactus/branch/asia/mumbai
https://rocketreach.co/gen-re-finance-department_b5c499a9f42e0dc7
https://www.genre.com/us/contactus/gen-re-india-public-disclosure-en
</t>
    </r>
  </si>
  <si>
    <t xml:space="preserve">1–24 (estimated)
Confirm branch operations but do not publish a workforce total.
Source
https://www.dnb.com/business-directory/company-profiles/general-reinsurance-ag.0d4c9c4f676ca325cbb042cfd15129b3
https://www.genre.com/us/contactus/gen-re-india-public-disclosure-en
https://www.genre.com/content/dam/generalreinsuranceprogram/documents/grin-public-disclosure2324-en.pdf</t>
  </si>
  <si>
    <t xml:space="preserve">Vijay Mudaliar</t>
  </si>
  <si>
    <t xml:space="preserve">1. GCSP Approval</t>
  </si>
  <si>
    <t xml:space="preserve">[Oct'26] No India-specific technology news; analytics/tech is group-level (searched: Gen Re India branch Mumbai 2025 2026; Gen Re India CEO life health 2025). AUDIT: not separately re-searched (budget); stands.</t>
  </si>
  <si>
    <t xml:space="preserve">[Oct'26] No India-specific finance news beyond the branch's statutory public disclosures (searched: Gen Re India branch 2025 2026). AUDIT: not separately re-searched (budget); stands.</t>
  </si>
  <si>
    <r>
      <rPr>
        <b val="true"/>
        <sz val="10"/>
        <color rgb="FF00008B"/>
        <rFont val="EYInterstate"/>
        <family val="0"/>
        <charset val="1"/>
      </rPr>
      <t xml:space="preserve">[Oct'26 verified additions]
</t>
    </r>
    <r>
      <rPr>
        <sz val="10"/>
        <color rgb="FF00008B"/>
        <rFont val="EYInterstate"/>
        <family val="0"/>
        <charset val="1"/>
      </rPr>
      <t xml:space="preserve">
(Current) Gen Re's IRDAI-licensed Mumbai branch (General Reinsurance AG - India Branch, on IRDAI's public reinsurer-branch list) is led by Principal Officer/CEO Vijay Mudaliar; the branch's historic focus is life &amp; health reinsurance with P&amp;C written alongside (line-of-business detail per team notes and 2017 launch coverage, not re-verified).
https://esi.in/finance/insurance/reinsurer-branches/general-reinsurance-ag-india-branch/
(Jan 2025) Aon launched a life &amp; health reinsurance practice in India on 23 January 2025 and hired Neha Shah from Gen Re as its Chief Actuary, tapping Gen Re India's L&amp;H actuarial bench; no new product or licence announcements by the Gen Re branch itself were found for 2025-26.
https://www.intelligentinsurer.com/aon-recruits-gen-re-actuary-to-strengthen-new-landh-practice-in-india</t>
    </r>
  </si>
  <si>
    <t xml:space="preserve">[Oct'26] No public internal audit / SOX / ICFR information for the India branch; group-level (Berkshire Hathaway) (searched: Gen Re India branch 2025 2026). AUDIT: not separately re-searched (budget); stands.</t>
  </si>
  <si>
    <t xml:space="preserve">1.Chief Executive Officer (India Branch)
Vijay Mudaliar — Chief Executive Officer, General Reinsurance AG – India Branch
2.Kara Raiguel — President &amp; CEO, General Re Corporation (Global)</t>
  </si>
  <si>
    <t xml:space="preserve">https://www.gicouncil.in/about-the-council/organization-structure/members-of-the-gi-council/
https://www.genre.com/us/aboutus/leadership-team
</t>
  </si>
  <si>
    <t xml:space="preserve">Vinod Rathi</t>
  </si>
  <si>
    <t xml:space="preserve">Sanjeeb Kumar</t>
  </si>
  <si>
    <t xml:space="preserve">India head mentioned
https://www.the-digital-insurer.com/gen-re-blog/in-conversation-with-sanjeeb-kumar/</t>
  </si>
  <si>
    <t xml:space="preserve">Mumbai
Source:
https://www.lloyds.com/india
https://assets.lloyds.com/assets/y5059/1/Y5059.pdf</t>
  </si>
  <si>
    <r>
      <rPr>
        <sz val="10"/>
        <color theme="1"/>
        <rFont val="EYInterstate"/>
        <family val="0"/>
        <charset val="1"/>
      </rPr>
      <t xml:space="preserve">Publicly disclosed business activities include:
</t>
    </r>
    <r>
      <rPr>
        <b val="true"/>
        <sz val="10"/>
        <color theme="1"/>
        <rFont val="EYInterstate"/>
        <family val="0"/>
        <charset val="1"/>
      </rPr>
      <t xml:space="preserve">Finance:
</t>
    </r>
    <r>
      <rPr>
        <sz val="10"/>
        <color theme="1"/>
        <rFont val="EYInterstate"/>
        <family val="0"/>
        <charset val="1"/>
      </rPr>
      <t xml:space="preserve">Financial &amp; Regulatory Reporting
</t>
    </r>
    <r>
      <rPr>
        <b val="true"/>
        <sz val="10"/>
        <color theme="1"/>
        <rFont val="EYInterstate"/>
        <family val="0"/>
        <charset val="1"/>
      </rPr>
      <t xml:space="preserve">Operations:
</t>
    </r>
    <r>
      <rPr>
        <sz val="10"/>
        <color theme="1"/>
        <rFont val="EYInterstate"/>
        <family val="0"/>
        <charset val="1"/>
      </rPr>
      <t xml:space="preserve">Reinsurance Underwriting, Agriculture, Infrastructure, Disaster Risk, Broker Support
</t>
    </r>
    <r>
      <rPr>
        <b val="true"/>
        <sz val="10"/>
        <color theme="1"/>
        <rFont val="EYInterstate"/>
        <family val="0"/>
        <charset val="1"/>
      </rPr>
      <t xml:space="preserve">Technology:
</t>
    </r>
    <r>
      <rPr>
        <sz val="10"/>
        <color theme="1"/>
        <rFont val="EYInterstate"/>
        <family val="0"/>
        <charset val="1"/>
      </rPr>
      <t xml:space="preserve">Platform &amp; Underwriting Support Systems
Source:
https://www.lloyds.com/en-in/lloyds-around-the-world/india-financials
https://www.lloyds.com/india
https://www.reinsurancene.ws/lloyds-india-branch-opens-welcomes-ms-amlin-first-syndicate/
https://economictimes.indiatimes.com/industry/banking/finance/lloyds-to-apply-for-indian-reinsurance-branch/articleshow/51645708.cms
https://www.lloyds.com/india</t>
    </r>
  </si>
  <si>
    <t xml:space="preserve">Shefali Sehwani</t>
  </si>
  <si>
    <t xml:space="preserve">[Oct'26] No India-specific technology item; Lloyd's platform/Blueprint Two systems are market-level, not India branch (searched: Lloyd's India ICICI Lombard 2026; Lloyd's India GIFT City IFSC 2025 2026). AUDIT: nothing surfaced in two further searches; stands.</t>
  </si>
  <si>
    <t xml:space="preserve">[Oct'26] No India-specific finance news beyond statutory India financial disclosures (searched: as above). AUDIT: stands.</t>
  </si>
  <si>
    <r>
      <rPr>
        <b val="true"/>
        <sz val="10"/>
        <color rgb="FF00008B"/>
        <rFont val="EYInterstate"/>
        <family val="0"/>
        <charset val="1"/>
      </rPr>
      <t xml:space="preserve">[Oct'26 verified additions]
</t>
    </r>
    <r>
      <rPr>
        <sz val="10"/>
        <color rgb="FF00008B"/>
        <rFont val="EYInterstate"/>
        <family val="0"/>
        <charset val="1"/>
      </rPr>
      <t xml:space="preserve">
(Jun 2026) On 18 June 2026 Lloyd's signed an agreement with ICICI Lombard General Insurance to act as its local partner in India: ICICI Lombard issues local policies on behalf of managing agents across 13 lines (property, engineering, miscellaneous, marine cargo, marine hull, liability, aviation, travel, group personal accident, group health, terrorism, energy, trade credit), requested via Lloyd's Multinational team at no extra cost to managing agents.
https://www.lloyds.com/insights/news/new-local-partner-in-India
(Mar 2026) Lloyd's received authorisation to operate in GIFT City (IFSC), a platform separate from and in addition to Lloyd's India in Mumbai, giving access to reinsurance business from mainland India, GIFT City, other SEZs and overseas, plus direct insurance within GIFT City/SEZs; PartnerRe and Santam had set up GIFT City branches in February 2026.
https://www.insurancebusinessmag.com/asia/news/breaking-news/lloyds-follows-partnerre-into-india-reinsurance-hub-570097.aspx
(Apr 2026) Niyam Syndicate 2047, backed by Polo Managing Agency (Marco Capital) with J.C. Flowers as lead investor, became the first Lloyd's syndicate established in GIFT City and began underwriting on 1 April 2026; Niyam Group is also the first Tier 2 IFSC Insurance Intermediary Office to offer Lloyd's capacity from GIFT City (in-principle Lloyd's approval reported Jan 2026).
https://www.insurancebusinessmag.com/asia/news/breaking-news/polo-backs-first-lloyds-syndicate-in-indias-gift-city-571939.aspx
(Dec 2025) Lloyd's was reported to have applied to set up in GIFT City, with IFSCA confirming the application for a statutory insurance/reinsurance establishment was 'under process' and Lloyd's expecting to be authorised and operational there in 2026.
https://www.reinsurancene.ws/lloyds-reported-to-have-applied-to-set-up-in-indias-gift-city/</t>
    </r>
  </si>
  <si>
    <t xml:space="preserve">[Oct'26] No public internal audit / SOX / ICFR information for Lloyd's India; corporation-level (searched: as above). AUDIT: stands.</t>
  </si>
  <si>
    <r>
      <rPr>
        <sz val="10"/>
        <rFont val="EYInterstate"/>
        <family val="0"/>
        <charset val="1"/>
      </rPr>
      <t xml:space="preserve">1.IRDAI has permitted foreign reinsurance branches, including Lloyd’s India, to repatriate up to 20% of their excess assigned capital. This move aims to attract more players and allow free movement of capital in the Indian reinsurance market.
</t>
    </r>
    <r>
      <rPr>
        <sz val="10"/>
        <color theme="6"/>
        <rFont val="EYInterstate"/>
        <family val="0"/>
        <charset val="1"/>
      </rPr>
      <t xml:space="preserve">2.Jun' 26 - Lloyd’s is continuing to strengthen its multinational offering by signing a new agreement with ICICI Lombard General Insurance Company Ltd to act as its local partner in India. Expanding global access for market participants and a creating an efficient and flexible Lloyd’s marketplace.
3.Lloyd's applied to establish operations in GIFT City, strengthening India's reinsurance hub ambitions.</t>
    </r>
  </si>
  <si>
    <t xml:space="preserve">Foreign reinsurers can repatriate up to 20% of excess assigned capital, says Irdai
https://www.thehindubusinessline.com/money-and-banking/lloyds-of-london-to-anchor-global-reinsurance-presence-in-gift-city/article70756724.ece
https://www.lloyds.com/insights/news/new-local-partner-in-india
https://www.reinsurancene.ws/lloyds-reported-to-have-applied-to-set-up-in-indias-gift-city/</t>
  </si>
  <si>
    <t xml:space="preserve">Shefali Sehwani succeeds Shankar Gargipathy as Lloyd’s India CEO - Asia Insurance Post
https://hrtoday.in/manish-bhandari-appointed-as-chief-financial-officer-india-branch-at-lloyds/
https://en.wikipedia.org/wiki/Lloyd%27s_of_London</t>
  </si>
  <si>
    <t xml:space="preserve">Manish Bhandari</t>
  </si>
  <si>
    <t xml:space="preserve">Munich Re, India Branch</t>
  </si>
  <si>
    <t xml:space="preserve">Mumbai
Source:
https://www.munichre.com/en/company/about-munich-re/munich-re-worldwide/india/about-us.html</t>
  </si>
  <si>
    <r>
      <rPr>
        <sz val="10"/>
        <color theme="1"/>
        <rFont val="EYInterstate"/>
        <family val="0"/>
        <charset val="1"/>
      </rPr>
      <t xml:space="preserve">Public disclosures  indicate the following related functions:
</t>
    </r>
    <r>
      <rPr>
        <b val="true"/>
        <sz val="10"/>
        <color theme="1"/>
        <rFont val="EYInterstate"/>
        <family val="0"/>
        <charset val="1"/>
      </rPr>
      <t xml:space="preserve">Finance:
</t>
    </r>
    <r>
      <rPr>
        <sz val="10"/>
        <color theme="1"/>
        <rFont val="EYInterstate"/>
        <family val="0"/>
        <charset val="1"/>
      </rPr>
      <t xml:space="preserve">Finance, Accounting, Actuarial, Financial Reporting
</t>
    </r>
    <r>
      <rPr>
        <b val="true"/>
        <sz val="10"/>
        <color theme="1"/>
        <rFont val="EYInterstate"/>
        <family val="0"/>
        <charset val="1"/>
      </rPr>
      <t xml:space="preserve">Operations:
</t>
    </r>
    <r>
      <rPr>
        <sz val="10"/>
        <color theme="1"/>
        <rFont val="EYInterstate"/>
        <family val="0"/>
        <charset val="1"/>
      </rPr>
      <t xml:space="preserve">Property, Casualty, Marine, Engineering, Life &amp; Health Reinsurance, Underwriting, Claims
</t>
    </r>
    <r>
      <rPr>
        <b val="true"/>
        <sz val="10"/>
        <color theme="1"/>
        <rFont val="EYInterstate"/>
        <family val="0"/>
        <charset val="1"/>
      </rPr>
      <t xml:space="preserve">Technology:
</t>
    </r>
    <r>
      <rPr>
        <sz val="10"/>
        <color theme="1"/>
        <rFont val="EYInterstate"/>
        <family val="0"/>
        <charset val="1"/>
      </rPr>
      <t xml:space="preserve">Analytics, Pricing Platforms, Risk Analytics, BI &amp; Dashboarding</t>
    </r>
  </si>
  <si>
    <t xml:space="preserve">~144
Source:
https://www.munichre.com/content/dam/munichre/contentlounge/website-pieces/documents/munich-re-worldwide/india/fy-2024-2025/NL-41-Offices-Information-for-Re-Insurance-Branch.pdf/_jcr_content/renditions/original./NL-41-Offices-Information-for-Re-Insurance-Branch.pdf</t>
  </si>
  <si>
    <t xml:space="preserve">Surbhi Goel</t>
  </si>
  <si>
    <t xml:space="preserve">1. Audit client 
2. Scope of services restricted
3. GCSP Approval
4.Entity for which attest/AUP report is issued-scope of service restrictions
5. Entity for which sustainability assurance report is issued-requiring compliance with independence policy parts-1,2,3,6-full scope of service restrictions
6.Audit committee prepaproval &amp; or IESBA pre concurrence required for services
7. Firm loan
8.Business relationship restrictions
9.Consultation required</t>
  </si>
  <si>
    <t xml:space="preserve">[Oct'26] No India-branch-specific technology/AI item verified; analytics and AI platforms (e.g. REALYTIX) are group-level (searched: Munich Re India branch 2025 2026; Munich Re India Hitesh Kotak CEO analytics service company). AUDIT: a further branch news search surfaced only people moves; stands.</t>
  </si>
  <si>
    <t xml:space="preserve">[Oct'26] No India-specific finance news; group results are not an India focus item (searched: as above). AUDIT: stands.</t>
  </si>
  <si>
    <r>
      <rPr>
        <b val="true"/>
        <sz val="10"/>
        <color rgb="FF00008B"/>
        <rFont val="EYInterstate"/>
        <family val="0"/>
        <charset val="1"/>
      </rPr>
      <t xml:space="preserve">[Oct'26 verified additions]
</t>
    </r>
    <r>
      <rPr>
        <sz val="10"/>
        <color rgb="FF00008B"/>
        <rFont val="EYInterstate"/>
        <family val="0"/>
        <charset val="1"/>
      </rPr>
      <t xml:space="preserve">
(Oct 2025) Munich Re reinsured India's first parametric pandemic/epidemic business-interruption policy, created by Gallagher Insurance Brokers and issued by New India Assurance to The Phoenix Mills Ltd (malls, hotels, offices); the cover is reinsured by Munich Re's Epidemic Risk Solutions team and pays out swiftly on predefined triggers such as epidemic declarations.
https://www.reinsurancene.ws/gallagher-creates-india-parametric-pandemic-policy-reinsured-by-munich-re/
(Oct 2024) Surbhi Goel became CEO of Munich Re's India branch (P&amp;C reinsurance) with effect from October 2024 - its first female CEO - relocating from Singapore where she headed P&amp;C South-East Asia since 2022; announced 18 April 2024, she succeeded Hitesh Kotak, who from 1 July 2024 became Chief Executive for Japan, India, Korea and South-East Asia and to whom she reports.
https://www.munichre.com/en/company/media-relations/media-information-and-corporate-news/media-information/2024/media-release-2024-04-18.html
(Feb 2025) Munich Re India's Head of Underwriting, Alok Shukla (previously Regional Head of Agriculture), left to become CEO of AXA XL's India reinsurance branch from 1 April 2025 - a senior underwriting talent loss for the Munich Re branch.
https://www.intelligentinsurer.com/axa-xl-lands-munich-re-talent-for-new-india-reinsurance-ceo</t>
    </r>
  </si>
  <si>
    <t xml:space="preserve">[Oct'26] No public internal audit / SOX / ICFR information for the India branch; group-level (searched: as above). AUDIT: stands.</t>
  </si>
  <si>
    <r>
      <rPr>
        <sz val="10"/>
        <color rgb="FF000000"/>
        <rFont val="EYInterstate"/>
        <family val="0"/>
        <charset val="1"/>
      </rPr>
      <t xml:space="preserve">1.In October 2025, Munich Re, along with Gallagher Insurance Brokers and New India Assurance, launched India’s first parametric pandemic insurance for The Phoenix Mills Ltd, providing rapid coverage for business losses from epidemics using predefined triggers.
2.Munich Re integrated Sixfold AI into its REALYTIX ZERO platform
3.Foreign reinsurers now account for ~50%+ market share in India
Munich Re is a top foreign reinsurer benefiting from:
IRDAI branch regulations
Growth in specialty, cyber, climate &amp; engineering lines
</t>
    </r>
    <r>
      <rPr>
        <b val="true"/>
        <sz val="10"/>
        <color theme="6"/>
        <rFont val="EYInterstate"/>
        <family val="0"/>
        <charset val="1"/>
      </rPr>
      <t xml:space="preserve">4. Munich Re generated a stronger Q1 2026 net result of EUR 1.7 billion (vs EUR 1.1 billion in Q1 2025), with the technical result up ~EUR 600 million on low major-loss costs in reinsurance. At its 2026 AGM, the Group approved a dividend of EUR 24 per share for 2025, after a record net result of EUR 6.1 billion for the year — supporting continued investment capacity for its India branch and broader APAC franchise.</t>
    </r>
  </si>
  <si>
    <t xml:space="preserve">Gallagher creates India’s First Pandemic Insurance using parametric triggers Launched by New India Assurance, Reinsured by Munich Re
https://insurancedailynews.com/iir/post/munich-re-integrates-sixfold-ai-into-realytix-zero-platform 
https://www.newscase.com/munich-res-ai-integration-and-capital-returns-anchor-strategy-amid-market-volatility/
https://www.insurancebusinessmag.com/reinsurance/news/breaking-news/gic-res-dominance-fades-as-global-reinsurers-gain-nearly-half-of-market-share-537349.aspx</t>
  </si>
  <si>
    <t xml:space="preserve">Kavitha Manickavasagam</t>
  </si>
  <si>
    <t xml:space="preserve">RGA Reinsurance Company , India Branch</t>
  </si>
  <si>
    <t xml:space="preserve">Finance, Operations, Analytics and Technology
https://www.rgare.com/global-presence/asia-pacific/india</t>
  </si>
  <si>
    <t xml:space="preserve">200 approx.
https://internshala.com/company/rga-reinsurance-company-india-branch-1761731659</t>
  </si>
  <si>
    <t xml:space="preserve">Sunil Sharma</t>
  </si>
  <si>
    <t xml:space="preserve">1. GCSP Approval
</t>
  </si>
  <si>
    <r>
      <rPr>
        <sz val="10"/>
        <rFont val="EYInterstate"/>
        <family val="0"/>
        <charset val="1"/>
      </rPr>
      <t xml:space="preserve">1. RGA offers RGA Shield, a digital risk-management ad automated underwriting platform which Demonstrates RGA's move toward AI-enabled underwriting and digital insurance operations - AURA NEXT
</t>
    </r>
    <r>
      <rPr>
        <u val="single"/>
        <sz val="10"/>
        <rFont val="EYInterstate"/>
        <family val="0"/>
        <charset val="1"/>
      </rPr>
      <t xml:space="preserve">https://www.rgare.com/global-presence/asia-pacific/india</t>
    </r>
  </si>
  <si>
    <r>
      <rPr>
        <strike val="true"/>
        <sz val="10"/>
        <color rgb="FFC00000"/>
        <rFont val="EYInterstate"/>
        <family val="0"/>
        <charset val="1"/>
      </rPr>
      <t xml:space="preserve">India leadership includes a dedicated Chief Financial Officer. Pankaj Jain serves as CFO who Supports finance governance, financial reporting, controls and oversight functions.
https://www.rgare.com/global-presence/asia-pacific/india/meet-the-team---india</t>
    </r>
    <r>
      <rPr>
        <i val="true"/>
        <sz val="9"/>
        <color rgb="FFC00000"/>
        <rFont val="EYInterstate"/>
        <family val="0"/>
        <charset val="1"/>
      </rPr>
      <t xml:space="preserve">  [Oct'26 audit: no credible source found – The rgare.com 'Meet the Team - India' page exists and is credible, but search extracts did not surface the CFO name; could not verify Pankaj Jain within budget. Also a leadership-roster item, not finance news - weak as a Finance focus bullet.]</t>
    </r>
  </si>
  <si>
    <r>
      <rPr>
        <sz val="10"/>
        <rFont val="EYInterstate"/>
        <family val="0"/>
        <charset val="1"/>
      </rPr>
      <t xml:space="preserve">1. RGA provides life, health, critical illness nd credit-life reinsurance solutions in India
https://www.rgare.com/global-presence/asia-pacific/india
2. RGA identifies underwriting, pricing, data analytics and product development as core capabilities. Also RGA supports bancassurance and telemarketing insurance products.
https://www.rgare.com/global-presence/asia-pacific/india
</t>
    </r>
    <r>
      <rPr>
        <b val="true"/>
        <sz val="10"/>
        <color rgb="FF00008B"/>
        <rFont val="EYInterstate"/>
        <family val="0"/>
        <charset val="1"/>
      </rPr>
      <t xml:space="preserve">
[Oct'26 verified additions]
</t>
    </r>
    <r>
      <rPr>
        <sz val="10"/>
        <color rgb="FF00008B"/>
        <rFont val="EYInterstate"/>
        <family val="0"/>
        <charset val="1"/>
      </rPr>
      <t xml:space="preserve">
(Jan 2024) RGA named Sunil Sharma - formerly President, Chief Actuary and CRO at Kotak Life for over a decade, a Fellow of IAI and IFoA and an IFoA council member - as CEO of its India branch on 25 January 2024 (subject to IRDAI approval); he joined RGA in 2024, bringing actuarial/pricing-led leadership to the branch.
https://www.rgare.com/our-company/people/detail/sunil-sharma
(Current) RGA India, an IRDAI-licensed branch, writes individual life, living benefits (health, critical illness) and credit-life reinsurance and offers financial (capital/risk) solutions, including support for bancassurance and telemarketing channels.
https://www.rgare.com/global-presence/asia-pacific/india</t>
    </r>
  </si>
  <si>
    <r>
      <rPr>
        <strike val="true"/>
        <sz val="10"/>
        <color rgb="FFC00000"/>
        <rFont val="EYInterstate"/>
        <family val="0"/>
        <charset val="1"/>
      </rPr>
      <t xml:space="preserve">1. India leadership includes a dedicated Chief Compliance Officer, Bhavini Lad.
https://www.rgare.com/global-presence/asia-pacific/india/meet-the-team---india</t>
    </r>
    <r>
      <rPr>
        <i val="true"/>
        <sz val="9"/>
        <color rgb="FFC00000"/>
        <rFont val="EYInterstate"/>
        <family val="0"/>
        <charset val="1"/>
      </rPr>
      <t xml:space="preserve">  [Oct'26 audit: no credible source found – Meet-the-team page is credible but name not surfaced in extracts; a compliance officer is also a regulatory requirement, not evidence of an internal audit/SOX hub.]
</t>
    </r>
    <r>
      <rPr>
        <sz val="10"/>
        <rFont val="EYInterstate"/>
        <family val="0"/>
        <charset val="1"/>
      </rPr>
      <t xml:space="preserve">
2. No public evidence identified for a dedicated Internal Audit, SOX or ICFR Center of Excellence in India.</t>
    </r>
  </si>
  <si>
    <r>
      <rPr>
        <sz val="10"/>
        <color rgb="FF000000"/>
        <rFont val="EYInterstate"/>
        <family val="0"/>
        <charset val="1"/>
      </rPr>
      <t xml:space="preserve">1.RGA has adopted generative AI, including Meta’s Llama 4 Scout and GPT-4.1, to streamline policy document processing, enhancing operational efficiency and compliance.
2.DigitalOwl and RGA Form Collaborative Underwriting Technology Partnership
</t>
    </r>
    <r>
      <rPr>
        <b val="true"/>
        <sz val="10"/>
        <color theme="6"/>
        <rFont val="EYInterstate"/>
        <family val="0"/>
        <charset val="1"/>
      </rPr>
      <t xml:space="preserve">3. RGA India CEO Sunil Sharma told Asia Insurance Review that life and health reinsurers have a critical role in expanding India's insurance reach — citing weak distribution networks, low awareness and fragmented health data as key gaps reinsurers can help close through capital, digital distribution support, wellness-linked product design and AI/analytics-enabled underwriting.
4. RGA's Financial Strength Rating was affirmed at A+ (Superior) by AM Best in February 2026, and RGA was named to Fortune's World's Most Admired Companies list (January 2026), underscoring the parent's financial strength behind the India branch.</t>
    </r>
  </si>
  <si>
    <t xml:space="preserve">GenAI adoption accelerates in re/insurance as RGA outlines quarterly advancements | Reinsurance Business
https://www.insurtechinsights.com/digitalowl-and-rga-form-collaborative-underwriting-technology-partnership/</t>
  </si>
  <si>
    <t xml:space="preserve">https://www.rgare.com/our-company/people/detail/sunil-sharma
https://www.rgare.com/global-presence/asia-pacific/india
https://stockanalysis.com/stocks/rga/employees/</t>
  </si>
  <si>
    <t xml:space="preserve">Not Disclosed</t>
  </si>
  <si>
    <t xml:space="preserve">Axel André</t>
  </si>
  <si>
    <t xml:space="preserve">Jonathan Porter</t>
  </si>
  <si>
    <t xml:space="preserve">Finance, Operations and Analytics 
https://www.scor.com/en/scor-se-india-branch</t>
  </si>
  <si>
    <t xml:space="preserve">30 Approx. (Year 2022, current info not available)
https://www.scor.com/sites/default/files/2022-12/NL-41-Offices%20Information.pdf</t>
  </si>
  <si>
    <t xml:space="preserve">3621
</t>
  </si>
  <si>
    <t xml:space="preserve">30
</t>
  </si>
  <si>
    <t xml:space="preserve">Parag Gupta</t>
  </si>
  <si>
    <t xml:space="preserve">1. Partial scope of service restrictions
2. GCSP Approval
3. Business relationship restrictions
4.Firm loan</t>
  </si>
  <si>
    <r>
      <rPr>
        <strike val="true"/>
        <sz val="10"/>
        <color rgb="FFC00000"/>
        <rFont val="EYInterstate"/>
        <family val="0"/>
        <charset val="1"/>
      </rPr>
      <t xml:space="preserve">1. SCOR offers automated underwriting and digital claims capabilities through SCOR Digital Solutions. It Demonstrates SCOR's investment in digital insurance operations and AI-enabled decision support.</t>
    </r>
    <r>
      <rPr>
        <i val="true"/>
        <sz val="9"/>
        <color rgb="FFC00000"/>
        <rFont val="EYInterstate"/>
        <family val="0"/>
        <charset val="1"/>
      </rPr>
      <t xml:space="preserve">  [Oct'26 audit: no credible source found – Group-level product description (SCOR Digital Solutions / Velogica / VClaims); no evidence of an India-branch technology function or India deployment. Keep only as explicitly group-level, or drop.]
</t>
    </r>
    <r>
      <rPr>
        <sz val="10"/>
        <rFont val="EYInterstate"/>
        <family val="0"/>
        <charset val="1"/>
      </rPr>
      <t xml:space="preserve">
SCOR identifies analytics, data capabilities and technology expertise as strategic differentiators globally
https://www.scor.com/en/scor-digital-solutions</t>
    </r>
  </si>
  <si>
    <r>
      <rPr>
        <sz val="10"/>
        <rFont val="EYInterstate"/>
        <family val="0"/>
        <charset val="1"/>
      </rPr>
      <t xml:space="preserve">1. Mayank Tandon serves as Chief Financial Officer of SCOR India and under his leadership Provides local finance governance, regulatory oversight and financial-management capability.
</t>
    </r>
    <r>
      <rPr>
        <u val="single"/>
        <sz val="10"/>
        <rFont val="EYInterstate"/>
        <family val="0"/>
        <charset val="1"/>
      </rPr>
      <t xml:space="preserve">
https://www.scor.com/en/download/file?token=def502002ee3531b73d33239962df8129e0f435c432972d9b2b048aba16001e4fc56e1d401da7c1ddd5f79d3cd69f608c3198bb0e7006358ddf3a2c706cc6aeea9c1ebdbceb285523f655770e09269761580aff333b0c410dde012833ef39862740a033d0f783eff7246e54576cebdd8b3ddc97df8176f8cc4c2451fb82906416e8a16f592</t>
    </r>
  </si>
  <si>
    <r>
      <rPr>
        <sz val="10"/>
        <rFont val="EYInterstate"/>
        <family val="0"/>
        <charset val="1"/>
      </rPr>
      <t xml:space="preserve">1. SCOR maintains a longstanding Life &amp; Health reinsurance presence in India supported by critical illness and life expertise.
2. SCOR supports specialty insurance portfolios including agriculture and credit insurance.
https://www.scor.com/en/scor-se-india-branch
</t>
    </r>
    <r>
      <rPr>
        <b val="true"/>
        <sz val="10"/>
        <color rgb="FF00008B"/>
        <rFont val="EYInterstate"/>
        <family val="0"/>
        <charset val="1"/>
      </rPr>
      <t xml:space="preserve">
[Oct'26 verified additions]
</t>
    </r>
    <r>
      <rPr>
        <sz val="10"/>
        <color rgb="FF00008B"/>
        <rFont val="EYInterstate"/>
        <family val="0"/>
        <charset val="1"/>
      </rPr>
      <t xml:space="preserve">
(Current) SCOR SE India Branch is an IRDAI-approved composite branch (R2 authorisation followed by R3 approval) writing Life and P&amp;C reinsurance from Mumbai since the 1 April 2017 renewals, building on business written with Indian clients since 1973 and a liaison office from 2005; it is developing specialty covers with Indian clients, notably agriculture and credit, under the group's expansion plan.
https://www.scor.com/en/scor-se-india-branch
(Sep 2022, latest public filing found) India branch leadership comprised CEO Parag Gupta, CFO/Head Finance Mayank Tandon and separate heads for P&amp;C and Life &amp; Health; no newer India leadership or line-of-business announcements were found for 2024-26.
https://www.scor.com/sites/default/files/2022-12/NL-42-BOD.pdf</t>
    </r>
  </si>
  <si>
    <r>
      <rPr>
        <sz val="10"/>
        <rFont val="EYInterstate"/>
        <family val="0"/>
        <charset val="1"/>
      </rPr>
      <t xml:space="preserve">No public information is available on IA. 
India leadership structure includes dedicated executives for CEO, CFO, P&amp;C and Life &amp; Health operations.
</t>
    </r>
    <r>
      <rPr>
        <u val="single"/>
        <sz val="10"/>
        <rFont val="EYInterstate"/>
        <family val="0"/>
        <charset val="1"/>
      </rPr>
      <t xml:space="preserve">
https://www.scor.com/en/download/file?token=def502002ee3531b73d33239962df8129e0f435c432972d9b2b048aba16001e4fc56e1d401da7c1ddd5f79d3cd69f608c3198bb0e7006358ddf3a2c706cc6aeea9c1ebdbceb285523f655770e09269761580aff333b0c410dde012833ef39862740a033d0f783eff7246e54576cebdd8b3ddc97df8176f8cc4c2451fb82906416e8a16f592</t>
    </r>
  </si>
  <si>
    <t xml:space="preserve">1.SCOR is acting as a lead insurer in a newly launched facility designed to insure AI and data center infrastructure risks—an emerging risk segment that traditional reinsurers are now targeting.
SCOR and AXA have formed a consortium at Lloyd’s of London to provide insurance for ecological restoration projects, aimed at unlocking investment for environmental resilience.
2. SCOR’s automated underwriting solutions (e.g., Velogica, VClaims) deployed across multiple regions, including APAC.
</t>
  </si>
  <si>
    <t xml:space="preserve">https://www.insurancebusinessmag.com/reinsurance/news/breaking-news/scor-takes-lead-role-in-global-ai-infrastructure-facility-562322.aspx?utm_source=chatgpt.com
https://www.scor.com/en/news/scor-and-axa-join-forces-launch-lloyds-consortium-ecological-restoration-insurance?utm_source=chatgpt.com
https://www.scor.com/en/scor-se-india-branch
https://www.scor.com/en/press-releases-and-news</t>
  </si>
  <si>
    <t xml:space="preserve">Mayank Tandon</t>
  </si>
  <si>
    <r>
      <rPr>
        <sz val="10"/>
        <color theme="1"/>
        <rFont val="EYInterstate"/>
        <family val="0"/>
        <charset val="1"/>
      </rPr>
      <t xml:space="preserve">Mumbai,</t>
    </r>
    <r>
      <rPr>
        <sz val="10"/>
        <color theme="9" tint="-0.25"/>
        <rFont val="EYInterstate"/>
        <family val="0"/>
        <charset val="1"/>
      </rPr>
      <t xml:space="preserve">Bengluru and Hyderabad
https://www.swissre.com/careers/india.html</t>
    </r>
  </si>
  <si>
    <t xml:space="preserve">1.Finance and Accounting
2.Data Analytics
3.Machine Learning
4.R&amp;D
5.Software Engineeriing and IT ops
6.Acturial and Risk Functions
7.Digital and Technological functions
https://www.businessofgcc.com/gcc-data/companies/swiss-re-india-gurugram</t>
  </si>
  <si>
    <t xml:space="preserve">~2374 
https://www.businessofgcc.com/gcc-data/companies/swiss-re-india-gurugram</t>
  </si>
  <si>
    <t xml:space="preserve">60
</t>
  </si>
  <si>
    <t xml:space="preserve">Amitabha Ray</t>
  </si>
  <si>
    <r>
      <rPr>
        <b val="true"/>
        <sz val="10"/>
        <color rgb="FF00008B"/>
        <rFont val="EYInterstate"/>
        <family val="0"/>
        <charset val="1"/>
      </rPr>
      <t xml:space="preserve">[Oct'26 verified additions]
</t>
    </r>
    <r>
      <rPr>
        <sz val="10"/>
        <color rgb="FF00008B"/>
        <rFont val="EYInterstate"/>
        <family val="0"/>
        <charset val="1"/>
      </rPr>
      <t xml:space="preserve">
(May 2025) Business Standard interview with GBS head Amit Kalra: Swiss Re has ~2,500 staff in India (of ~14,000 globally); its India tech team grew from ~150 to ~750 in three years (Bengaluru ~400, Hyderabad ~350) and will be about 40-50% of the group's global engineering workforce; hiring is mainly product engineers, architects and data engineers, driven by a global tech insourcing drive, with a bigger Hyderabad office planned.
https://www.business-standard.com/companies/interviews/india-to-soon-have-about-50-of-swiss-re-s-global-tech-talent-amit-kalra-125051100389_1.html
(2025-2026) GBS India positioned as the driver of Swiss Re's technology transformation (innovation, analytics, R&amp;D), with 2,000+ professionals; actively hiring data science, engineering, AI and automation roles in Bengaluru and Hyderabad; India sites hold Top Employer 2025 certification.
https://www.swissre.com/careers/india.html
(undated, current careers page) Dedicated India data/tech hiring page: Swiss Re recruiting across data science and engineering streams for both GBS locations (Bengaluru, Hyderabad).
https://www.swissre.com/careers/indiatech.html
(Jul 2026) Tech-leadership move: Amit Kalra, MD and head of Swiss Re Global Business Solutions (India), left after 19+ years to become head of Zurich Capability Centres at Zurich Insurance effective 1 July 2026; successor for GBS India not yet identified in public sources.
https://reinasia.com/zurich-taps-amit-kalra-to-lead-new-global-capability-centre-in-india/</t>
    </r>
  </si>
  <si>
    <r>
      <rPr>
        <b val="true"/>
        <sz val="10"/>
        <color rgb="FF00008B"/>
        <rFont val="EYInterstate"/>
        <family val="0"/>
        <charset val="1"/>
      </rPr>
      <t xml:space="preserve">[Oct'26 verified additions]
</t>
    </r>
    <r>
      <rPr>
        <sz val="10"/>
        <color rgb="FF00008B"/>
        <rFont val="EYInterstate"/>
        <family val="0"/>
        <charset val="1"/>
      </rPr>
      <t xml:space="preserve">
(2025-2026, job-posting evidence) Swiss Re runs Group Finance work from Bengaluru: the Subledger Liabilities team (~70 staff, mainly Bengaluru and Zurich) owns L&amp;H and P&amp;C sub-ledger accounting and reporting under US GAAP, STAT and IFRS; open roles include Accountant II, Technical Accounting Analyst, Associate Financial Analyst (L&amp;H Finance Operations) and an apprentice supporting AI/automation for the Global Finance Operations &amp; Transformation (GFO&amp;T) team.
https://careers.swissre.com/job/Bangalore-Accountant-II-KA/1199902701</t>
    </r>
  </si>
  <si>
    <r>
      <rPr>
        <b val="true"/>
        <sz val="10"/>
        <color rgb="FF00008B"/>
        <rFont val="EYInterstate"/>
        <family val="0"/>
        <charset val="1"/>
      </rPr>
      <t xml:space="preserve">[Oct'26 verified additions]
</t>
    </r>
    <r>
      <rPr>
        <sz val="10"/>
        <color rgb="FF00008B"/>
        <rFont val="EYInterstate"/>
        <family val="0"/>
        <charset val="1"/>
      </rPr>
      <t xml:space="preserve">
(Apr 2024) Swiss Re veteran Amitabha Ray (27 years with the group; previously led the India client-management team) appointed CEO of the India Branch (Mumbai) effective 1 April 2024, succeeding Hadi Riachi; he leads the branch and Swiss Re's P&amp;C reinsurance business in India.
https://www.reinsurancene.ws/swiss-re-veteran-amitabha-ray-appointed-as-ceo-of-india-branch/
(2025-2026) Col E's actuarial/risk and R&amp;D functions at GBS India are consistent with Swiss Re's description of GBS India as an 'analytical and innovation hub' (1,600+ employees per registry mirror), but no dated 2024-26 news on specific claims/underwriting-support expansions was found.
https://www.thecompanycheck.com/company/swiss-re-global-business-solutions-india-private-limited/U74140KA2000PTC027640</t>
    </r>
  </si>
  <si>
    <t xml:space="preserve">[Oct'26] No publicly verified information found on internal audit / SOX / controls teams in India (auditor re-searched: 'Swiss Re GBS India Bengaluru finance accounting shared services OR internal audit team 2025 2026'; extract explicitly returned no internal audit items).</t>
  </si>
  <si>
    <r>
      <rPr>
        <sz val="10"/>
        <rFont val="EYInterstate"/>
        <family val="0"/>
        <charset val="1"/>
      </rPr>
      <t xml:space="preserve">1.Swiss Re India is actively engaged in broader governance, risk, and compliance (GRC) discussions. Swiss GRC, a Swiss software firm, recently launched in India, aiming to support local businesses in managing regulatory and compliance challenges, targeting USD 10 million in revenue for FY2025.
</t>
    </r>
    <r>
      <rPr>
        <sz val="10"/>
        <color theme="6"/>
        <rFont val="EYInterstate"/>
        <family val="0"/>
        <charset val="1"/>
      </rPr>
      <t xml:space="preserve">2.Swiss Re projects India among the world's fastest-growing insurance markets through 2030.</t>
    </r>
  </si>
  <si>
    <t xml:space="preserve">https://www.business-standard.com/amp/companies/news/swiss-grc-targets-revenue-of-10-million-from-indian-market-in-fy25-124020601359_1.html?utm.com
https://www.swissre.com/media/press-release/pr-20260119-india-insurance-market-growth-outlook.html
</t>
  </si>
  <si>
    <t xml:space="preserve">https://www.swissre.com/profile/Amitabha_Ray/ip_88cead
https://www.swissre.com/dam/jcr:8c1d60d9-cd5b-48b6-a14e-c3d4902a73de/NL-42-BOARD%20OF%20DIRECTORS%20&amp;%20KEY%20MANAGEMENT%20PERSONS.pdf</t>
  </si>
  <si>
    <t xml:space="preserve">Mumbai (Bandra Kurla Complex)
Source:
https://www.thecompanycheck.com/company/volante-global-services-india-private-limited/U74999MH2022FTC394424
https://tracxn.com/d/legal-entities/india/volante-global-services-india-private-limited/__6tB_fE40CEgjUrepY-XX9ioM8cfMp5Q4Eskn6pQcYao
https://www.zaubacorp.com/VOLANTE-GLOBAL-SERVICES-INDIA-PRIVATE-LIMITED-U74999MH2022FTC394424</t>
  </si>
  <si>
    <r>
      <rPr>
        <sz val="10"/>
        <color theme="1"/>
        <rFont val="EYInterstate"/>
        <family val="0"/>
        <charset val="1"/>
      </rPr>
      <t xml:space="preserve">Publicly disclosed insurance operations include:
</t>
    </r>
    <r>
      <rPr>
        <b val="true"/>
        <sz val="10"/>
        <color theme="1"/>
        <rFont val="EYInterstate"/>
        <family val="0"/>
        <charset val="1"/>
      </rPr>
      <t xml:space="preserve">Finance:
</t>
    </r>
    <r>
      <rPr>
        <sz val="10"/>
        <color theme="1"/>
        <rFont val="EYInterstate"/>
        <family val="0"/>
        <charset val="1"/>
      </rPr>
      <t xml:space="preserve">Finance Support, Actuarial, Risk Support
</t>
    </r>
    <r>
      <rPr>
        <b val="true"/>
        <sz val="10"/>
        <color theme="1"/>
        <rFont val="EYInterstate"/>
        <family val="0"/>
        <charset val="1"/>
      </rPr>
      <t xml:space="preserve">Operations:
</t>
    </r>
    <r>
      <rPr>
        <sz val="10"/>
        <color theme="1"/>
        <rFont val="EYInterstate"/>
        <family val="0"/>
        <charset val="1"/>
      </rPr>
      <t xml:space="preserve">Underwriting, Claims, Reinsurance Operations, Risk Management
</t>
    </r>
    <r>
      <rPr>
        <b val="true"/>
        <sz val="10"/>
        <color theme="1"/>
        <rFont val="EYInterstate"/>
        <family val="0"/>
        <charset val="1"/>
      </rPr>
      <t xml:space="preserve">Technology:
</t>
    </r>
    <r>
      <rPr>
        <sz val="10"/>
        <color theme="1"/>
        <rFont val="EYInterstate"/>
        <family val="0"/>
        <charset val="1"/>
      </rPr>
      <t xml:space="preserve">Technology Centre Support, Insurance Platforms, Claims Technology, Risk Analytics
Sources:
https://volanteglobal.com/meet-the-team/
https://volanteglobal.com/
https://volanteglobal.com/service/</t>
    </r>
  </si>
  <si>
    <t xml:space="preserve">November 2022 
</t>
  </si>
  <si>
    <t xml:space="preserve">Bobby Swarup</t>
  </si>
  <si>
    <t xml:space="preserve">1. GCSP Approval
2. Consultation required on scope of service 
3. Consultation required on Business Relationship
4. Consultation required on Firm Loan </t>
  </si>
  <si>
    <r>
      <rPr>
        <strike val="true"/>
        <sz val="10"/>
        <color rgb="FFC00000"/>
        <rFont val="EYInterstate"/>
        <family val="0"/>
        <charset val="1"/>
      </rPr>
      <t xml:space="preserve">1: India supports a growing multinational insurance platform
https://www.thecompanycheck.com/company/volante-global-services-india-private-limited/U74999MH2022FTC394424</t>
    </r>
    <r>
      <rPr>
        <i val="true"/>
        <sz val="9"/>
        <color rgb="FFC00000"/>
        <rFont val="EYInterstate"/>
        <family val="0"/>
        <charset val="1"/>
      </rPr>
      <t xml:space="preserve">  [Oct'26 audit: outdated – A company-registry page is not evidence of a technology trend, and the entity surrendered its IRDAI registration in Mar 2026. Delete.]</t>
    </r>
  </si>
  <si>
    <r>
      <rPr>
        <strike val="true"/>
        <sz val="10"/>
        <color rgb="FFC00000"/>
        <rFont val="EYInterstate"/>
        <family val="0"/>
        <charset val="1"/>
      </rPr>
      <t xml:space="preserve">1: Lloyd's India market expansion
https://asiainsurancepost.com/archives/59645</t>
    </r>
    <r>
      <rPr>
        <i val="true"/>
        <sz val="9"/>
        <color rgb="FFC00000"/>
        <rFont val="EYInterstate"/>
        <family val="0"/>
        <charset val="1"/>
      </rPr>
      <t xml:space="preserve">  [Oct'26 audit: belongs under Insurance Operations – Market-entry/licence news is Insurance Operations, not Finance; also superseded by the Mar 2026 surrender. URL not surfaced in searches (unverified).]</t>
    </r>
  </si>
  <si>
    <r>
      <rPr>
        <strike val="true"/>
        <sz val="10"/>
        <color rgb="FFC00000"/>
        <rFont val="EYInterstate"/>
        <family val="0"/>
        <charset val="1"/>
      </rPr>
      <t xml:space="preserve">1: Establishment of Indian operating infrastructure
https://www.thecompanycheck.com/company/volante-global-services-india-private-limited/U74999MH2022FTC394424</t>
    </r>
    <r>
      <rPr>
        <i val="true"/>
        <sz val="9"/>
        <color rgb="FFC00000"/>
        <rFont val="EYInterstate"/>
        <family val="0"/>
        <charset val="1"/>
      </rPr>
      <t xml:space="preserve">  [Oct'26 audit: outdated – Superseded: registration surrendered 20 Mar 2026.]
</t>
    </r>
    <r>
      <rPr>
        <strike val="true"/>
        <sz val="10"/>
        <color rgb="FFC00000"/>
        <rFont val="EYInterstate"/>
        <family val="0"/>
        <charset val="1"/>
      </rPr>
      <t xml:space="preserve">
2: Development of an India-focused operating presence
https://www.reinsurancene.ws/volante-names-laxmeekant-walikar-as-md-of-indian-subcontinent/</t>
    </r>
    <r>
      <rPr>
        <i val="true"/>
        <sz val="9"/>
        <color rgb="FFC00000"/>
        <rFont val="EYInterstate"/>
        <family val="0"/>
        <charset val="1"/>
      </rPr>
      <t xml:space="preserve">  [Oct'26 audit: outdated – Walikar appointment is confirmed (reinsurancene.ws), but he has since moved to Africa Specialty Risks and the India service company has surrendered its registration.]
</t>
    </r>
    <r>
      <rPr>
        <b val="true"/>
        <sz val="10"/>
        <color rgb="FF00008B"/>
        <rFont val="EYInterstate"/>
        <family val="0"/>
        <charset val="1"/>
      </rPr>
      <t xml:space="preserve">
[Oct'26 verified additions]
</t>
    </r>
    <r>
      <rPr>
        <sz val="10"/>
        <color rgb="FF00008B"/>
        <rFont val="EYInterstate"/>
        <family val="0"/>
        <charset val="1"/>
      </rPr>
      <t xml:space="preserve">
(Mar 2026) IRDAI order of 20 March 2026 records the surrender of the Certificate of Registration of Volante Global Services India Pvt Ltd (Lloyd's India service company); the entity has withdrawn from the Lloyd's India platform.
https://policyholder.gov.in/en/web/guest/orders1
(Feb 2026) Former Volante India MD Laxmeekant Walikar, who set up Volante Syndicate 1699's Lloyd's India service company, joined Africa Specialty Risks as Principal Officer &amp; MD India to establish ASR's Lloyd's service company for Syndicate 2454 via GIFT City; confirms wind-down of Volante's India build-out.
https://www.reinsurancene.ws/africa-specialty-risks-appoints-laxmeekant-walikar-as-principal-officer-md-india/
(Historical context) Volante launched its Mumbai office as a Lloyd's service company for Syndicate 1699 with Walikar as MD Indian Subcontinent; underwriting was to flow through Volante's international network across eight classes.
https://insuranceasianews.com/lloyds-player-volante-global-launches-india-office/</t>
    </r>
  </si>
  <si>
    <t xml:space="preserve">1.In November 2024, Volante received a license from the IRDAI to join the existing Lloyd’s platform in Mumbai. This move enhances India’s reinsurance capacity and positions Volante alongside other global reinsurers operating in the country.
2.Surrender of Certificate of Registration No. LLOYD’S/SC/004 upon request of Volante Global Services India Pvt. Ltd. as a Service Company of Lloyd’s India and Volante 1699 as a Syndicate of Lloyd’s.  (20 March 2026)</t>
  </si>
  <si>
    <t xml:space="preserve">Berkley Asia and Lloyd’s Syndicate Volante venture into Indian markets - Asia Insurance Post
file:///C:/Users/LB815QY/Downloads/%E0%A4%B5%E0%A5%8B%E0%A4%B2%E0%A4%BE%E0%A4%82%E0%A4%9F%20%E0%A4%97%E0%A5%8D%E0%A4%B2%E0%A5%8B%E0%A4%AC%E0%A4%B2%20%E0%A4%B8%E0%A4%B0%E0%A5%8D%E0%A4%B5%E0%A4%BF%E0%A4%B8%E0%A5%87%E0%A4%9C%E0%A4%BC%20%E0%A4%87%E0%A4%82%E0%A4%A1%E0%A4%BF%E0%A4%AF%E0%A4%BE%20%E0%A4%AA%E0%A5%8D%E0%A4%B0%E0%A4%BE%E0%A4%87%E0%A4%B5%E0%A5%87%E0%A4%9F%20%E0%A4%B2%E0%A4%BF%20%E0%A4%95%E0%A4%BE%20%E0%A4%AA%E0%A4%82%E0%A4%9C%E0%A5%80%E0%A4%95%E0%A4%B0%E0%A4%A3%20%E0%A4%AA%E0%A5%8D%E0%A4%B0%E0%A4%AE%E0%A4%BE%E0%A4%A3%E0%A4%AA%E0%A4%A4%E0%A5%8D%E0%A4%B0%20%E0%A4%95%E0%A4%BE%20%E0%A4%85%E0%A4%AD%E0%A5%8D%E0%A4%AF%E0%A4%B0%E0%A5%8D%E0%A4%AA%E0%A4%A3%20_%20Surrender%20of%20COR%20of%20Volante%20Global%20Services%20India%20Pvt%20Ltd.pdf</t>
  </si>
  <si>
    <t xml:space="preserve">Mumbai, Maharashtra (Bandra Kurla Complex)
Source:
https://axaxl.com/reinsurance/our-companies/xl-insurance-company-se</t>
  </si>
  <si>
    <r>
      <rPr>
        <sz val="10"/>
        <color theme="1"/>
        <rFont val="EYInterstate"/>
        <family val="0"/>
        <charset val="1"/>
      </rPr>
      <t xml:space="preserve">The India branch performs core reinsurance operations including:
</t>
    </r>
    <r>
      <rPr>
        <b val="true"/>
        <sz val="10"/>
        <color theme="1"/>
        <rFont val="EYInterstate"/>
        <family val="0"/>
        <charset val="1"/>
      </rPr>
      <t xml:space="preserve">Finance:
</t>
    </r>
    <r>
      <rPr>
        <sz val="10"/>
        <color theme="1"/>
        <rFont val="EYInterstate"/>
        <family val="0"/>
        <charset val="1"/>
      </rPr>
      <t xml:space="preserve">Finance Operations, Financial Management, Reporting
</t>
    </r>
    <r>
      <rPr>
        <b val="true"/>
        <sz val="10"/>
        <color theme="1"/>
        <rFont val="EYInterstate"/>
        <family val="0"/>
        <charset val="1"/>
      </rPr>
      <t xml:space="preserve">Operations:
</t>
    </r>
    <r>
      <rPr>
        <sz val="10"/>
        <color theme="1"/>
        <rFont val="EYInterstate"/>
        <family val="0"/>
        <charset val="1"/>
      </rPr>
      <t xml:space="preserve">Underwriting, Claims, Property, Casualty, Specialty &amp; Agriculture Reinsurance
</t>
    </r>
    <r>
      <rPr>
        <b val="true"/>
        <sz val="10"/>
        <color theme="1"/>
        <rFont val="EYInterstate"/>
        <family val="0"/>
        <charset val="1"/>
      </rPr>
      <t xml:space="preserve">Technology:
</t>
    </r>
    <r>
      <rPr>
        <sz val="10"/>
        <color theme="1"/>
        <rFont val="EYInterstate"/>
        <family val="0"/>
        <charset val="1"/>
      </rPr>
      <t xml:space="preserve">Not publicly disclosed
Source:
https://axaxl.com/reinsurance/our-companies/xl-insurance-company-se
https://www.insurancebusinessmag.com/asia/news/breaking-news/axa-xl-builds-india-bench-with-strategic-appointments-535759.aspx
https://reinasia.com/axa-xl-continues-india-build-out-with-five-appointments-including-saumitra-sharma-as-cuo/
</t>
    </r>
  </si>
  <si>
    <t xml:space="preserve">15 employees
Source:
https://axaxl.com/-/media/axaxl/files/pdfs/about-us/our-companies/fy-2025-2026/nl41--offices-information.pdf?rev=87d0f17bbe01492ab2e8c070f10dc1d4&amp;sc_lang=en&amp;hash=54B6DD02BC63273D9EFE05F4BAEB7B32</t>
  </si>
  <si>
    <t xml:space="preserve">1. Scope of services Restricted
2. Business Relationship Restricted
3. Consultation on Firm Loan Restriction
4. GCSP Approval is Required
5. ACPA and/or IESBA Pre-concurrence Required</t>
  </si>
  <si>
    <r>
      <rPr>
        <strike val="true"/>
        <sz val="10"/>
        <color rgb="FFC00000"/>
        <rFont val="EYInterstate"/>
        <family val="0"/>
        <charset val="1"/>
      </rPr>
      <t xml:space="preserve">1: Strengthening operational capability supporting facultative reinsurance
https://axaxl.com/press-releases/axa-xl-strengthens-team-in-india-with-key-appointments</t>
    </r>
    <r>
      <rPr>
        <i val="true"/>
        <sz val="9"/>
        <color rgb="FFC00000"/>
        <rFont val="EYInterstate"/>
        <family val="0"/>
        <charset val="1"/>
      </rPr>
      <t xml:space="preserve">  [Oct'26 audit: belongs under Insurance Operations – The press release is about underwriting/claims/operations hires for facultative business; nothing on technology. Belongs in Insurance Operations (duplicate of Q2).]</t>
    </r>
  </si>
  <si>
    <r>
      <rPr>
        <strike val="true"/>
        <sz val="10"/>
        <color rgb="FFC00000"/>
        <rFont val="EYInterstate"/>
        <family val="0"/>
        <charset val="1"/>
      </rPr>
      <t xml:space="preserve">1: Continued public financial and solvency disclosures
https://axaxl.com/reinsurance/our-companies/xl-insurance-company-se/half-financial-year-2025-2026</t>
    </r>
    <r>
      <rPr>
        <i val="true"/>
        <sz val="9"/>
        <color rgb="FFC00000"/>
        <rFont val="EYInterstate"/>
        <family val="0"/>
        <charset val="1"/>
      </rPr>
      <t xml:space="preserve">  [Oct'26 audit: no credible source found – Specific disclosure URL did not surface in search; parent company page confirms the branch and names a CFO (Avneet Kumar Gupta). Routine IRDAI public disclosures are not a 'trend'; keep only if the link is manually verified and reword as regulatory reporting.]
</t>
    </r>
    <r>
      <rPr>
        <strike val="true"/>
        <sz val="10"/>
        <color rgb="FFC00000"/>
        <rFont val="EYInterstate"/>
        <family val="0"/>
        <charset val="1"/>
      </rPr>
      <t xml:space="preserve">
2: Continued investment in India operations through leadership expansion
https://www.reinsurancene.ws/alok-shukla-named-ceo-of-xl-insurance-india-reinsurance-branch/</t>
    </r>
    <r>
      <rPr>
        <i val="true"/>
        <sz val="9"/>
        <color rgb="FFC00000"/>
        <rFont val="EYInterstate"/>
        <family val="0"/>
        <charset val="1"/>
      </rPr>
      <t xml:space="preserve">  [Oct'26 audit: belongs under Insurance Operations – CEO appointment is leadership/insurance-operations news, not Finance. Source confirmed (Shukla CEO from 1 Apr 2025).]</t>
    </r>
  </si>
  <si>
    <r>
      <rPr>
        <sz val="10"/>
        <rFont val="EYInterstate"/>
        <family val="0"/>
        <charset val="1"/>
      </rPr>
      <t xml:space="preserve">1: Leadership transition to support growth in facultative reinsurance
https://reinasia.com/axa-xl-appoints-alok-shukla-as-india-reinsurance-branch-ceo/
2: Significant strengthening of underwriting capability
https://axaxl.com/press-releases/axa-xl-strengthens-team-in-india-with-key-appointments
</t>
    </r>
    <r>
      <rPr>
        <strike val="true"/>
        <sz val="10"/>
        <color rgb="FFC00000"/>
        <rFont val="EYInterstate"/>
        <family val="0"/>
        <charset val="1"/>
      </rPr>
      <t xml:space="preserve">
3: Expansion of specialty reinsurance capabilities
https://axaxl.com/reinsurance/our-companies/xl-insurance-company-se</t>
    </r>
    <r>
      <rPr>
        <i val="true"/>
        <sz val="9"/>
        <color rgb="FFC00000"/>
        <rFont val="EYInterstate"/>
        <family val="0"/>
        <charset val="1"/>
      </rPr>
      <t xml:space="preserve">  [Oct'26 audit: no credible source found – Company page only lists the lines written (Property, Casualty, Specialty incl. agriculture); it does not evidence an 'expansion'. Reword as 'lines underwritten' or drop.]
</t>
    </r>
    <r>
      <rPr>
        <b val="true"/>
        <sz val="10"/>
        <color rgb="FF00008B"/>
        <rFont val="EYInterstate"/>
        <family val="0"/>
        <charset val="1"/>
      </rPr>
      <t xml:space="preserve">
[Oct'26 verified additions]
</t>
    </r>
    <r>
      <rPr>
        <sz val="10"/>
        <color rgb="FF00008B"/>
        <rFont val="EYInterstate"/>
        <family val="0"/>
        <charset val="1"/>
      </rPr>
      <t xml:space="preserve">
(Apr 2025) Alok Shukla (19+ years in re/insurance; ex-Munich Re and Bharti AXA General Insurance) became CEO of XL Insurance Company SE - India Reinsurance Branch on 1 April 2025, succeeding Joseph Augustine, who stepped down on 31 January 2025 after 15 years with AXA and acted as Senior Advisor until end-March.
https://www.reinsurancene.ws/alok-shukla-named-ceo-of-xl-insurance-india-reinsurance-branch/
(May 2025) AXA XL made five India appointments including Saumitra Sharma (from Swiss Re) as Chief Underwriting Officer from 12 May 2025; Mumbai team expanded across underwriting, claims and operations to deliver tailored facultative solutions.
https://axaxl.com/press-releases/axa-xl-strengthens-team-in-india-with-key-appointments
(2025-2026) Branch writes Property, Casualty and Specialty reinsurance including Agriculture for Indian general insurers; KMP: Alok Shukla (CEO), Avneet Kumar Gupta (CFO), Saumitra Sharma (CUO).
https://axaxl.com/reinsurance/our-companies/xl-insurance-company-se</t>
    </r>
  </si>
  <si>
    <t xml:space="preserve">XL Insurance’s team expansion shows a strategic emphasis on facultative reinsurance, which involves customized coverage for individual risk portfolios — often reflecting higher technical underwriting demand from Indian markets.</t>
  </si>
  <si>
    <t xml:space="preserve">AXA XL builds India bench with strategic appointments | Insurance Business</t>
  </si>
  <si>
    <t xml:space="preserve">Avneet Kumar Gupta</t>
  </si>
  <si>
    <t xml:space="preserve">WTW India Insurance Brokers Pvt. Ltd</t>
  </si>
  <si>
    <t xml:space="preserve">Bengaluru, Chennai, Gurugram, Hyderabad, Kolkata, Mumbai, Noida, Pune and Ahmedabad
https://www.wtwco.com/en-in/about-us/wtw-india-insurance-brokers</t>
  </si>
  <si>
    <t xml:space="preserve">Finance, Operations, Analytics and Technology
http://wtwco.com/en-in/solutions/insurance-consulting-and-technology</t>
  </si>
  <si>
    <t xml:space="preserve">4700+
https://economictimes.indiatimes.com/news/company/corporate-trends/wtws-india-global-delivery-centre-marks-successful-growth-and-expansion-through-strategic-global-transformation-programme/articleshow/113118272.cms</t>
  </si>
  <si>
    <t xml:space="preserve">Carl Hess</t>
  </si>
  <si>
    <r>
      <rPr>
        <strike val="true"/>
        <sz val="10"/>
        <color rgb="FFC00000"/>
        <rFont val="EYInterstate"/>
        <family val="0"/>
        <charset val="1"/>
      </rPr>
      <t xml:space="preserve">1: Increasing emphasis on risk advisory, analytics and data-driven broking
https://www.wtwco.com/en-in/news/2025/07/willis-is-named-best-broker-in-india-indonesia-the-philippines-singapore-and-vietnam-at-the-2025</t>
    </r>
    <r>
      <rPr>
        <i val="true"/>
        <sz val="9"/>
        <color rgb="FFC00000"/>
        <rFont val="EYInterstate"/>
        <family val="0"/>
        <charset val="1"/>
      </rPr>
      <t xml:space="preserve">  [Oct'26 audit: belongs under Insurance Operations – Source is a broking award release (InsuranceAsia News Country Awards 2025); it is Insurance Operations evidence, duplicating Q1. Only generic mention of data/analytics strategy.]
</t>
    </r>
    <r>
      <rPr>
        <sz val="10"/>
        <rFont val="EYInterstate"/>
        <family val="0"/>
        <charset val="1"/>
      </rPr>
      <t xml:space="preserve">
2: Broking model increasingly supported by analytics-driven risk solutions
https://www.wtwco.com/en-in/about-us/wtw-india-insurance-brokers
</t>
    </r>
    <r>
      <rPr>
        <b val="true"/>
        <sz val="10"/>
        <color rgb="FF00008B"/>
        <rFont val="EYInterstate"/>
        <family val="0"/>
        <charset val="1"/>
      </rPr>
      <t xml:space="preserve">
[Oct'26 verified additions]
</t>
    </r>
    <r>
      <rPr>
        <sz val="10"/>
        <color rgb="FF00008B"/>
        <rFont val="EYInterstate"/>
        <family val="0"/>
        <charset val="1"/>
      </rPr>
      <t xml:space="preserve">
(Jul 2025) WTW India Global Delivery Centre (Mumbai/Thane) recognised among Top GCC Companies at the GCC Workplace Awards 2025 (second consecutive year; ceremony Bengaluru, Jul 2025) and for Employee Experience Excellence at the ETHR Employee Experience Awards 2025.
https://careers.wtwco.com/blogs/our-stories/wtw-india-gdc-awards-2025
(Mar 2026) WTW Global Delivery and Solutions India Pvt Ltd (the GDC entity, Mumbai HQ, classified under data processing/hosting services) reported ~4,572 employees as of 1 Mar 2026, with FY25 revenue of INR 500-1,000 crore and ~13% revenue CAGR.
https://tracxn.com/d/legal-entities/india/wtw-global-delivery-and-solutions-india-private-limited/__c4hDJphJM88IL8sC-3ZHwyi1mCcbWCzqt21Akt8zuOE</t>
    </r>
  </si>
  <si>
    <r>
      <rPr>
        <strike val="true"/>
        <sz val="10"/>
        <color rgb="FFC00000"/>
        <rFont val="EYInterstate"/>
        <family val="0"/>
        <charset val="1"/>
      </rPr>
      <t xml:space="preserve">1: Strong FY2025 revenue growth
https://www.thecompanycheck.com/company/willis-towers-watson-india-insurance-brokers-private-limited/U74999HR2003PTC120185</t>
    </r>
    <r>
      <rPr>
        <i val="true"/>
        <sz val="9"/>
        <color rgb="FFC00000"/>
        <rFont val="EYInterstate"/>
        <family val="0"/>
        <charset val="1"/>
      </rPr>
      <t xml:space="preserve">  [Oct'26 audit: incorrect – Revenue growth of the broker is business performance, not a Finance-function trend (P is for finance shared services/FP&amp;A/treasury hubs). URL not surfaced in search. Remove or move to a general 'scale' note.]
</t>
    </r>
    <r>
      <rPr>
        <strike val="true"/>
        <sz val="10"/>
        <color rgb="FFC00000"/>
        <rFont val="EYInterstate"/>
        <family val="0"/>
        <charset val="1"/>
      </rPr>
      <t xml:space="preserve">
2: Continued business expansion and scale growth
https://www.emis.com/php/company-profile/IN/Willis_Towers_Watson_India_Insurance_Brokers_Private_Limited_en_3448106.html</t>
    </r>
    <r>
      <rPr>
        <i val="true"/>
        <sz val="9"/>
        <color rgb="FFC00000"/>
        <rFont val="EYInterstate"/>
        <family val="0"/>
        <charset val="1"/>
      </rPr>
      <t xml:space="preserve">  [Oct'26 audit: incorrect – Same issue: registry profile, not a finance-function trend; emis page not surfaced. Remove.]
</t>
    </r>
    <r>
      <rPr>
        <b val="true"/>
        <sz val="10"/>
        <color rgb="FF00008B"/>
        <rFont val="EYInterstate"/>
        <family val="0"/>
        <charset val="1"/>
      </rPr>
      <t xml:space="preserve">
[Oct'26 verified additions]
</t>
    </r>
    <r>
      <rPr>
        <sz val="10"/>
        <color rgb="FF00008B"/>
        <rFont val="EYInterstate"/>
        <family val="0"/>
        <charset val="1"/>
      </rPr>
      <t xml:space="preserve">
(2025-2026) India GDC hiring Business Analyst roles in Mumbai/Thane for finance and accounting operations, plus finance, treasury and tax roles, indicating finance-process delivery from the India centre (job-posting evidence only).
https://careers.wtwco.com/jobs/business-analyst-mumbai-maharashtra-india-thane</t>
    </r>
  </si>
  <si>
    <r>
      <rPr>
        <sz val="10"/>
        <rFont val="EYInterstate"/>
        <family val="0"/>
        <charset val="1"/>
      </rPr>
      <t xml:space="preserve">1: Recognition as India's Best Insurance Broker
https://www.wtwco.com/en-in/news/2025/07/willis-is-named-best-broker-in-india-indonesia-the-philippines-singapore-and-vietnam-at-the-2025
</t>
    </r>
    <r>
      <rPr>
        <strike val="true"/>
        <sz val="10"/>
        <color rgb="FFC00000"/>
        <rFont val="EYInterstate"/>
        <family val="0"/>
        <charset val="1"/>
      </rPr>
      <t xml:space="preserve">
2: Expansion of specialty insurance capabilities
https://asiainsurancepost.com/archives/65336</t>
    </r>
    <r>
      <rPr>
        <i val="true"/>
        <sz val="9"/>
        <color rgb="FFC00000"/>
        <rFont val="EYInterstate"/>
        <family val="0"/>
        <charset val="1"/>
      </rPr>
      <t xml:space="preserve">  [Oct'26 audit: no credible source found – URL not surfaced in any search; replace with the verified aviation &amp; space practice head appointment (Anant Pawar) from Insurance Business.]
</t>
    </r>
    <r>
      <rPr>
        <sz val="10"/>
        <rFont val="EYInterstate"/>
        <family val="0"/>
        <charset val="1"/>
      </rPr>
      <t xml:space="preserve">
3: Continued focus on industry-specialized broking and advisory
https://www.wtwco.com/en-in/about-us/wtw-india-insurance-brokers
</t>
    </r>
    <r>
      <rPr>
        <b val="true"/>
        <sz val="10"/>
        <color rgb="FF00008B"/>
        <rFont val="EYInterstate"/>
        <family val="0"/>
        <charset val="1"/>
      </rPr>
      <t xml:space="preserve">
[Oct'26 verified additions]
</t>
    </r>
    <r>
      <rPr>
        <sz val="10"/>
        <color rgb="FF00008B"/>
        <rFont val="EYInterstate"/>
        <family val="0"/>
        <charset val="1"/>
      </rPr>
      <t xml:space="preserve">
(Jul 2025) Willis, a WTW business, named Best Broker in India (and Indonesia, Philippines, Singapore, Vietnam) at the InsuranceAsia News Country Awards for Excellence 2025; India strategy anchored in industry specialism, risk advisory, data and analytics.
https://www.wtwco.com/en-in/news/2025/07/willis-is-named-best-broker-in-india-indonesia-the-philippines-singapore-and-vietnam-at-the-2025
(Apr 2025) Willis appointed Anant Pawar (27+ years; ex-Global Insurance Brokers, where he helped secure Lloyd's authorisation in India) to head its aviation and space insurance practice in India, continuing the industry-specialisation build-out of the Indian broking business.
https://www.insurancebusinessmag.com/asia/news/travel/wtws-willis-taps-new-head-for-india-aviation-insurance-532935.aspx
(Nov 2024) WTW named Broker of the Year in Asia at the 28th Asia Insurance Industry Awards 2024 (Singapore, 4 Nov 2024).
https://www.wtwco.com/en-in/insights/2024/11/wtw-named-as-broker-of-the-year-in-asia</t>
    </r>
  </si>
  <si>
    <r>
      <rPr>
        <strike val="true"/>
        <sz val="10"/>
        <color rgb="FFC00000"/>
        <rFont val="EYInterstate"/>
        <family val="0"/>
        <charset val="1"/>
      </rPr>
      <t xml:space="preserve">No India Related Internal Audit key trends.</t>
    </r>
    <r>
      <rPr>
        <i val="true"/>
        <sz val="9"/>
        <color rgb="FFC00000"/>
        <rFont val="EYInterstate"/>
        <family val="0"/>
        <charset val="1"/>
      </rPr>
      <t xml:space="preserve">  [Oct'26 audit: incorrect – Weak but real evidence exists at the India GDC: careers.wtwco.com lists a Senior SOC SME (System and Organization Controls) role in Mumbai supporting delivery of SOC, ISAE and AAF audits on technology-scoped controls, reporting into Technology Compliance. Reword to 'technology compliance / controls-audit support roles at India GDC (job-posting evidence only)'.]
</t>
    </r>
    <r>
      <rPr>
        <b val="true"/>
        <sz val="10"/>
        <color rgb="FF00008B"/>
        <rFont val="EYInterstate"/>
        <family val="0"/>
        <charset val="1"/>
      </rPr>
      <t xml:space="preserve">
[Oct'26 verified additions]
</t>
    </r>
    <r>
      <rPr>
        <sz val="10"/>
        <color rgb="FF00008B"/>
        <rFont val="EYInterstate"/>
        <family val="0"/>
        <charset val="1"/>
      </rPr>
      <t xml:space="preserve">
(2025-2026, job-posting evidence) WTW India GDC (Mumbai) hosts technology-compliance/controls-assurance roles: a Senior SOC SME (System and Organization Controls) supports delivery of all SOC, ISAE and AAF audits on technology-scoped controls, reporting into the Technology Compliance SOC lead and coordinating with auditors; a related SOC SME role covers audit planning and execution. Evidence of controls-testing support delivered from India (weak; no public internal-audit team announcement).
https://careers.wtwco.com/zh/jobs/senior-soc-sme-system-and-organization-controls-mumbai-maharashtra-india</t>
    </r>
  </si>
  <si>
    <t xml:space="preserve">WTW’s India Global Delivery Centre Marks Successful Growth and Expansion.</t>
  </si>
  <si>
    <t xml:space="preserve">Development: WTW’s India Global Delivery Centre Marks Successful Growth and Expansion Through Strategic Global Transformation Program, ETBFSI</t>
  </si>
  <si>
    <t xml:space="preserve">Development: WTW’s India Global Delivery Centre Marks Successful Growth and Expansion Through Strategic Global Transformation Program, ETBFSI
https://stockanalysis.com/stocks/wtw/employees/</t>
  </si>
  <si>
    <t xml:space="preserve">Andrew Krasner (Global)
 Indian CFO not disclosed</t>
  </si>
  <si>
    <t xml:space="preserve">Sudhir Sirpadrao Mahadevapura (MD)
https://bfsi.economictimes.indiatimes.com/news/financial-services/wtws-india-global-delivery-centre-marks-successful-growth-and-expansion-through-strategic-global-transformation-program/113494332</t>
  </si>
  <si>
    <t xml:space="preserve">Lockton Services India Pvt. Ltd - GCC</t>
  </si>
  <si>
    <r>
      <rPr>
        <sz val="10"/>
        <color theme="1"/>
        <rFont val="EYInterstate"/>
        <family val="0"/>
        <charset val="1"/>
      </rPr>
      <t xml:space="preserve">Mumbai
</t>
    </r>
    <r>
      <rPr>
        <sz val="10"/>
        <color theme="9" tint="-0.25"/>
        <rFont val="EYInterstate"/>
        <family val="0"/>
        <charset val="1"/>
      </rPr>
      <t xml:space="preserve">Bengluru,Bhubaneshwar,Chennai,Gift city,Hyderabad,Kolkata,Pune,Delhi,Vadodara
https://global.lockton.com/in/en/news-insights/lockton-indias-strategic-growth-navigating-insurance-markets-and-expanding</t>
    </r>
  </si>
  <si>
    <t xml:space="preserve">1.Insurance Broking
2.Corporate Risk
3.Employee benefits consulting
4.Claims advisory
5.Risk management
6.Client management and Account management
7.Analytics
8.ReInsurance broking
https://global.lockton.com/in/en/who-we-are</t>
  </si>
  <si>
    <t xml:space="preserve">241+
https://insurasales.com/news-story/290705/lockton-expands-into-indias-reinsurance-sector</t>
  </si>
  <si>
    <t xml:space="preserve">Since 1966</t>
  </si>
  <si>
    <t xml:space="preserve">Ron Lockton</t>
  </si>
  <si>
    <t xml:space="preserve">1. GCSP Approval
2.Consultation required</t>
  </si>
  <si>
    <t xml:space="preserve">[Oct'26] No India-specific technology/AI/GCC news found. Lockton Re's AI-agent rollout in reinsurance broking workflows (Insurance Business, 2026) and Lockton's 'digital office' are global initiatives with no stated India component (searched: 'Lockton India Mumbai technology analytics centre OR GCC 2025'; 'Lockton India reinsurance entry 2026').</t>
  </si>
  <si>
    <t xml:space="preserve">[Oct'26] No finance-function information found for Lockton India.</t>
  </si>
  <si>
    <r>
      <rPr>
        <b val="true"/>
        <sz val="10"/>
        <color rgb="FF00008B"/>
        <rFont val="EYInterstate"/>
        <family val="0"/>
        <charset val="1"/>
      </rPr>
      <t xml:space="preserve">[Oct'26 verified additions]
</t>
    </r>
    <r>
      <rPr>
        <sz val="10"/>
        <color rgb="FF00008B"/>
        <rFont val="EYInterstate"/>
        <family val="0"/>
        <charset val="1"/>
      </rPr>
      <t xml:space="preserve">
(Feb 2026) Lockton hired Renuka Nar from Aon as Director and Head of Life &amp; Health Reinsurance, India, reporting to Sudip Indani, to build out reinsurance broking capability in India (client partnerships, market development).
https://www.insurancebusinessmag.com/reinsurance/news/breaking-news/lockton-taps-aons-renuka-nar-to-lead-life-and-health-reinsurance-in-india-566052.aspx
(2025) Lockton India (nine branches incl. Mumbai, Delhi, Kolkata, Bangalore, Chennai) serves 1,000+ clients with ~241 associates, with plans to scale to ~380; Lockton entered India via the IRDAI-approved acquisition of Arihant Insurance Broking Services (approval Oct 2024) and commenced Indian operations on 1 January 2025; it has also signalled a formal reinsurance-broking entry.
https://global.lockton.com/in/en/news-insights/lockton-indias-strategic-growth-navigating-insurance-markets-and-expanding
(2025) JSW MG Motor India appointed Lockton India as its insurance broking partner; Lockton India Insurance Broking and Advisory Ltd with Zuno General Insurance facilitates the extended EV Assured Buy-Back programme ('MG Value Promise').
https://global.lockton.com/in/en/news-insights/lockton-india-strengthens-customer-confidence-in-ev-ownership-through-jsw-mg
(2025) Lockton recognised for India's Outstanding Claims Practice (alongside Singapore Best Broker) at Asia industry awards, supporting the claims-advisory capability listed in col E.
https://global.lockton.com/apac/en/news-insights/lockton-recognized-for-brokerage-and-claims-excellence-across-asia
(2025) Sudip Indani appointed MD - Head of People Solutions India (benefits broking, consulting, data analytics, wellbeing, healthcare strategy), the executive the new reinsurance head reports to.
https://www.hrkatha.com/people/movement/sudip-indani-joins-lockton-as-md-people-solutions/</t>
    </r>
  </si>
  <si>
    <t xml:space="preserve">[Oct'26] No internal audit / SOX information found for Lockton India.</t>
  </si>
  <si>
    <r>
      <rPr>
        <sz val="10"/>
        <rFont val="EYInterstate"/>
        <family val="0"/>
        <charset val="1"/>
      </rPr>
      <t xml:space="preserve">1. A 2026 industry ranking of global insurance brokers placed Lockton among the top 20 worldwide by revenue, reflecting strong competitive position in the brokerage market.
2. Apr' 26 - US-based Insurance broker Lockton is in the process of expanding into the reinsurance space in India, with a formal market entry expected in this financial year.
</t>
    </r>
    <r>
      <rPr>
        <sz val="10"/>
        <color rgb="FF00B050"/>
        <rFont val="EYInterstate"/>
        <family val="0"/>
        <charset val="1"/>
      </rPr>
      <t xml:space="preserve">3. JSW MG Motor India has partnered with Lockton India as its insurance broking partner, supporting the automaker’s continued efforts to strengthen electric vehicle (EV) adoption in India. The collaboration aligns with JSW MG Motor’s recently announced extension of its Assured Buy-Back Programme, aimed at addressing customer concerns around long-term ownership and resale value of EVs.</t>
    </r>
  </si>
  <si>
    <t xml:space="preserve">Largest Global Insurance &amp; Reinsurance Brokers in 2026
https://www.thehindubusinessline.com/money-and-banking/us-based-lockton-to-make-formal-market-entry-in-indias-reinsurance-space-this-fiscal/article70820285.ece#google_vignette
https://global.lockton.com/in/en/news-insights/lockton-india-strengthens-customer-confidence-in-ev-ownership-through-jsw-mg</t>
  </si>
  <si>
    <t xml:space="preserve">https://global.lockton.com/in/en/who-we-are
https://global.lockton.com/in/en/news-insights/lockton-india-appoints-girish-mantri-as-chief-financial-officer-to-drive</t>
  </si>
  <si>
    <t xml:space="preserve">Punit Pancholi</t>
  </si>
  <si>
    <t xml:space="preserve">Girish Mantri</t>
  </si>
  <si>
    <t xml:space="preserve">Dr. Sandeep Dadia</t>
  </si>
  <si>
    <t xml:space="preserve">BMS Group – India GCC (Mumbai)</t>
  </si>
  <si>
    <t xml:space="preserve">1.Insuarnce &amp; Broking
2.Data Analytics
3.Technology functions
4.AI &amp; Digital capabilities
https://www.bmsgroup.com/en/what-we-do</t>
  </si>
  <si>
    <t xml:space="preserve">~3,000 (BMS Group, global, approx.)</t>
  </si>
  <si>
    <t xml:space="preserve">Since 2026</t>
  </si>
  <si>
    <t xml:space="preserve">Nick Cook (Group CEO, BMS Group)</t>
  </si>
  <si>
    <r>
      <rPr>
        <b val="true"/>
        <sz val="10"/>
        <color rgb="FF00008B"/>
        <rFont val="EYInterstate"/>
        <family val="0"/>
        <charset val="1"/>
      </rPr>
      <t xml:space="preserve">[Oct'26 verified additions]
</t>
    </r>
    <r>
      <rPr>
        <sz val="10"/>
        <color rgb="FF00008B"/>
        <rFont val="EYInterstate"/>
        <family val="0"/>
        <charset val="1"/>
      </rPr>
      <t xml:space="preserve">
(Jun 2026) BMS opened a Global Capability Centre in Mumbai as a platform to build data, analytics and AI capability at scale; group CEO Nick Cook: it will 'help BMS serve clients better and compete more effectively'.
https://www.reinsurancene.ws/bms-establishes-global-capability-centre-in-mumbai-led-by-nipun-mapara/
(Jun 2026) BMS is accelerating investment in data infrastructure and the live deployment of AI tools across broking and operations, with the Mumbai GCC supplying specialist capability and access to India's AI/data talent; EY advised on feasibility, design and build.
https://www.insurancebusinessmag.com/reinsurance/news/breaking-news/bms-expands-ai-and-analytics-footprint-in-india-580123.aspx
(Jun 2026) BMS's own release confirms the Mumbai GCC is 'central to BMS's long-term operating model', broadening access to talent, skills and AI expertise in India; coverage also carried by Global Reinsurance and Asia Insurance Post.
https://www.bmsgroup.com/en/news/bms-opens-global-capability-centre-in-mumbai</t>
    </r>
  </si>
  <si>
    <t xml:space="preserve">[Oct'26] No publicly verified finance-function (F&amp;A, FP&amp;A, treasury) activity at the BMS Mumbai GCC (searched: 'BMS Group Mumbai GCC Nipun Mapara 2026 AI data analytics'; 'BMS Mumbai GCC EY advised June 2026 Nick Cook broking operations technology').</t>
  </si>
  <si>
    <r>
      <rPr>
        <b val="true"/>
        <sz val="10"/>
        <color rgb="FF00008B"/>
        <rFont val="EYInterstate"/>
        <family val="0"/>
        <charset val="1"/>
      </rPr>
      <t xml:space="preserve">[Oct'26 verified additions]
</t>
    </r>
    <r>
      <rPr>
        <sz val="10"/>
        <color rgb="FF00008B"/>
        <rFont val="EYInterstate"/>
        <family val="0"/>
        <charset val="1"/>
      </rPr>
      <t xml:space="preserve">
(Jun 2026) The Mumbai GCC, led by Nipun Mapara (MD) with Sanjeev Poojari as Head of Operations, is already supporting broking operations/broking support, client services, analytics and technology for BMS teams globally, positioned as an integrated part of the operating model.
https://asiainsurancepost.com/archives/81504
(Jun 2026) Scope confirmed as broking operations, data, analytics, technology and client-service functions across the group's global business.
https://insurance-edge.net/2026/06/23/bms-opens-global-capability-centre-in-mumbai/
(Jun 2026) The Mumbai GCC complements BMS's wider India presence following its recently announced strategic partnership with Berns Brett India (BBI), an Indian broker, linking the capability centre to BMS's in-market broking push.
https://www.bmsgroup.com/en/news/bms-opens-global-capability-centre-in-mumbai</t>
    </r>
  </si>
  <si>
    <t xml:space="preserve">[Oct'26] No internal audit / SOX information found for the BMS Mumbai GCC.</t>
  </si>
  <si>
    <t xml:space="preserve">1. BMS Group, the independent (re)insurance broker, opened a Global Capability Centre in Mumbai in 2026 as part of its strategy to build data, analytics and AI capability at scale. The GCC works with BMS teams globally across broking operations, data, analytics, technology and client-service functions and is described by BMS as an integrated, long-term part of its operating model rather than a support function.
2. The Mumbai GCC is led by Nipun Mapara (Managing Director), with Sanjeev Poojari appointed Head of Operations; BMS says the centre is already operational and contributing across broking support, client services, analytics and technology workstreams.
3. BMS stated the GCC will broaden its access to India's AI and data talent while accelerating investment in data infrastructure and the live deployment of AI tools across broking and operations.</t>
  </si>
  <si>
    <t xml:space="preserve">https://www.globalreinsurance.com/home/bms-opens-global-capability-centre-in-mumbai/1458939.article</t>
  </si>
  <si>
    <t xml:space="preserve">https://www.globalreinsurance.com/home/bms-opens-global-capability-centre-in-mumbai/1458939.article (Nipun Mapara, MD; Sanjeev Poojari, Head of Operations)</t>
  </si>
  <si>
    <t xml:space="preserve">Nipun Mapara — Managing Director, BMS India GCC</t>
  </si>
  <si>
    <t xml:space="preserve">Allianz Jio Reinsurance (50:50 JV of Allianz Europe and Jio Financial Services; IRDAI-approved domestic reinsurer)</t>
  </si>
  <si>
    <t xml:space="preserve">Urjita </t>
  </si>
  <si>
    <t xml:space="preserve">Domestic reinsurer (underwriting)</t>
  </si>
  <si>
    <r>
      <rPr>
        <b val="true"/>
        <sz val="10"/>
        <color rgb="FF00008B"/>
        <rFont val="EYInterstate"/>
        <family val="0"/>
        <charset val="1"/>
      </rPr>
      <t xml:space="preserve">[Oct'26 verified additions]
</t>
    </r>
    <r>
      <rPr>
        <sz val="10"/>
        <color rgb="FF00008B"/>
        <rFont val="EYInterstate"/>
        <family val="0"/>
        <charset val="1"/>
      </rPr>
      <t xml:space="preserve">
(Mar 2026) The JV pairs Jio Financial Services' local market knowledge and reach with Allianz's global underwriting and reinsurance skills; no India technology centre, AI programme or CTO appointment has been announced for the reinsurer itself. (Positioning statement only; weak as a Technology item.)
https://www.allianz.com/en/mediacenter/news/media-releases/financials/260326-allianz-jio-reinsurance-limited-commences-operations.html</t>
    </r>
  </si>
  <si>
    <t xml:space="preserve">[Oct'26] No publicly verified information found on finance/F&amp;A functions (researcher searched: Allianz Jio Reinsurance IRDAI licence 2026; Allianz Jio Re Sonia Rawal team Mumbai capital lines digital; auditor searched: Allianz Jio Reinsurance IRDAI approval commences operations March 2026 Sonia Rawal CEO). Paid-up capital not surfaced.</t>
  </si>
  <si>
    <r>
      <rPr>
        <b val="true"/>
        <sz val="10"/>
        <color rgb="FF00008B"/>
        <rFont val="EYInterstate"/>
        <family val="0"/>
        <charset val="1"/>
      </rPr>
      <t xml:space="preserve">[Oct'26 verified additions]
</t>
    </r>
    <r>
      <rPr>
        <sz val="10"/>
        <color rgb="FF00008B"/>
        <rFont val="EYInterstate"/>
        <family val="0"/>
        <charset val="1"/>
      </rPr>
      <t xml:space="preserve">
(Mar 2026) Received final IRDAI approval on 12 Mar 2026 and commenced operations as India's second private domestic reinsurer (after Valueattics Re); authorised to underwrite reinsurance in India with immediate effect; headquartered in Mumbai.
https://www.allianz.com/en/mediacenter/news/media-releases/financials/260326-allianz-jio-reinsurance-limited-commences-operations.html
(Mar 2026) Mumbai-headquartered; underwrites life and non-life reinsurance, both treaty and facultative, providing capacity and technical underwriting support to Indian insurers.
https://www.insurancebusinessmag.com/reinsurance/news/breaking-news/allianz-jio-re-starts-operations-in-india-reinsurance-sector-570048.aspx
(Mar 2026) Sonia Rawal (Allianz Re Singapore since 2016, responsible for India and ASEAN; 17 years in APAC risk management and reinsurance) appointed CEO; Allianz Re says several Allianz colleagues joined to form a local expert team from day one.
https://reinasia.com/allianz-jio-re-receives-approval-to-begin-reinsurance-operations-in-india-names-sonia-rawal-as-ceo/</t>
    </r>
  </si>
  <si>
    <t xml:space="preserve">[Oct'26] No publicly verified information found on internal audit/SOX/ICFR (same searches).</t>
  </si>
  <si>
    <t xml:space="preserve">https://allianz.com/en/mediacenter/news/media-releases/financials/260326-allianz-jio-reinsurance-limited-commences-operations.html
https://www.insurancebusinessmag.com/reinsurance/news/breaking-news/allianz-jio-re-starts-operations-in-india-reinsurance-sector-570048.aspx
https://finance.yahoo.com/news/irdai-approves-allianz-jio-reinsurance-111433734.html
https://www.xprimm.com/Allianz-Jio-Reinsurance-Limited-commences-operations-and-is-authorized-to-underwrite-reinsurance-in-India-articol-8-24618.htm"
</t>
  </si>
  <si>
    <t xml:space="preserve">Sonia Rawal</t>
  </si>
  <si>
    <t xml:space="preserve">Korean Re India Branch
Korean Reinsurance Company (Korean Re, South Korea)</t>
  </si>
  <si>
    <t xml:space="preserve">GIFT City, Gandhinagar (Gujarat)
</t>
  </si>
  <si>
    <t xml:space="preserve">Reinsurance branch</t>
  </si>
  <si>
    <r>
      <rPr>
        <strike val="true"/>
        <sz val="10"/>
        <color rgb="FFC00000"/>
        <rFont val="EYInterstate"/>
        <family val="0"/>
        <charset val="1"/>
      </rPr>
      <t xml:space="preserve">1: Establishment of a local operating platform
https://www.reinsurancene.ws/korean-re-approved-to-establish-branch-in-indias-gift-city/</t>
    </r>
    <r>
      <rPr>
        <i val="true"/>
        <sz val="9"/>
        <color rgb="FFC00000"/>
        <rFont val="EYInterstate"/>
        <family val="0"/>
        <charset val="1"/>
      </rPr>
      <t xml:space="preserve">  [Oct'26 audit: belongs under Insurance Operations – Source confirms IFSCA approval for a reinsurance branch; this is a branch/licence event, not a technology item. No tech platform, data or AI initiative is described.]</t>
    </r>
  </si>
  <si>
    <r>
      <rPr>
        <strike val="true"/>
        <sz val="10"/>
        <color rgb="FFC00000"/>
        <rFont val="EYInterstate"/>
        <family val="0"/>
        <charset val="1"/>
      </rPr>
      <t xml:space="preserve">1: Strategic capital commitment to India expansion
https://www.insurancebusinessmag.com/reinsurance/news/breaking-news/korean-re-secures-approval-for-gift-city-branch-558208.aspx</t>
    </r>
    <r>
      <rPr>
        <i val="true"/>
        <sz val="9"/>
        <color rgb="FFC00000"/>
        <rFont val="EYInterstate"/>
        <family val="0"/>
        <charset val="1"/>
      </rPr>
      <t xml:space="preserve">  [Oct'26 audit: belongs under Insurance Operations – Article covers IFSCA approval for the GIFT City branch; no capital figure or finance-function activity in the extract. It is a market-entry item and belongs under Insurance Operations; otherwise 'unsupported' as a Finance bullet.]</t>
    </r>
  </si>
  <si>
    <r>
      <rPr>
        <sz val="10"/>
        <rFont val="EYInterstate"/>
        <family val="0"/>
        <charset val="1"/>
      </rPr>
      <t xml:space="preserve">1: Entry into India's reinsurance market through GIFT City
https://www.reinsurancene.ws/korean-re-approved-to-establish-branch-in-indias-gift-city/
2: GIFT City selected as a platform for regional reinsurance growth
https://www.insurancebusinessmag.com/reinsurance/news/breaking-news/korean-re-secures-approval-for-gift-city-branch-558208.aspx
3: Expansion of overseas underwriting portfolio
https://pulse.mk.co.kr/news/english/11941462
</t>
    </r>
    <r>
      <rPr>
        <b val="true"/>
        <sz val="10"/>
        <color rgb="FF00008B"/>
        <rFont val="EYInterstate"/>
        <family val="0"/>
        <charset val="1"/>
      </rPr>
      <t xml:space="preserve">
[Oct'26 verified additions]
</t>
    </r>
    <r>
      <rPr>
        <sz val="10"/>
        <color rgb="FF00008B"/>
        <rFont val="EYInterstate"/>
        <family val="0"/>
        <charset val="1"/>
      </rPr>
      <t xml:space="preserve">
(Nov 2025) Authorised by IFSCA on 6 Nov 2025 to operate as an IFSC Insurance Office (IIO) in GIFT City; branch to support India-focused reinsurance transactions and selected emerging-market exposures, deepening engagement with local cedants and regional counterparties in Asia.
https://www.reinsurancene.ws/korean-re-approved-to-establish-branch-in-indias-gift-city
(Jan 2026) Formally opened the India Branch in GIFT City with a ceremony on 20 Jan 2026; full-scale operations planned from April 2026. CEO Jong Gyu Won called India 'a core market with significant growth potential' and said Korean Re will keep expanding overseas inward reinsurance; India is its 12th overseas business base.
https://eng.koreanre.co.kr/webzine/Bulletin_198/bull3.html</t>
    </r>
  </si>
  <si>
    <t xml:space="preserve">https://asiainsurancereview.com/News/View-NewsLetter-Article/id/94296/type/eDaily/Korean-Re-to-open-India-branch-in-GIFT-City-to-expand-overseas-footprint
https://www.reinsurancene.ws/korean-re-approved-to-establish-branch-in-indias-gift-city
https://www.insurancebusinessmag.com/reinsurance/news/breaking-news/korean-re-secures-approval-for-gift-city-branch-558208.aspx
https://eng.koreanre.co.kr/webzine/Bulletin_198/bull3.html</t>
  </si>
  <si>
    <t xml:space="preserve">MAPFRE Re GIFT City branch
MAPFRE (Spain) - MAPFRE Re</t>
  </si>
  <si>
    <t xml:space="preserve">[Oct'26] No publicly verified information found on technology for the India branch (researcher: MAPFRE Re GIFT City IFSCA licence; MAPFRE Re India branch Bansal commences operations; auditor: MAPFRE Re GIFT City branch IFSCA approval Chaturbhuj Bansal; MAPFRE Re adds treaty underwriting and finance hires in India).</t>
  </si>
  <si>
    <r>
      <rPr>
        <b val="true"/>
        <sz val="10"/>
        <color rgb="FF00008B"/>
        <rFont val="EYInterstate"/>
        <family val="0"/>
        <charset val="1"/>
      </rPr>
      <t xml:space="preserve">[Oct'26 verified additions]
</t>
    </r>
    <r>
      <rPr>
        <sz val="10"/>
        <color rgb="FF00008B"/>
        <rFont val="EYInterstate"/>
        <family val="0"/>
        <charset val="1"/>
      </rPr>
      <t xml:space="preserve">
(Aug/Sep 2026) MAPFRE Re appointed Sudhir Kamath as India lead for finance and administration at the GIFT City branch; he joins after 12+ years at GIC Re (latterly senior manager, Mumbai) with experience across finance, taxation, regulatory compliance, audit management and credit control (India and Malaysia). A small in-branch finance/admin function, not a shared-services hub.
https://reinasia.com/mapfre-re-adds-treaty-underwriting-and-finance-hires-in-india/</t>
    </r>
  </si>
  <si>
    <r>
      <rPr>
        <b val="true"/>
        <sz val="10"/>
        <color rgb="FF00008B"/>
        <rFont val="EYInterstate"/>
        <family val="0"/>
        <charset val="1"/>
      </rPr>
      <t xml:space="preserve">[Oct'26 verified additions]
</t>
    </r>
    <r>
      <rPr>
        <sz val="10"/>
        <color rgb="FF00008B"/>
        <rFont val="EYInterstate"/>
        <family val="0"/>
        <charset val="1"/>
      </rPr>
      <t xml:space="preserve">
(Feb 2026) Received IFSCA approval on 9 Feb 2026 to open a branch office (IIO) in GIFT City, its newest branch, to serve the Indian domestic market with more agile, specialised local service; pre-opening formalities to follow with operations starting in the coming weeks.
https://www.mapfre.com/en/communicate/corporate-communicate/mapfre-re-approval-opening-branch-office-india/
(Jun 2026) Chaturbhuj Bansal (16+ years in insurance/reinsurance; ex-Swiss Re 13 years, latterly Director and Head of P&amp;C Treaty Underwriting Advisory, Singapore and India) appointed Head of the India branch, based in GIFT City, subject to regulatory approval.
https://www.mapfre.com/en/communicate/corporate-communicate/mapfre-re-appointment-head-india-branch/
(Aug/Sep 2026) Building the GIFT City underwriting team: Supreeth Tk appointed senior underwriter for non-life treaty business (11+ years in treaty underwriting and cat modelling; ex-Swiss Re AVP and underwriting adviser for cat and non-cat treaty), announced by branch head Bansal.
https://reinasia.com/mapfre-re-adds-treaty-underwriting-and-finance-hires-in-india/</t>
    </r>
  </si>
  <si>
    <t xml:space="preserve">[Oct'26] No publicly verified information found on an internal audit function (same searches). Note only: the new finance &amp; administration lead's prior GIC Re experience included 'audit management' and 'regulatory compliance' -- an individual background, not an India audit team.</t>
  </si>
  <si>
    <t xml:space="preserve">https://www.mapfre.com/en/communicate/corporate-communicate/mapfre-re-approval-opening-branch-office-india/
https://www.insurancebusinessmag.com/reinsurance/news/breaking-news/mapfre-re-targets-india-expansion-after-group-breaks-1-billion-profit-barrier-565280.aspx
https://www.reinsurancene.ws/chaturbhuj-bansal-to-lead-mapfre-re-india-branch/
https://www.globalreinsurance.com/home/mapfre-re-appoints-bansal-to-lead-india-branch/1458727.article
https://www.asiainsurancereview.com/News/View-NewsLetter-Article/id/94496/Type/eDaily"
</t>
  </si>
  <si>
    <t xml:space="preserve">Chaturbhuj Bansal </t>
  </si>
  <si>
    <t xml:space="preserve">Everest Reinsurance Company
Everest Group (Bermuda/USA)</t>
  </si>
  <si>
    <t xml:space="preserve">Property, casualty and specialty reinsurance; part of Everest's Asia Pacific Reinsurance business under Kevin Bogardus</t>
  </si>
  <si>
    <t xml:space="preserve">[Oct'26] No publicly verified information found on technology for the India branch (researcher: Everest Reinsurance GIFT City IFSC branch; Everest India GIFT City branch head India team 2026; auditor: Everest Reinsurance IFSC Branch GIFT City IFSCA registration September 2025 Kevin Bogardus). Everest's separate India GCC/technology operations, if any, out of scope for this row.</t>
  </si>
  <si>
    <t xml:space="preserve">[Oct'26] No publicly verified information found on finance functions (same searches).</t>
  </si>
  <si>
    <r>
      <rPr>
        <b val="true"/>
        <sz val="10"/>
        <color rgb="FF00008B"/>
        <rFont val="EYInterstate"/>
        <family val="0"/>
        <charset val="1"/>
      </rPr>
      <t xml:space="preserve">[Oct'26 verified additions]
</t>
    </r>
    <r>
      <rPr>
        <sz val="10"/>
        <color rgb="FF00008B"/>
        <rFont val="EYInterstate"/>
        <family val="0"/>
        <charset val="1"/>
      </rPr>
      <t xml:space="preserve">
(Sep 2025) Everest Reinsurance Company, IFSC Branch received its IFSCA Certificate of Registration as an IFSC Insurance Office on 19 Sep 2025 (announced 22 Sep 2025); the office writes property, casualty and specialty reinsurance as part of Everest's Asia Pacific reinsurance business led by Kevin Bogardus, and aims to expand partnerships with local and multinational insurers.
https://www.everestglobal.com/bm-en/news-media/press-releases/2025/everest-reinsurance-expands-apac-footprint-with-new-office-in-indias-gift-city
(Oct 2025) Cyril Amarchand Mangaldas advised Everest on establishing the IIO under the IFSCA (Registration of Insurance Business) Regulations, 2021, confirming the registration date of 19 Sep 2025.
https://www.scconline.com/blog/post/2025/10/28/cam-advises-everest-reinsurance-ifsc-insurance-office-gift-city/</t>
    </r>
  </si>
  <si>
    <t xml:space="preserve">[Oct'26] No publicly verified information found on internal audit (same searches). No dedicated India branch head named in extracts beyond Bogardus (regional).</t>
  </si>
  <si>
    <t xml:space="preserve">https://www.everestglobal.com/au-en/news-media/press-releases/2025/everest-reinsurance-expands-apac-footprint-with-new-office-in-indias-gift-city
https://www.reinsurancene.ws/everest-opens-new-office-in-india-gift-city-to-boost-apac-business/
https://www.insurancebusinessmag.com/reinsurance/news/breaking-news/everest-reinsurance-expands-in-india-with-gift-city-branch-550597.aspx
https://www.scconline.com/blog/post/2025/10/28/cam-advises-everest-reinsurance-ifsc-insurance-office-gift-city/"
</t>
  </si>
  <si>
    <t xml:space="preserve">Berkley Insurance Company
W. R. Berkley Corporation (USA)</t>
  </si>
  <si>
    <t xml:space="preserve">Underwriting/reinsurance branch</t>
  </si>
  <si>
    <t xml:space="preserve">[Oct'26] No publicly verified information found on technology for the India branch (researcher: Berkley Insurance Company GIFT City IFSC branch; Berkley Insurance Asia India Unnati Bajpai 2026; auditor: Berkley Insurance Company IFSC Branch GIFT City dual licence Unnati Bajpai; Berkley officially begins India operations finance manager).</t>
  </si>
  <si>
    <r>
      <rPr>
        <b val="true"/>
        <sz val="10"/>
        <color rgb="FF00008B"/>
        <rFont val="EYInterstate"/>
        <family val="0"/>
        <charset val="1"/>
      </rPr>
      <t xml:space="preserve">[Oct'26 verified additions]
</t>
    </r>
    <r>
      <rPr>
        <sz val="10"/>
        <color rgb="FF00008B"/>
        <rFont val="EYInterstate"/>
        <family val="0"/>
        <charset val="1"/>
      </rPr>
      <t xml:space="preserve">
(Dec 2025) The India team includes a finance manager (Harsh Jain) alongside a business support manager, indicating a small in-branch finance/support function rather than a shared-services hub.
https://reinasia.com/berkley-officially-begins-india-operations-becomes-first-pc-insurer-in-gift-city-with-dual-licences/</t>
    </r>
  </si>
  <si>
    <r>
      <rPr>
        <b val="true"/>
        <sz val="10"/>
        <color rgb="FF00008B"/>
        <rFont val="EYInterstate"/>
        <family val="0"/>
        <charset val="1"/>
      </rPr>
      <t xml:space="preserve">[Oct'26 verified additions]
</t>
    </r>
    <r>
      <rPr>
        <sz val="10"/>
        <color rgb="FF00008B"/>
        <rFont val="EYInterstate"/>
        <family val="0"/>
        <charset val="1"/>
      </rPr>
      <t xml:space="preserve">
(Dec 2024) IFSCA approved Berkley Insurance Company's IFSC Branch in GIFT City (announced 19 Dec 2024), with Unnati Bajpai (ex-Allianz) named CEO and Principal Officer; operations were expected to begin in 2025.
https://www.businesswire.com/news/home/20241219735973/en/W.-R.-Berkley-Corporation-Establishes-Branch-Office-of-Berkley-Insurance-Company-in-India
(Dec 2025) Operations commenced under CEO Unnati Bajpai and CUO Ashaya Kantawala (ex-TATA AIG, casualty underwriting); the branch is the first P&amp;C insurer in GIFT City holding both direct insurance and reinsurance licences, able to insure GIFT City/SEZ-located insureds and participate in Indian and cross-border reinsurance placements. Focus lines: financial lines, cyber, casualty, professional indemnity, specie and marine, targeting pharma, chemicals, technology and infrastructure.
https://www.insurancebusinessmag.com/asia/news/breaking-news/berkley-gift-city-branch-first-pandc-with-dual-licences-559861.aspx</t>
    </r>
  </si>
  <si>
    <t xml:space="preserve">[Oct'26] No publicly verified information found on internal audit (same searches).</t>
  </si>
  <si>
    <t xml:space="preserve">https://www.businesswire.com/news/home/20241219735973/en/W.-R.-Berkley-Corporation-Establishes-Branch-Office-of-Berkley-Insurance-Company-in-India
https://ir.berkley.com/files/doc_news/2024/12/1/W-R-Berkley-Corporation-Establishes-Branch-Office-of-Berkley-Insurance-Company-in-India-2024.pdf
https://www.reinsurancene.ws/w-r-berkley-launches-branch-office-in-india/"
</t>
  </si>
  <si>
    <t xml:space="preserve">Unnati Bajpai</t>
  </si>
  <si>
    <t xml:space="preserve">PartnerRe GIFT City branch
PartnerRe (Covea group)</t>
  </si>
  <si>
    <t xml:space="preserve">[Oct'26] No publicly verified information found on technology for the India branch (researcher: PartnerRe GIFT City branch IFSCA; PartnerRe appoints Ankur Gupta CEO India; auditor: PartnerRe GIFT City branch approval Ankur Gupta CEO India 2026; PartnerRe names Ankur Gupta CEO India effective).</t>
  </si>
  <si>
    <r>
      <rPr>
        <b val="true"/>
        <sz val="10"/>
        <color rgb="FF00008B"/>
        <rFont val="EYInterstate"/>
        <family val="0"/>
        <charset val="1"/>
      </rPr>
      <t xml:space="preserve">[Oct'26 verified additions]
</t>
    </r>
    <r>
      <rPr>
        <sz val="10"/>
        <color rgb="FF00008B"/>
        <rFont val="EYInterstate"/>
        <family val="0"/>
        <charset val="1"/>
      </rPr>
      <t xml:space="preserve">
(Feb 2026) Received regulatory approval on 25 Feb 2026 to establish a branch in GIFT City, PartnerRe's first presence in India, within its Asia Pacific reinsurance business then led by James Beedle (CEO Partner Reinsurance Asia / CEO P&amp;C APAC); branch to serve Indian clients locally with PartnerRe's global underwriting expertise and capital strength.
https://www.partnerre.com/news/partnerre-to-establish-a-branch-in-indias-gift-city-gujarat-international-finance-tec-city/
(Jul 2026) Ankur Gupta (ex-Munich Re India head of client management 2019-2026; earlier 7+ years at ICICI Lombard international business, health reinsurance across GCC/SAARC/Africa) appointed CEO India, effective June 2026, reporting into APAC P&amp;C CEO Sasa Hu following James Beedle's retirement and APAC role changes effective 1 Jul 2026.
https://www.reinsurancene.ws/partnerre-names-ankur-gupta-as-ceo-india/</t>
    </r>
  </si>
  <si>
    <t xml:space="preserve">https://www.partnerre.com/news/partnerre-to-establish-a-branch-in-indias-gift-city-gujarat-international-finance-tec-city/
https://www.insurancebusinessmag.com/reinsurance/news/breaking-news/partnerre-makes-first-india-move-through-gift-city-hub-566985.aspx
https://www.reinsurancene.ws/partnerre-to-establish-a-branch-office-in-indias-gift-city/
https://www.businessinsurance.com/partnerre-to-open-branch-in-indias-gift-city/
https://reinasia.com/partnerre-appoints-ankur-gupta-as-ceo-india/"
</t>
  </si>
  <si>
    <t xml:space="preserve">Ankur Gupta</t>
  </si>
  <si>
    <t xml:space="preserve">IGI reinsurance branch
International General Insurance Holdings (IGI, Bermuda/Jordan/UK)</t>
  </si>
  <si>
    <t xml:space="preserve">Facultative and specialty treaty reinsurance for Indian cedants and brokers</t>
  </si>
  <si>
    <t xml:space="preserve">[Oct'26] No publicly verified information found on technology (researcher: IGI International General Insurance GIFT City branch IFSCA 2025 2026; auditor: IGI International General Insurance GIFT City IFSCA licence branch 2026).</t>
  </si>
  <si>
    <r>
      <rPr>
        <b val="true"/>
        <sz val="10"/>
        <color rgb="FF00008B"/>
        <rFont val="EYInterstate"/>
        <family val="0"/>
        <charset val="1"/>
      </rPr>
      <t xml:space="preserve">[Oct'26 verified additions]
</t>
    </r>
    <r>
      <rPr>
        <sz val="10"/>
        <color rgb="FF00008B"/>
        <rFont val="EYInterstate"/>
        <family val="0"/>
        <charset val="1"/>
      </rPr>
      <t xml:space="preserve">
(Jun 2026) IGI secured IFSCA registration approval to operate an IFSC Insurance Office in GIFT City as a reinsurance branch of International General Insurance Company (UK) Ltd; it will open an office, recruit a local team and commence operations within 2026.
https://www.businesswire.com/news/home/20260608431690/en
(Jun 2026) The branch will focus on facultative and specialty treaty reinsurance for cedants and brokers in the Indian market, adding to IGI's regional offices in Oslo, Malta, Dubai, Casablanca and Kuala Lumpur (principal offices Bermuda, London, Amman).
https://www.reinsurancene.ws/igi-to-open-a-new-branch-in-indias-gift-city-as-it-secures-license/</t>
    </r>
  </si>
  <si>
    <t xml:space="preserve">[Oct'26] No publicly verified information found on internal audit (same searches). Local team/head not yet named in extracts.</t>
  </si>
  <si>
    <t xml:space="preserve">https://www.intelligentinsurer.com/igi-secures-approval-to-launch-india-reinsurance-branch
https://www.insurancebusinessmag.com/asia/news/breaking-news/igi-cleared-to-operate-reinsurance-branch-in-gift-city-578296.aspx
https://www.reinsurancene.ws/igi-to-open-a-new-branch-in-indias-gift-city-as-it-secures-license/
https://bernews.com/2026/06/igi-secures-indias-gift-city-license/
https://www.businesswire.com/news/home/20260608431690/en"
</t>
  </si>
  <si>
    <t xml:space="preserve">Santam IFSC reinsurance office
Santam (Sanlam group, South Africa)</t>
  </si>
  <si>
    <t xml:space="preserve">Reinsurance branch (treaty and facultative); first BRICS-based insurer in GIFT City
</t>
  </si>
  <si>
    <t xml:space="preserve">[Oct'26] No publicly verified information found on technology (researcher: Santam GIFT City IFSC reinsurance office India 2025 2026; auditor: Santam IFSC reinsurance office GIFT City IFSCA licence first BRICS insurer).</t>
  </si>
  <si>
    <r>
      <rPr>
        <b val="true"/>
        <sz val="10"/>
        <color rgb="FF00008B"/>
        <rFont val="EYInterstate"/>
        <family val="0"/>
        <charset val="1"/>
      </rPr>
      <t xml:space="preserve">[Oct'26 verified additions]
</t>
    </r>
    <r>
      <rPr>
        <sz val="10"/>
        <color rgb="FF00008B"/>
        <rFont val="EYInterstate"/>
        <family val="0"/>
        <charset val="1"/>
      </rPr>
      <t xml:space="preserve">
(Jan 2026) IFSCA granted Santam Limited a licence in January 2026 to operate an International Insurance Office (reinsurance branch) in GIFT City, making it the first BRICS-based insurer in GIFT City; the branch focuses on treaty and facultative reinsurance, with Santam Re providing capacity across property, engineering, marine and liability.
https://www.reinsurancene.ws/santam-becomes-first-brics-based-insurer-to-set-up-presence-in-india-gift-city/
(Feb 2026) The IIO is to be run by a locally sourced team of insurance professionals, applying Santam's governance and risk-management standards; a head for the India reinsurance business has since been named (Moonstone, 2026; name not in extract).
https://www.moonstone.co.za/santam-authorised-to-establish-ifsc-reinsurance-office-in-india/</t>
    </r>
  </si>
  <si>
    <t xml:space="preserve">[Oct'26] No publicly verified information found on internal audit; the only governance reference is a generic statement that the local team will uphold Santam's governance standards (same searches).</t>
  </si>
  <si>
    <t xml:space="preserve">https://www.insurancebusinessmag.com/reinsurance/news/breaking-news/gift-city-lands-another-major-reinsurer-as-santam-opens-branch-565900.aspx
https://www.moonstone.co.za/santam-authorised-to-establish-ifsc-reinsurance-office-in-india/
https://finance.yahoo.com/news/santam-approved-open-reinsurance-office-100928308.html"
</t>
  </si>
  <si>
    <t xml:space="preserve">Echo Re GIFT City branch 
Echo Re (Zurich, Switzerland)</t>
  </si>
  <si>
    <r>
      <rPr>
        <strike val="true"/>
        <sz val="10"/>
        <color rgb="FFC00000"/>
        <rFont val="EYInterstate"/>
        <family val="0"/>
        <charset val="1"/>
      </rPr>
      <t xml:space="preserve">1: Creation of a local operating platform
https://echore.com/echo-re-opens-branch-office-in-gift-city-ifsc/</t>
    </r>
    <r>
      <rPr>
        <i val="true"/>
        <sz val="9"/>
        <color rgb="FFC00000"/>
        <rFont val="EYInterstate"/>
        <family val="0"/>
        <charset val="1"/>
      </rPr>
      <t xml:space="preserve">  [Oct'26 audit: belongs under Insurance Operations – The event is a branch opening/licence, not a technology item; no tech platform, data or AI initiative is described in any source found. The echore.com URL did not surface in search extracts (plausible but unverified).]</t>
    </r>
  </si>
  <si>
    <r>
      <rPr>
        <strike val="true"/>
        <sz val="10"/>
        <color rgb="FFC00000"/>
        <rFont val="EYInterstate"/>
        <family val="0"/>
        <charset val="1"/>
      </rPr>
      <t xml:space="preserve">1: Strategic investment in India's reinsurance market
https://www.insurancebusinessmag.com/reinsurance/news/breaking-news/echo-re-opens-first-branch-outside-zurich-in-indias-gift-city-568642.aspx</t>
    </r>
    <r>
      <rPr>
        <i val="true"/>
        <sz val="9"/>
        <color rgb="FFC00000"/>
        <rFont val="EYInterstate"/>
        <family val="0"/>
        <charset val="1"/>
      </rPr>
      <t xml:space="preserve">  [Oct'26 audit: belongs under Insurance Operations – No finance-function or capital-figure content; this is a market-entry item duplicating Q bullets. URL not surfaced in extracts.]
</t>
    </r>
    <r>
      <rPr>
        <strike val="true"/>
        <sz val="10"/>
        <color rgb="FFC00000"/>
        <rFont val="EYInterstate"/>
        <family val="0"/>
        <charset val="1"/>
      </rPr>
      <t xml:space="preserve">
2: India elevated to a core strategic market
https://www.reinsurancene.ws/echo-re-opens-branch-in-indias-fast-growing-gift-city/</t>
    </r>
    <r>
      <rPr>
        <i val="true"/>
        <sz val="9"/>
        <color rgb="FFC00000"/>
        <rFont val="EYInterstate"/>
        <family val="0"/>
        <charset val="1"/>
      </rPr>
      <t xml:space="preserve">  [Oct'26 audit: belongs under Insurance Operations – Strategic positioning statement, not a Finance item; fold into Q. URL not surfaced in extracts.]</t>
    </r>
  </si>
  <si>
    <r>
      <rPr>
        <sz val="10"/>
        <rFont val="EYInterstate"/>
        <family val="0"/>
        <charset val="1"/>
      </rPr>
      <t xml:space="preserve">1: Establishment of Echo Re's first branch office outside Zurich
https://echore.com/echo-re-opens-branch-office-in-gift-city-ifsc/
2: Expansion of treaty reinsurance across P&amp;C and specialty lines
https://www.reinsurancene.ws/echo-re-opens-branch-in-indias-fast-growing-gift-city/
3: GIFT City adopted as gateway to the Indian subcontinent
https://asiainsurancepost.com/archives/77662
4: Strengthening local leadership and operational presence
https://noah-news.com/echo-re-expands-into-india-with-first-foreign-branch-in-gift-city-led-by-ankur-s-2/
</t>
    </r>
    <r>
      <rPr>
        <b val="true"/>
        <sz val="10"/>
        <color rgb="FF00008B"/>
        <rFont val="EYInterstate"/>
        <family val="0"/>
        <charset val="1"/>
      </rPr>
      <t xml:space="preserve">
[Oct'26 verified additions]
</t>
    </r>
    <r>
      <rPr>
        <sz val="10"/>
        <color rgb="FF00008B"/>
        <rFont val="EYInterstate"/>
        <family val="0"/>
        <charset val="1"/>
      </rPr>
      <t xml:space="preserve">
(Mar 2026) Echo Re (Zurich; wholly owned by Germany's DEVK Group; 2024 GWP $482m, Asia 61% of book), which has underwritten Indian treaty business across P&amp;C and specialty lines for over a decade, received IFSCA approval on 12 Mar 2026 to open a reinsurance branch in GIFT City -- its first branch outside Zurich and a gateway to the wider Indian subcontinent.
https://www.insurancebusinessmag.com/reinsurance/news/breaking-news/echo-re-opens-first-branch-outside-zurich-in-indias-gift-city-568642.aspx
(Jun 2026) Appointed Rajil Khare as senior underwriter for the Indian subcontinent, effective 22 Jun 2026; he joins from Liberty General Insurance (SVP, head of reinsurance and commercial underwriting data analytics), with earlier treaty/facultative roles at AXA XL, XL Catlin and HDFC Ergo.
https://reinasia.com/rajil-khare-joins-echo-re-as-senior-underwriter-indian-subcontinent/
(Jul 2026) Ankur Sharma appointed Principal Officer (head) of Echo Re's India IIO at GIFT City; he joins from Swiss Re after nearly a decade across its Mumbai and Bangalore offices, most recently as vice president.
https://www.reinsurancene.ws/ankur-sharma-named-principal-officer-of-echo-res-india-branch/</t>
    </r>
  </si>
  <si>
    <t xml:space="preserve">https://www.insurancebusinessmag.com/reinsurance/news/breaking-news/echo-re-puts-swiss-re-veteran-in-charge-of-india-iio-581978.aspx
https://www.insurancebusinessmag.com/reinsurance/news/breaking-news/echo-re-opens-first-branch-outside-zurich-in-indias-gift-city-568642.aspx
https://www.asiainsurancereview.com/News/View-NewsLetter-Article/id/94806/Type/eDaily
https://www.businessinsurance.com/echo-re-to-open-india-branch-in-gift-city/"
</t>
  </si>
  <si>
    <t xml:space="preserve">Ankur Sharma</t>
  </si>
  <si>
    <t xml:space="preserve">Saudi Re GIFT City branch
Saudi Re (Saudi Arabia)</t>
  </si>
  <si>
    <t xml:space="preserve">[Oct'26] No publicly verified information found on technology/AI at the GIFT City branch (searched: Saudi Re GIFT City branch IFSCA; Saudi Re Ruchi Jain principal officer lines of business).</t>
  </si>
  <si>
    <t xml:space="preserve">[Oct'26] No publicly verified information found on finance functions at the India branch (same searches).</t>
  </si>
  <si>
    <r>
      <rPr>
        <b val="true"/>
        <sz val="10"/>
        <color rgb="FF00008B"/>
        <rFont val="EYInterstate"/>
        <family val="0"/>
        <charset val="1"/>
      </rPr>
      <t xml:space="preserve">[Oct'26 verified additions]
</t>
    </r>
    <r>
      <rPr>
        <sz val="10"/>
        <color rgb="FF00008B"/>
        <rFont val="EYInterstate"/>
        <family val="0"/>
        <charset val="1"/>
      </rPr>
      <t xml:space="preserve">
(Jan 2026) Saudi Re obtained approvals from the Saudi Insurance Authority and India's IFSCA to open a reinsurance branch (IIO) in GIFT City, its second Asian foothold after Malaysia, with operations expected to begin in Q2 2026; it has written Indian business from Riyadh for over a decade (Asia ~22% of its portfolio) and calls India a key growth engine.
https://www.saudiexchange.sa/wps/portal/saudiexchange/newsandreports/issuer-news/issuer-announcements/issuer-announcements-details/?anId=92665
(Jan 2026) Trade press on the launch: onshore GIFT City status gives Saudi Re a 10-year tax holiday and lower capital requirements to price Indian risk more competitively; India accounts for about USD 39m of Saudi Re premiums across segments.
https://www.insurancebusinessmag.com/reinsurance/news/breaking-news/indias-gift-city-scores-another-reinsurance-heavyweight-with-saudi-re-branch-launch-563231.aspx
(Jun 2026) Saudi Re appointed Ruchi Jain (ex-Swiss Re VP and Senior Client Underwriter; earlier Howden India and PINC Insurance) as Principal Officer of the Saudi Re IIO-GIFT City India Branch, i.e. the India team lead.
https://www.reinsurancene.ws/ruchi-jain-named-principal-officer-of-saudi-res-iio-gift-city-india-branch/</t>
    </r>
  </si>
  <si>
    <t xml:space="preserve">[Oct'26] No publicly verified information found on internal audit/SOX at the India branch (same searches).</t>
  </si>
  <si>
    <t xml:space="preserve">https://www.asiainsurancereview.com/News/View-NewsLetter-Article/id/94496/Type/eDaily
https://enterpriseam.com/mena-india/2026/01/19/saudi-re-sets-up-gift-city-base-cites-india-as-key-growth-engine-2/
https://reinasia.com/saudi-re-gains-approvals-to-open-gift-city-branch-in-india/
https://enterpriseam.com/mena-india/2026/06/12/saudi-re-names-ruchi-jain-to-lead-gift-city-branch/"
</t>
  </si>
  <si>
    <t xml:space="preserve">Ruchi Jain</t>
  </si>
  <si>
    <t xml:space="preserve">Qatar Islamic Insurance Group
Qatar Islamic Insurance Group (QIIG), Doha</t>
  </si>
  <si>
    <t xml:space="preserve">Reinsurance (Islamic/takaful-capable reinsurer; IFSC Insurance Office licence to conduct reinsurance business from GIFT City)</t>
  </si>
  <si>
    <t xml:space="preserve">[Oct'26] No publicly verified information found (searched: Qatar Islamic Insurance Group GIFT City IFSC reinsurance licence; QIIG India GIFT City branch 2026 principal officer).</t>
  </si>
  <si>
    <t xml:space="preserve">[Oct'26] No publicly verified information found (same searches).</t>
  </si>
  <si>
    <r>
      <rPr>
        <b val="true"/>
        <sz val="10"/>
        <color rgb="FF00008B"/>
        <rFont val="EYInterstate"/>
        <family val="0"/>
        <charset val="1"/>
      </rPr>
      <t xml:space="preserve">[Oct'26 verified additions]
</t>
    </r>
    <r>
      <rPr>
        <sz val="10"/>
        <color rgb="FF00008B"/>
        <rFont val="EYInterstate"/>
        <family val="0"/>
        <charset val="1"/>
      </rPr>
      <t xml:space="preserve">
(Aug 2026) Qatar Islamic Insurance Group obtained a licence from the IFSC authorities to establish an Indian branch in GIFT City to conduct reinsurance business (announced 26 Aug 2026), the latest in a long line of Gulf and global re/insurers setting up IIOs in the IFSC.
https://qna.org.qa/en/News-Area/News/2026-8/26/qatar-islamic-insurance-group-obtains-license-to-open-branch-in-india
(Aug 2026) Reinsurance News coverage of the same licence, in the context of GIFT City re/insurance volumes rising to USD 1.2bn in 2025 from USD 102m in 2020, driven by non-life and reinsurance.
https://www.reinsurancene.ws/qatar-islamic-insurance-to-establish-its-reinsurance-branch-in-indias-gift-city/</t>
    </r>
  </si>
  <si>
    <t xml:space="preserve">https://qna.org.qa/en/News-Area/News/2026-8/26/qatar-islamic-insurance-group-obtains-license-to-open-branch-in-india
https://www.reinsurancene.ws/qatar-islamic-insurance-to-establish-its-reinsurance-branch-in-indias-gift-city/
https://www.zawya.com/en/business/the-world-of-islamic-finance/qatar-islamic-insurance-obtains-license-to-operate-in-india-467748
https://www.businessinsurance.com/qatar-islamic-insurance-group-expands-into-india/</t>
  </si>
  <si>
    <t xml:space="preserve">ADNIC - IFSC Insurance Office 
Abu Dhabi National Insurance Company (ADNIC), UAE</t>
  </si>
  <si>
    <t xml:space="preserve">Reinsurance (licence to undertake reinsurance business from GIFT IFSC; builds on ADNIC's existing cross-border reinsurance book in India)</t>
  </si>
  <si>
    <t xml:space="preserve">[Oct'26] No publicly verified information found (searched: ADNIC GIFT City IFSC insurance office reinsurance licence; ADNIC India GIFT City branch principal officer 2026).</t>
  </si>
  <si>
    <t xml:space="preserve">[Oct'26] No publicly verified information found at the India branch level (ADNIC group Q1-26/H1-26 results only; same searches).</t>
  </si>
  <si>
    <r>
      <rPr>
        <b val="true"/>
        <sz val="10"/>
        <color rgb="FF00008B"/>
        <rFont val="EYInterstate"/>
        <family val="0"/>
        <charset val="1"/>
      </rPr>
      <t xml:space="preserve">[Oct'26 verified additions]
</t>
    </r>
    <r>
      <rPr>
        <sz val="10"/>
        <color rgb="FF00008B"/>
        <rFont val="EYInterstate"/>
        <family val="0"/>
        <charset val="1"/>
      </rPr>
      <t xml:space="preserve">
(Jan 2026) ADNIC announced plans (28 Jan 2026) to open a reinsurance branch in GIFT City, having secured CBUAE approval with IFSCA approval to follow and a branch opening anticipated in the latter part of 2026; it builds on ADNIC's existing cross-border reinsurance book in India and follows its entry into Saudi Arabia (via Mutakamela Insurance), adding to physical offices in the UAE, Saudi Arabia and the UK.
https://www.wam.ae/en/article/bygeu7d-adnic-open-new-branch-india
(Apr 2026) ADNIC received the IFSCA licence to undertake reinsurance business from GIFT City, effective 1 April 2026; management frames it as diversifying revenue and serving clients across high-growth markets.
https://meinsurancereview.com/News/ViewNewsLetterArticle/id/95245/type/MiddleEast/UAE-ADNIC-receives-licence-for-branch-in-India-s-GIFT-City</t>
    </r>
  </si>
  <si>
    <t xml:space="preserve">https://www.reinsurancene.ws/adnic-secures-regulatory-approval-to-establish-branch-in-indias-gift-city/
https://www.asiainsurancereview.com/News/ViewNewsLetterArticle/id/95239/Type/eDaily/India-ADNIC-receives-licence-to-operate-in-GIFT-City
https://www.insurancebusinessmag.com/reinsurance/news/breaking-news/adnic-wins-approval-to-open-reinsurance-branch-in-gift-city-573009.aspx
https://finance.yahoo.com/economy/policy/articles/adnic-secures-india-approval-gift-112057950.html"
</t>
  </si>
  <si>
    <t xml:space="preserve">MS First Capital Insurance Limited
MS&amp;AD Insurance Group (MS First Capital Insurance Limited, Singapore)</t>
  </si>
  <si>
    <t xml:space="preserve">Reinsurance (serving Indian cedants, brokers and other market participants; part of MS&amp;AD's Asia growth strategy)
</t>
  </si>
  <si>
    <t xml:space="preserve">[Oct'26] No publicly verified information found (searched: MS First Capital GIFT City IFSC branch reinsurance; MS First Capital Vaidyanathan Venugopalan launch date).</t>
  </si>
  <si>
    <r>
      <rPr>
        <b val="true"/>
        <sz val="10"/>
        <color rgb="FF00008B"/>
        <rFont val="EYInterstate"/>
        <family val="0"/>
        <charset val="1"/>
      </rPr>
      <t xml:space="preserve">[Oct'26 verified additions]
</t>
    </r>
    <r>
      <rPr>
        <sz val="10"/>
        <color rgb="FF00008B"/>
        <rFont val="EYInterstate"/>
        <family val="0"/>
        <charset val="1"/>
      </rPr>
      <t xml:space="preserve">
(Jul 2026) S. Venugopalan was named CFO of MS First Capital's GIFT City operations - the only finance-leadership item public for this branch; no shared-services or finance-hub activity is reported.
https://www.reinsurancene.ws/ms-first-capital-begins-reinsurance-operations-from-indias-gift-city/</t>
    </r>
  </si>
  <si>
    <r>
      <rPr>
        <b val="true"/>
        <sz val="10"/>
        <color rgb="FF00008B"/>
        <rFont val="EYInterstate"/>
        <family val="0"/>
        <charset val="1"/>
      </rPr>
      <t xml:space="preserve">[Oct'26 verified additions]
</t>
    </r>
    <r>
      <rPr>
        <sz val="10"/>
        <color rgb="FF00008B"/>
        <rFont val="EYInterstate"/>
        <family val="0"/>
        <charset val="1"/>
      </rPr>
      <t xml:space="preserve">
(Jul 2026) MS First Capital (Singapore, MS&amp;AD group) commenced reinsurance operations from its GIFT City branch on 29 July 2026, appointing R. Vaidyanathan as Principal Officer, to serve Indian cedants, brokers and partners as part of MS&amp;AD's Asia growth strategy.
https://www.reinsurancene.ws/ms-first-capital-begins-reinsurance-operations-from-indias-gift-city/
(Jul 2026) ReinAsia coverage: both GIFT City appointees bring decades of Indian re/insurance market experience; branch positioned as a long-term commitment to India.
https://reinasia.com/ms-first-capital-kicks-off-reinsurance-operations-from-gift-city/</t>
    </r>
  </si>
  <si>
    <t xml:space="preserve">https://www.reinsurancene.ws/ms-first-capital-begins-reinsurance-operations-from-indias-gift-city/
https://reinasia.com/ms-first-capital-kicks-off-reinsurance-operations-from-gift-city/"
</t>
  </si>
  <si>
    <t xml:space="preserve">S Venugopalan</t>
  </si>
  <si>
    <t xml:space="preserve">R Vaidyanathan</t>
  </si>
  <si>
    <t xml:space="preserve">EarthRe Insurance IFSC Limited
InRisk Labs (India insurtech; investors Bessemer Venture Partners, Northpoint Capital)</t>
  </si>
  <si>
    <t xml:space="preserve">Reinsurance - first locally incorporated reinsurer licensed at GIFT City IFSC; technology-led non-life reinsurer focused on NatCat/climate, property, crop and specialty risk for India and the Global South
</t>
  </si>
  <si>
    <r>
      <rPr>
        <b val="true"/>
        <sz val="10"/>
        <color rgb="FF00008B"/>
        <rFont val="EYInterstate"/>
        <family val="0"/>
        <charset val="1"/>
      </rPr>
      <t xml:space="preserve">[Oct'26 verified additions]
</t>
    </r>
    <r>
      <rPr>
        <sz val="10"/>
        <color rgb="FF00008B"/>
        <rFont val="EYInterstate"/>
        <family val="0"/>
        <charset val="1"/>
      </rPr>
      <t xml:space="preserve">
(Aug 2026) Parent InRisk Labs builds the group's technology, data and risk-intelligence stack - a platform integrating climate, geospatial, satellite, exposure and claims data for risk assessment, pricing and portfolio management - with the USD 27m Series A earmarked to scale the AI-led platform behind EarthRe.
https://inc42.com/buzz/inrisk-labs-raises-27-mn-to-scale-ai-led-reinsurance-platform-earthre/
(Aug 2026) DealStreetAsia: platform integrates multiple datasets including climate, geospatial, satellite, exposure and claims data to support risk assessment, pricing and portfolio management.
https://www.dealstreetasia.com/stories/bessemer-northpoint-inrisk-labs-491236</t>
    </r>
  </si>
  <si>
    <r>
      <rPr>
        <b val="true"/>
        <sz val="10"/>
        <color rgb="FF00008B"/>
        <rFont val="EYInterstate"/>
        <family val="0"/>
        <charset val="1"/>
      </rPr>
      <t xml:space="preserve">[Oct'26 verified additions]
</t>
    </r>
    <r>
      <rPr>
        <sz val="10"/>
        <color rgb="FF00008B"/>
        <rFont val="EYInterstate"/>
        <family val="0"/>
        <charset val="1"/>
      </rPr>
      <t xml:space="preserve">
(Aug 2026) InRisk Labs closed a USD 27m Series A co-led by Bessemer Venture Partners and Northpoint Capital, with proceeds used in part to meet regulatory capital requirements and scale subsidiary EarthRe's regulated reinsurance balance sheet in India's ~USD 10bn reinsurance market - a capital-raising rather than finance-shared-services item.
https://yourstory.com/2026/08/insurtech-startup-inrisk-labs-raises-27-million-in-series-a</t>
    </r>
  </si>
  <si>
    <r>
      <rPr>
        <b val="true"/>
        <sz val="10"/>
        <color rgb="FF00008B"/>
        <rFont val="EYInterstate"/>
        <family val="0"/>
        <charset val="1"/>
      </rPr>
      <t xml:space="preserve">[Oct'26 verified additions]
</t>
    </r>
    <r>
      <rPr>
        <sz val="10"/>
        <color rgb="FF00008B"/>
        <rFont val="EYInterstate"/>
        <family val="0"/>
        <charset val="1"/>
      </rPr>
      <t xml:space="preserve">
(Aug 2026) EarthRe Insurance IFSC Ltd secured an IFSCA reinsurance licence, becoming the first locally incorporated reinsurer licensed at GIFT City IFSC; it is a technology-led non-life reinsurer focused on NatCat/climate, property, crop and specialty risk, combining underwriting with catastrophe modelling, climate-risk analytics and parametric/structured reinsurance for India and the Global South, with Series A capital earmarked to expand into new non-life segments.
https://www.reinsurancene.ws/earthre-gets-reinsurance-licence-for-gift-city-as-parent-inrisk-labs-closes-series-a/
(Aug 2026) GIFT City-based InRisk Labs, founded 2024 by Aavrit Singhal, Siddesh Ramasubramanian, Shivakhumar R S and Malay Kumar Poddar, evolved from an insurtech/parametric-insurance platform into an integrated reinsurance group with licensed risk-bearing capacity through EarthRe.
https://inc42.com/buzz/inrisk-labs-raises-27-mn-to-scale-ai-led-reinsurance-platform-earthre/</t>
    </r>
  </si>
  <si>
    <t xml:space="preserve">[Oct'26] No publicly verified information found (searched: EarthRe Insurance IFSC GIFT City reinsurer InRisk licence; EarthRe InRisk Labs Series A date first incorporated reinsurer).</t>
  </si>
  <si>
    <t xml:space="preserve">https://www.reinsurancene.ws/earthre-gets-reinsurance-licence-for-gift-city-as-parent-inrisk-labs-closes-series-a/
https://earthre.in/updates/earthre-ifsca-reinsurance-licence-first-gift-city
https://inc42.com/buzz/inrisk-labs-raises-27-mn-to-scale-ai-led-reinsurance-platform-earthre/
https://yourstory.com/2026/08/insurtech-startup-inrisk-labs-raises-27-million-in-series-a"
</t>
  </si>
  <si>
    <t xml:space="preserve">AWP P&amp;C S.A. - IFSC Insurance Office (IIO)
Allianz SE / Allianz Partners (AWP P&amp;C S.A., Paris)</t>
  </si>
  <si>
    <t xml:space="preserve">GIFT City, Gandhinagar (Gujarat); Allianz Partners India (assistance services) is at DLF Square, Gurugram
</t>
  </si>
  <si>
    <t xml:space="preserve">Reinsurance branch covering Allianz Partners lines - B2B/B2B2C, travel, mobile device and digital risk reinsurance
</t>
  </si>
  <si>
    <t xml:space="preserve">[Oct'26] No publicly verified information found for the IIO branch (searched: Allianz Partners AWP P&amp;C IFSC Insurance Office GIFT City; Allianz Partners GIFT City IIO India 2025 2026 news). Note: Allianz Services India (Pune/Trivandrum) tech/ops centres are a separate entity and not this branch.</t>
  </si>
  <si>
    <r>
      <rPr>
        <b val="true"/>
        <sz val="10"/>
        <color rgb="FF00008B"/>
        <rFont val="EYInterstate"/>
        <family val="0"/>
        <charset val="1"/>
      </rPr>
      <t xml:space="preserve">[Oct'26 verified additions]
</t>
    </r>
    <r>
      <rPr>
        <sz val="10"/>
        <color rgb="FF00008B"/>
        <rFont val="EYInterstate"/>
        <family val="0"/>
        <charset val="1"/>
      </rPr>
      <t xml:space="preserve">
(Apr 2024; still the current set-up, no newer branch news found) Allianz Partners launched its IIO reinsurance branch of AWP P&amp;C S.A. (Paris) in GIFT City on 4 April 2024 - the first foreign reinsurer in the IFSC - writing B2B/B2B2C reinsurance across travel, mobile device and digital risk segments from within the SEZ.
https://www.allianz-partners.com/en_IN/in-the-news/press-releases/Allianz-Partners-becomes-the-First-Foreign-Reinsurer-to-launch-operations-in-GIFT-City.html
(Apr 2024) Insurance Business coverage of the same launch, noting SEZ benefits (import-export advantages, tax exemptions) and the branch's aim to transform India's reinsurance landscape with B2B offerings.
https://www.insurancebusinessmag.com/reinsurance/news/breaking-news/allianz-partners-marks-reinsurance-milestone-in-india-484363.aspx</t>
    </r>
  </si>
  <si>
    <t xml:space="preserve">https://www.allianz-partners.com/en_IN/in-the-news/press-releases/Allianz-Partners-becomes-the-First-Foreign-Reinsurer-to-launch-operations-in-GIFT-City.html
https://www.insurancebusinessmag.com/reinsurance/news/breaking-news/allianz-partners-marks-reinsurance-milestone-in-india-484363.aspx
https://her.yourstory.com/enterprise-story/2024/04/allianz-partners-foreign-iio-reinsurance-gift-city
https://allianz-partners.com/en_IN/about-us/leadership.html"
</t>
  </si>
  <si>
    <t xml:space="preserve">Singapore Reinsurance Corporation - IFSC Insurance Office (Category-2 reinsurer)
Singapore Reinsurance Corporation (Sing Re; Fairfax group)</t>
  </si>
  <si>
    <t xml:space="preserve">Property &amp; casualty reinsurance under the Order of Preference framework</t>
  </si>
  <si>
    <t xml:space="preserve">[Oct'26] No publicly verified information found (searched: Singapore Reinsurance Corporation Sing Re GIFT City IFSC; Singapore Re GIFT City branch commences operations principal officer).</t>
  </si>
  <si>
    <r>
      <rPr>
        <b val="true"/>
        <sz val="10"/>
        <color rgb="FF00008B"/>
        <rFont val="EYInterstate"/>
        <family val="0"/>
        <charset val="1"/>
      </rPr>
      <t xml:space="preserve">[Oct'26 verified additions]
</t>
    </r>
    <r>
      <rPr>
        <sz val="10"/>
        <color rgb="FF00008B"/>
        <rFont val="EYInterstate"/>
        <family val="0"/>
        <charset val="1"/>
      </rPr>
      <t xml:space="preserve">
(Jun 2025) Sing Re secured an IFSCA reinsurance branch licence to operate an IIO in GIFT City as a Category-2 reinsurer under the Order of Preference framework, authorised to write property &amp; casualty reinsurance; Sing Re offers treaty and facultative covers across accident, agriculture, casualty, credit, energy, marine, medical, motor and property.
https://www.insurancebusinessmag.com/reinsurance/news/breaking-news/sing-re-receives-ifsca-approval-to-open-branch-in-gift-city-540076.aspx
(Jun 2025) Reinsurance News confirms the Category-2 P&amp;C licence; Sing Re (est. 1973) has been a Fairfax Asia subsidiary since April 2021, with Fairfax Financial the ultimate owner.
https://www.reinsurancene.ws/singapore-re-secures-reinsurance-branch-license-to-operate-as-iio-in-indias-gift-city/</t>
    </r>
  </si>
  <si>
    <t xml:space="preserve">https://www.insurancebusinessmag.com/reinsurance/news/breaking-news/sing-re-receives-ifsca-approval-to-open-branch-in-gift-city-540076.aspx
https://www.reinsurancene.ws/singapore-re-secures-reinsurance-branch-license-to-operate-as-iio-in-indias-gift-city/
https://www.asiainsurancereview.com/News/View-NewsLetter-Article/id/91914/type/eDaily/Singapore-Reinsurer-gets-licence-to-operate-as-IFSC-Insurance-Office-in-GIFT-City-in-India"
</t>
  </si>
  <si>
    <t xml:space="preserve">Peak Reinsurance Company Limited - IFSCA Branch (Category-2 reinsurer)
Peak Reinsurance Company Limited (Peak Re, Hong Kong)
</t>
  </si>
  <si>
    <t xml:space="preserve">P&amp;C and Life &amp; Health reinsurance (Category 2 by Order of Preference)
</t>
  </si>
  <si>
    <t xml:space="preserve">[Oct'26] No publicly verified information found (searched: Peak Re GIFT City IFSCA branch reinsurance India).</t>
  </si>
  <si>
    <t xml:space="preserve">[Oct'26] No publicly verified information found (same search).</t>
  </si>
  <si>
    <r>
      <rPr>
        <b val="true"/>
        <sz val="10"/>
        <color rgb="FF00008B"/>
        <rFont val="EYInterstate"/>
        <family val="0"/>
        <charset val="1"/>
      </rPr>
      <t xml:space="preserve">[Oct'26 verified additions]
</t>
    </r>
    <r>
      <rPr>
        <sz val="10"/>
        <color rgb="FF00008B"/>
        <rFont val="EYInterstate"/>
        <family val="0"/>
        <charset val="1"/>
      </rPr>
      <t xml:space="preserve">
(Feb-Mar 2025) IFSCA granted Peak Re a reinsurance branch (IIO) licence on 20 February 2025; the GIFT IFSC branch is a Category-2 reinsurer under the Order of Preference and is authorised to write both P&amp;C and Life &amp; Health reinsurance.
https://peak-re.com/en/company/press/peak-re-secures-licence-to-operate-in-gift-ifsc-india/
(Mar 2025) Sudhir Salian, Managing Director and Head of India at Peak Re, was designated to oversee the development of the IFSCA branch, as part of Peak Re's strategy to deepen its footprint in emerging Asian markets.
https://www.reinsurancene.ws/peak-re-granted-licence-to-operate-in-gift-ifsc-india/
(Sep 2025) In a Peak Re-branded viewpoint in The Insurer, India head Sudhir Salian said the new GIFT IFSC licence deepens Peak Re's commitment to India's 'Insurance for All by 2047' growth story, citing 11% insurance CAGR (2020-23) and P&amp;C penetration of just 1.0% vs 3.9% globally as the opportunity for the branch.
https://www.theinsurer.com/ti/viewpoint/peak-re-dedicated-to-growing-the-indian-market-2025-09-09</t>
    </r>
  </si>
  <si>
    <t xml:space="preserve">https://peak-re.com/en/company/press/peak-re-secures-licence-to-operate-in-gift-ifsc-india/
https://www.reinsurancene.ws/peak-re-granted-licence-to-operate-in-gift-ifsc-india/
https://insurancebusinessmag.com/reinsurance/news/breaking-news/peak-re-secures-license-to-operate-in-indias-gift-ifsc-530694.aspx"
</t>
  </si>
  <si>
    <t xml:space="preserve">Sudhir Salian</t>
  </si>
  <si>
    <t xml:space="preserve">Doha Insurance Group
Doha Insurance Group (Qatar)</t>
  </si>
  <si>
    <t xml:space="preserve">Reinsurance (International Insurance Office category)
</t>
  </si>
  <si>
    <t xml:space="preserve">[Oct'26] No publicly verified information found (searched: Doha Insurance Group GIFT City IFSC reinsurance office India; plus QIIG search surfacing DIG items).</t>
  </si>
  <si>
    <r>
      <rPr>
        <b val="true"/>
        <sz val="10"/>
        <color rgb="FF00008B"/>
        <rFont val="EYInterstate"/>
        <family val="0"/>
        <charset val="1"/>
      </rPr>
      <t xml:space="preserve">[Oct'26 verified additions]
</t>
    </r>
    <r>
      <rPr>
        <sz val="10"/>
        <color rgb="FF00008B"/>
        <rFont val="EYInterstate"/>
        <family val="0"/>
        <charset val="1"/>
      </rPr>
      <t xml:space="preserve">
(Dec 2024) Doha Insurance Group obtained Qatar Central Bank approval to establish an International Insurance Office in GIFT City focused on reinsurance, and was granted an IFSCA Certificate of Registration for a reinsurance branch in India.
https://thegroup.com.qa/groupdownload/newsreport//NEWS202412250856025968.html
(Mar 2025) The Doha Insurance Group IFSC Branch started operations on 26 March 2025, managed by Rony Daniel, former COO of DIG, as the India branch lead.
https://atlas-mag.net/en/articles/doha-insurance-group-expands-reinsurance-operations-india
(Jan 2025) Business Insurance / MEIR coverage of DIG's reinsurance expansion into India via the GIFT City IIO.
https://www.businessinsurance.com/doha-insurance-expands-reinsurance-operation-to-india/</t>
    </r>
  </si>
  <si>
    <t xml:space="preserve">https://thegroup.com.qa/groupdownload/newsreport//NEWS202412250856025968.html
https://www.businessinsurance.com/doha-insurance-expands-reinsurance-operation-to-india/
https://atlas-mag.net/en/node/40125"
</t>
  </si>
  <si>
    <t xml:space="preserve">   List of GCC in US as on July'26</t>
  </si>
  <si>
    <t xml:space="preserve">GIS</t>
  </si>
  <si>
    <t xml:space="preserve">HO</t>
  </si>
  <si>
    <t xml:space="preserve">India Set-up available? (Yes/No)</t>
  </si>
  <si>
    <t xml:space="preserve">India Set-up details and links</t>
  </si>
  <si>
    <t xml:space="preserve">Plans to set-up (Yes/No)</t>
  </si>
  <si>
    <t xml:space="preserve">Set-up plans links and details
(potential location, any consultants hired, processes being planned to move etc.)</t>
  </si>
  <si>
    <t xml:space="preserve">Centene Corporation</t>
  </si>
  <si>
    <t xml:space="preserve">7700 Forsyth Boulevard, St. Louis, Missouri 63105, USA</t>
  </si>
  <si>
    <t xml:space="preserve">Approximately 60,000+ employees (latest company-reported workforce range)</t>
  </si>
  <si>
    <t xml:space="preserve">Sarah M. London</t>
  </si>
  <si>
    <t xml:space="preserve">1. GCSP Approval
2. Business Relationship restriction
3. Firm Loan </t>
  </si>
  <si>
    <t xml:space="preserve">1.Centene is investing in artificial intelligence (AI) and machine learning (ML) technologies to help improve the health of our members and contain rising healthcare costs. 
2.Centene announced that its subsidiary Meridian Health Plan of Illinois was awarded an Illinois Medicaid managed-care contract.(Jul'26)
3.Centene’s 2026 guidance reveals a strategic shift in its business mix, with Medicare growth offsetting declines in Marketplace and Medicaid segments. The company projects total premium and service revenue between $170 billion and $174 billion for 2026, slightly down from $174.6 billion in 2025. Despite this revenue contraction, Centene aims to deliver adjusted earnings per share exceeding $3.00, representing approximately 40% growth from 2025’s $2.08.
The company also projects improvement in its Healthcare Benefit Ratio (HBR), a key metric indicating the percentage of premiums spent on medical care. Centene expects its 2026 HBR to improve to 91.3% from 91.9% in 2025, primarily driven by better performance in the Commercial segment.
4.CENTENE APPOINTS LAUREN M. TYLER TO BOARD OF DIRECTORS</t>
  </si>
  <si>
    <t xml:space="preserve">https://www.centene.com/why-were-different/corporate-sustainability/empowering-health/innovation-thought-leadership.html
https://investors.centene.com/2026-04-28-CENTENE-CORPORATION-REPORTS-FIRST-QUARTER-2026-RESULTS
https://www.investing.com/news/company-news/centene-2026-guidance-slides-40-eps-growth-target-despite-revenue-headwinds-93CH-4491279
https://www.prnewswire.com/news-releases/centene-appoints-lauren-m-tyler-to-board-of-directors-302806827.html
</t>
  </si>
  <si>
    <t xml:space="preserve">No</t>
  </si>
  <si>
    <t xml:space="preserve">NO</t>
  </si>
  <si>
    <t xml:space="preserve">Theodore Pienkos</t>
  </si>
  <si>
    <r>
      <rPr>
        <b val="true"/>
        <strike val="true"/>
        <sz val="10"/>
        <color theme="1"/>
        <rFont val="EYInterstate"/>
        <family val="0"/>
        <charset val="1"/>
      </rPr>
      <t xml:space="preserve">
</t>
    </r>
    <r>
      <rPr>
        <b val="true"/>
        <sz val="10"/>
        <color theme="1"/>
        <rFont val="EYInterstate"/>
        <family val="0"/>
        <charset val="1"/>
      </rPr>
      <t xml:space="preserve">
Andrew L. (Drew) Asher — EVP &amp; Chief Financial Officer since May 2021</t>
    </r>
  </si>
  <si>
    <t xml:space="preserve">Ashlee Knuckey</t>
  </si>
  <si>
    <t xml:space="preserve">Humana Inc.</t>
  </si>
  <si>
    <t xml:space="preserve">Louisville, Kentucky, USA</t>
  </si>
  <si>
    <t xml:space="preserve">Approximately 67,000 employees</t>
  </si>
  <si>
    <t xml:space="preserve">James (Jim) Rechtin</t>
  </si>
  <si>
    <r>
      <rPr>
        <sz val="10"/>
        <color theme="1"/>
        <rFont val="EYInterstate"/>
        <family val="0"/>
        <charset val="1"/>
      </rPr>
      <t xml:space="preserve">1.A 25% growth target is one of the strongest growth outlooks among major U.S. insurers and shows Humana is prioritizing market share while trying to improve margins.
2.Humana introduces Agent Assist to help member advocates deliver faster, more personalized support, enabled by an expanded partnership with Google Cloud
</t>
    </r>
    <r>
      <rPr>
        <b val="true"/>
        <sz val="10"/>
        <color theme="1"/>
        <rFont val="EYInterstate"/>
        <family val="0"/>
        <charset val="1"/>
      </rPr>
      <t xml:space="preserve">Apr' 26 - Q1 2026 results: GAAP EPS of $9.83 and Adjusted EPS of $10.31, at the high end of guidance; Humana AFFIRMED its full-year 2026 adjusted financial guidance.
Jun' 26 - Awarded a STATEWIDE ILLINOIS HEALTHCHOICE MEDICAID CONTRACT, expanding access across the state. (Note for the board: Centene's Meridian subsidiary — row 4 — was also awarded an Illinois Medicaid managed-care contract in Jul'26, so the two carriers on this list are now direct competitors in that state programme.)
Jun' 26 - Signed a definitive agreement to divest all or substantially all of its minority interest in Gentiva, the largest US end-of-life services provider — continued portfolio pruning around the CenterWell care-delivery strategy.
</t>
    </r>
    <r>
      <rPr>
        <sz val="10"/>
        <color theme="1"/>
        <rFont val="EYInterstate"/>
        <family val="0"/>
        <charset val="1"/>
      </rPr>
      <t xml:space="preserve">3.Humana reported substantial growth in:
CenterWell Primary Care
Pharmacy services
Home health businesses
Q1 2026 included:
110,500 patient increase
MaxHealth integration
Expansion of senior-focused primary care
</t>
    </r>
  </si>
  <si>
    <t xml:space="preserve">Humana Reports First Quarter 2026 Financial Results; Affirms Full Year 2026 Adjusted Financial Guidance | Humana Inc.
https://news.humana.com/news/articles/humana-redefines-the-member-experience-with-agent-assist-built-with-google-cloud
https://humana.gcs-web.com/news-releases (Q1 2026 results; Illinois Medicaid award; Gentiva divestment; $1.0bn notes; board election)
</t>
  </si>
  <si>
    <t xml:space="preserve">Kurt Hilzinger (Audit committee chair)</t>
  </si>
  <si>
    <t xml:space="preserve">Celeste M. Mellet</t>
  </si>
  <si>
    <t xml:space="preserve">The Progressive Corporation</t>
  </si>
  <si>
    <t xml:space="preserve">Mayfield Village, Ohio, USA</t>
  </si>
  <si>
    <t xml:space="preserve">60000+ </t>
  </si>
  <si>
    <t xml:space="preserve">Bill Burke</t>
  </si>
  <si>
    <r>
      <rPr>
        <sz val="10"/>
        <color theme="1"/>
        <rFont val="EYInterstate"/>
        <family val="0"/>
        <charset val="1"/>
      </rPr>
      <t xml:space="preserve">1.Progressive President and CEO Susan Griffith filled investors in on the company’s artificial intelligence personal auto insurance strategy last week, including predictive and Gen AI.
“We have a history of innovation, and so we are really concentrating on AI across the board and have been for a while,” she said during the company’s Q4 2025 earnings call.(Mar'26)
2.Progressive has an edge in the auto space through its telematics program. Telematics is a program that insurance companies use to track driving records and price policies accordingly. It's a usage-based system, and drivers who opt in can benefit from lower rates if their safety records indicate that they're low-risk. Drivers can use a phone app or plug-in device to track things like speeding, acceleration, and seatbelt usage.
3.Progressive Insurance® today announced a new pet insurance offering designed to help people get the care their pets need by making veterinary care more affordable.
</t>
    </r>
    <r>
      <rPr>
        <b val="true"/>
        <sz val="10"/>
        <color theme="1"/>
        <rFont val="EYInterstate"/>
        <family val="0"/>
        <charset val="1"/>
      </rPr>
      <t xml:space="preserve">4. Jan-Jul' 26 - CFO TRANSITION COMPLETED: Progressive announced on 28 January 2026 that CFO John Sauerland would retire on 3 July 2026 after 35 years with the company (10 as CFO). Andrew Quigg, Chief Strategy Officer since 2018, succeeded him as CFO on that date.</t>
    </r>
  </si>
  <si>
    <t xml:space="preserve">Progressive investors hear about AI strategies, successes | Repairer Driven News
https://www.fool.com/investing/2026/05/29/progressives-telematics-edge-is-quietly-reshaping/
https://progressive.mediaroom.com/2026-01-20-progressive-insurance-R-introduces-pet-insurance-for-cats-and-dogs
https://investors.progressive.com/financials/financial-news-releases/news-details/2026/Progressive-Announces-Plans-For-CFO-Transition/default.aspx</t>
  </si>
  <si>
    <t xml:space="preserve">Pamela J. Craig</t>
  </si>
  <si>
    <t xml:space="preserve">Andrew Quigg</t>
  </si>
  <si>
    <t xml:space="preserve">State Farm (State Farm Mutual Automobile Insurance Company)</t>
  </si>
  <si>
    <t xml:space="preserve">One State Farm Plaza, Bloomington, Illinois, USA</t>
  </si>
  <si>
    <t xml:space="preserve">65000+</t>
  </si>
  <si>
    <t xml:space="preserve">1. GCSP Approval
</t>
  </si>
  <si>
    <t xml:space="preserve">1.State Farm® is at a pivotal moment in reimagining how technology supports and drives our business. As part of our commitment to building a culture centered on speed, agility, and innovation, we are participating in OpenAI’s Frontier platform. Our goal: strengthen the capabilities of State Farm agents and employees so they can provide best-in-class service to our customers.
2.State Farm Is Rewriting the Deal With Its Agents – Allstate Did the Same Thing in 1999 and Here’s How That Story Ended.(Jun'26)
3.Over 20,000 catastrophe-related claims from a major winter event in early 2026.
4.Progressive overtaking State Farm</t>
  </si>
  <si>
    <t xml:space="preserve">State Farm Advances AI Vision Through OpenAI Collaboration
https://www.liveinsurancenews.com/state-farm-is-rewriting-the-deal/8573293/
https://newsroom.statefarm.com/state-farm-responds-to-widespread-winter-catastrophe/
https://www.insurancejournal.com/company/statefarm/</t>
  </si>
  <si>
    <r>
      <rPr>
        <strike val="true"/>
        <sz val="10"/>
        <color theme="1"/>
        <rFont val="EYInterstate"/>
        <family val="0"/>
        <charset val="1"/>
      </rPr>
      <t xml:space="preserve">Jon Farney
</t>
    </r>
    <r>
      <rPr>
        <sz val="10"/>
        <color theme="1"/>
        <rFont val="EYInterstate"/>
        <family val="0"/>
        <charset val="1"/>
      </rPr>
      <t xml:space="preserve">
</t>
    </r>
    <r>
      <rPr>
        <b val="true"/>
        <sz val="10"/>
        <color theme="1"/>
        <rFont val="EYInterstate"/>
        <family val="0"/>
        <charset val="1"/>
      </rPr>
      <t xml:space="preserve">Mark Schwamberger — SVP, Treasurer &amp; Chief Financial Officer (since January 2024)</t>
    </r>
  </si>
  <si>
    <r>
      <rPr>
        <strike val="true"/>
        <sz val="10"/>
        <color theme="1"/>
        <rFont val="EYInterstate"/>
        <family val="0"/>
        <charset val="1"/>
      </rPr>
      <t xml:space="preserve">Not disclosed
</t>
    </r>
    <r>
      <rPr>
        <sz val="10"/>
        <color theme="1"/>
        <rFont val="EYInterstate"/>
        <family val="0"/>
        <charset val="1"/>
      </rPr>
      <t xml:space="preserve">
</t>
    </r>
    <r>
      <rPr>
        <b val="true"/>
        <sz val="10"/>
        <color theme="1"/>
        <rFont val="EYInterstate"/>
        <family val="0"/>
        <charset val="1"/>
      </rPr>
      <t xml:space="preserve">Cathy Wallace — SVP &amp; Chief Risk Officer</t>
    </r>
  </si>
  <si>
    <t xml:space="preserve">Geico General Insurance Company</t>
  </si>
  <si>
    <t xml:space="preserve">Bethesda, Maryland, USA</t>
  </si>
  <si>
    <t xml:space="preserve">40000+</t>
  </si>
  <si>
    <t xml:space="preserve">Nancy L. Pierce</t>
  </si>
  <si>
    <t xml:space="preserve">1.Berkshire Hathaway leadership disclosed that GEICO is undergoing a multi-year technology modernization program, rebuilding core insurance systems and investing heavily in AI, analytics, and proprietary platforms.(May'26)
2.On June 11, 2026, GEICO announced that the GEICO Gecko could interact in live conversations powered by real-time AI.
3.GEICO announced that David Foy has been appointed chief financial officer, effective June 29. Based at GEICO's headquarters in Bethesda, Foy will report to Nancy Pierce, GEICO's chief executive officer, and oversee all finance and real estate functions.
4.GEICO, backed by the financial strength of Berkshire Hathaway and celebrating its 90th anniversary this year, today announced its return to the Mid-America Trucking Show (MATS) for the second consecutive year. The company will showcase its expanded commercial trucking insurance products now available in nearly 40 states, new strategic partnerships with industry-leading technology platforms, and the rapid growth of its DriveEasy Pro telematics program – all designed to help professional drivers reduce their insurance costs.
5.Berkshire Hathaway reported that GEICO's policy growth remains slower than Progressive's.
6.Pennsylvania AG Settles with GEICO over Use of Artificial Intelligence in Claims Handling</t>
  </si>
  <si>
    <t xml:space="preserve">Berkshire Q1 2026: $1.72B Insurance Gain as Abel Maps GEICO's Five-Year Tech Rebuild | actuary.info
https://www.geico.com/about/pressreleases/2026/
https://www.geico.com/about/pressreleases/2026/20260326/
https://www.carriermanagement.com/news/2026/05/04/287521.htm#
https://www.clarkhill.com/news-events/news/geico-ai-settlement-insurance-underwriting-compliance/</t>
  </si>
  <si>
    <t xml:space="preserve">David Foy</t>
  </si>
  <si>
    <t xml:space="preserve">Tokio Marine America Insurance Company</t>
  </si>
  <si>
    <t xml:space="preserve">590 Madison Avenue, New York, NY 10022, USA</t>
  </si>
  <si>
    <t xml:space="preserve">500+</t>
  </si>
  <si>
    <t xml:space="preserve">Kenyu Okuda</t>
  </si>
  <si>
    <t xml:space="preserve">Walter Poetscher</t>
  </si>
  <si>
    <r>
      <rPr>
        <sz val="10"/>
        <color theme="1"/>
        <rFont val="EYInterstate"/>
        <family val="0"/>
        <charset val="1"/>
      </rPr>
      <t xml:space="preserve">1.The DX Stock is a designated program that selects and recognizes advanced companies that are 
undertaking digital transformation (DX) initiatives: leveraging digital technologies to 
fundamentally transform their business models and drive new growth and enhanced 
competitiveness. These companies are jointly selected by the Ministry of Economy, Trade and 
Industry, the Tokyo Stock Exchange, and the IPA.
2.Tokio Marine implemented a formal Group Basic Policy on AI Governance, rolled out globally across subsidiaries.
3.Tokio Marine announced a strategic collaboration with OpenAI to integrate generative AI into insurance operations.
4.Tokio Marine's North American business continues emphasizing specialty insurance lines.
5.Catastrophe Risk and Climate Resilience Remain Priorities
</t>
    </r>
    <r>
      <rPr>
        <b val="true"/>
        <sz val="10"/>
        <color theme="1"/>
        <rFont val="EYInterstate"/>
        <family val="0"/>
        <charset val="1"/>
      </rPr>
      <t xml:space="preserve">6. Mar' 26 - BERKSHIRE HATHAWAY STRATEGIC INVESTMENT: Berkshire's National Indemnity took a 2.49% strategic stake in Tokio Marine, with collaboration planned on reinsurance and M&amp;A. National Indemnity's holding is capped at 9.9% without board approval — structured as a partnership, not a step toward control. Tokio Marine committed to using the proceeds to fund a share buyback to offset dilution.
7. 2026 - Announced a share repurchase programme of up to 130,000,000 shares (~6.91% of issued capital) for ¥200 billion, running to 23 December 2026.
8. Feb' 26 - Completed the acquisition of Commodity &amp; Ingredient Hedging LLC (CIH, Chicago) from Falfurrias Capital Partners, expanding US agricultural/commodity risk solutions and fee-based non-insurance capability.
9. 2026 - Under CEO Masahiro Koike, the group is targeting ¥1.7 trillion adjusted net profit and a 17% adjusted ROE by March 2036, with more than $10bn earmarked for acquisitions. Strategic priority is to REDUCE North American concentration (~90% of overseas earnings) by expanding in Australia, Canada, Latin America and South East Asia.</t>
    </r>
  </si>
  <si>
    <t xml:space="preserve">https://www.tokiomarinehd.com/en/newsroom/release/
https://www.tokiomarinehd.com/en/newsroom/release/o1ckc9000001n1lb-att/250616_AI_governance_e.pdf
https://www.tokiomarinehd.com/en/newsroom/release/ikr22500000008w0-att/20250925_OpenAI_e.pdf
https://www.tokiomarinehighland.com/blog/tokio-marine-highland-releases-2026-tmh-horizons-report/
https://www.insurancebusinessmag.com/us/news/breaking-news/tokio-marine-america-ceo-eyes-capital-surge-as-growth-engine-566725.aspx
https://www.reinsurancene.ws/tokio-marine-to-enhance-specialty-offerings-in-us-agricultural-sector-with-cih-acquisition/
https://finimize.com/content/tokio-marine-wants-more-than-north-america (Berkshire partnership; 2036 targets)
https://simplywall.st/stocks/us/insurance/otc-tkom.y/tokio-marine-holdings (CIH completion 2 Feb 2026; ¥200bn buyback)</t>
  </si>
  <si>
    <t xml:space="preserve">Yes</t>
  </si>
  <si>
    <r>
      <rPr>
        <sz val="10"/>
        <color theme="1"/>
        <rFont val="EYInterstate"/>
        <family val="0"/>
        <charset val="1"/>
      </rPr>
      <t xml:space="preserve">1.Tokio Marine operates in India primarily through </t>
    </r>
    <r>
      <rPr>
        <b val="true"/>
        <sz val="10"/>
        <color theme="1"/>
        <rFont val="EYInterstate"/>
        <family val="0"/>
        <charset val="1"/>
      </rPr>
      <t xml:space="preserve">IFFCO-Tokio General Insurance</t>
    </r>
    <r>
      <rPr>
        <sz val="10"/>
        <color theme="1"/>
        <rFont val="EYInterstate"/>
        <family val="0"/>
        <charset val="1"/>
      </rPr>
      <t xml:space="preserve">, one of India's established non-life insurance companies. The Tokio Marine Group has been active in the Indian insurance market for many years through this business.
https://responsibleus.com/boosting-indias-500-gw-target-tokio-marines-500m-insurance-platform-arrives</t>
    </r>
  </si>
  <si>
    <t xml:space="preserve">IFFCO-Tokio has:
Corporate offices in India
Regional offices across major cities
Branch network throughout the country
Its headquarters are in Gurugram (Gurgaon), Haryana.</t>
  </si>
  <si>
    <t xml:space="preserve">Nick Blaire</t>
  </si>
  <si>
    <t xml:space="preserve">The Travelers Indemnity Company</t>
  </si>
  <si>
    <t xml:space="preserve">Hartford, Connecticut, USA</t>
  </si>
  <si>
    <t xml:space="preserve">34000+</t>
  </si>
  <si>
    <t xml:space="preserve">John Mallin</t>
  </si>
  <si>
    <t xml:space="preserve">1. GCSP Approval
2. Consultation Required
</t>
  </si>
  <si>
    <t xml:space="preserve">1.Travelers announced TravelersLLM, a proprietary large language model built specifically for its property &amp; casualty insurance business. The model was trained on millions of internal company documents and insurance-specific data.(Jun'26)
2.Travelers announced a major AI partnership with Anthropic, deploying personalized Claude AI assistants to nearly 10,000 employees, including engineers, data scientists, analysts and product owners.
3.Travelers Deepens AI Strategy as Innovation 2.0 Takes Shape</t>
  </si>
  <si>
    <t xml:space="preserve">Travelers Investor Relations | Travelers Advances AI Strategy with Award-Winning Insurance-Specific Large Language Model
https://investor.travelers.com/newsroom/press-releases/news-details/2026/Travelers-Partners-with-Anthropic-to-Expand-AI-Enabled-Engineering-and-Analytics-Capabilities/default.aspx
https://agencychecklists.com/2026/01/26/travelers-deepens-ai-strategy-as-innovation-2-0-takes-shape-79336/</t>
  </si>
  <si>
    <t xml:space="preserve">Dan Frey</t>
  </si>
  <si>
    <t xml:space="preserve">Bruce R. Jones</t>
  </si>
  <si>
    <r>
      <rPr>
        <b val="true"/>
        <strike val="true"/>
        <sz val="10"/>
        <color theme="1"/>
        <rFont val="EYInterstate"/>
        <family val="0"/>
        <charset val="1"/>
      </rPr>
      <t xml:space="preserve">
</t>
    </r>
    <r>
      <rPr>
        <b val="true"/>
        <sz val="10"/>
        <color theme="1"/>
        <rFont val="EYInterstate"/>
        <family val="0"/>
        <charset val="1"/>
      </rPr>
      <t xml:space="preserve">
American International Group, Inc. (AIG)</t>
    </r>
  </si>
  <si>
    <t xml:space="preserve">New York, New York, USA</t>
  </si>
  <si>
    <t xml:space="preserve">22000+</t>
  </si>
  <si>
    <t xml:space="preserve">Eric Andersen</t>
  </si>
  <si>
    <t xml:space="preserve">1. GCSP Approval
2. Reverse restrictions
</t>
  </si>
  <si>
    <r>
      <rPr>
        <sz val="10"/>
        <color theme="1"/>
        <rFont val="EYInterstate"/>
        <family val="0"/>
        <charset val="1"/>
      </rPr>
      <t xml:space="preserve">1. AIG Launches Large-Scale AI-Driven Underwriting Partnership with McGill &amp; Partners and Palantir
2. Expansion into Latin America Through Acquisition of Everest's Colombia Insurance Operations
3. AIG Exits Remaining Ownership Stake in Corebridge Financial
4. Strong Q1 2026 Results Demonstrate Underwriting Momentum
</t>
    </r>
    <r>
      <rPr>
        <b val="true"/>
        <sz val="10"/>
        <color theme="1"/>
        <rFont val="EYInterstate"/>
        <family val="0"/>
        <charset val="1"/>
      </rPr>
      <t xml:space="preserve">5. Jan-Jun' 26 - CEO SUCCESSION COMPLETED —  On 6 January 2026 AIG announced that Chairman &amp; CEO Peter Zaffino would retire as CEO by mid-year. Eric Andersen — former President of Aon — joined as President &amp; CEO-Elect on 16 February 2026 and became President &amp; CEO effective 1 JUNE 2026, joining the Board. Zaffino transitioned to EXECUTIVE CHAIR of the AIG Board. Zaffino's target direct compensation was set at $25m as Chairman &amp; CEO, stepping down to $15m as Executive Chair.
6. Apr' 26 - Q1 2026: adjusted after-tax income per diluted share of $2.11, up 80% year-on-year, with Core Operating ROE of 12.2%. FY2025 closed with net profit of $3.1bn (vs a $1.4bn net loss in 2024), a 22% improvement in general insurance underwriting income to $2.3bn, and $6.8bn of capital returned to shareholders ($5.8bn buybacks, ~$1.0bn dividends).</t>
    </r>
  </si>
  <si>
    <t xml:space="preserve">https://aig.gcs-web.com/news-releases/news-release-details/mcgill-and-partners-and-aig-launch-long-term-strategic
https://aig.gcs-web.com/news-releases/news-release-details/aig-announces-agreement-acquire-everests-insurance-operations
https://aig.gcs-web.com/news-releases/news-release-details/aig-announces-sale-its-remaining-stake-corebridge-financial-inc
https://aig.gcs-web.com/news-releases/news-release-details/aig-reports-excellent-first-quarter-2026-results
https://www.businesswire.com/news/home/20260106018357/en/Peter-Zaffino-to-Transition-to-Executive-Chair-of-AIGs-Board-of-Directors-by-Mid-2026
https://www.insurancebusinessmag.com/us/news/breaking-news/aig-completes-planned-ceo-transition-573286.aspx
https://www.sec.gov/Archives/edgar/data/5272/000000527226000039/aig-20260331.htm (AIG 2026 DEF 14A — Leadership Transition)
</t>
  </si>
  <si>
    <t xml:space="preserve">Keith Walsh</t>
  </si>
  <si>
    <t xml:space="preserve">Chris Schaper</t>
  </si>
  <si>
    <t xml:space="preserve">Please re-check : Cannot find any credible evidence of GCC in India for AIG</t>
  </si>
  <si>
    <t xml:space="preserve">Markel Insurance Company</t>
  </si>
  <si>
    <t xml:space="preserve">Richmond, Virginia, USA (Markel Group HQ)</t>
  </si>
  <si>
    <t xml:space="preserve">Simon Wilson</t>
  </si>
  <si>
    <t xml:space="preserve">Matthew McDavid</t>
  </si>
  <si>
    <t xml:space="preserve">1. GCSP Approval
2. Business Relationship restriction
3. Consultation Required
4. Firm Loan </t>
  </si>
  <si>
    <r>
      <rPr>
        <sz val="10"/>
        <color theme="1"/>
        <rFont val="EYInterstate"/>
        <family val="0"/>
        <charset val="1"/>
      </rPr>
      <t xml:space="preserve">1. JANA Partners Calls for Divestiture of Markel Ventures and $2 Billion Share Repurchase
2. Markel International Launches AI Centre of Enablement and Appoints Head of AI
3. Markel Canada Partners with hyperexponential to Build AI-Native Underwriting Environment
4. Markel Appoints New Head of U.S. Cyber and Technology E&amp;O Portfolio
</t>
    </r>
    <r>
      <rPr>
        <b val="true"/>
        <sz val="10"/>
        <color theme="1"/>
        <rFont val="EYInterstate"/>
        <family val="0"/>
        <charset val="1"/>
      </rPr>
      <t xml:space="preserve">5. Feb' 26 - Markel Group named Simon Wilson (CEO, Markel Insurance) and Andrew Crowley (President, Markel Ventures) as Executive Vice Presidents of Markel Group, both reporting to Group CEO Tom Gayner; Amy McCann was promoted to Chief Administrative Officer. EVP &amp; COO Mike Heaton left the Group. Effective immediately.</t>
    </r>
  </si>
  <si>
    <t xml:space="preserve">https://www.prnewswire.com/news-releases/jana-partners-sends-letter-to-markel-group-board-of-directors-302759189.html
 https://www.markel.com/international/news-and-insights/markel-international-launches-ai-centre-of-enablement-with-appointment-of-head-of-ai
https://www.canadianunderwriter.ca/2026/05/12/markel-canada-partners-with-hyperexponential-to-build-ai-native-underwriting-environment/
https://www.markel.com/about-us/news-and-press/markel-included-in-time-americas-best-companies-2026-list
https://ir.mklgroup.com/investor-relations/news/news-details/2026/Markel-Group-announces-leadership-appointments/default.aspx</t>
  </si>
  <si>
    <t xml:space="preserve">Registered office reported as:
Level 6, 4th North Avenue, Maker Maxity, Bandra Kurla Complex, Bandra (East), Mumbai 400051.
Services Performed in India
Public records describe the entity as providing support services/business services for the Markel group. [tracxn.com], [zaubacorp.com]
Kompass describes Markel Services India as operating under Markel's global insurance, reinsurance and investment solutions organization. [in.kompass.com]
Source:
https://in.kompass.com/en/c/markel-services-india-private-limited/in486630/ [in.kompass.com]</t>
  </si>
  <si>
    <t xml:space="preserve">Already presence in Mumbai-BKC</t>
  </si>
  <si>
    <t xml:space="preserve">Brian Costanzo</t>
  </si>
  <si>
    <t xml:space="preserve">Henry Gardener</t>
  </si>
  <si>
    <t xml:space="preserve">51 Madison Avenue, New York, NY 10010, USA</t>
  </si>
  <si>
    <t xml:space="preserve">15000+</t>
  </si>
  <si>
    <t xml:space="preserve">Craig L. DeSanto</t>
  </si>
  <si>
    <t xml:space="preserve">1. GCSP Approval
2. Business Relationship restriction
3. Firm Loan 
4. Reverse restrictions
5. Partial Scope of services restriction</t>
  </si>
  <si>
    <t xml:space="preserve">1. New York Life Accelerates Enterprise AI Transformation
2. New York Life Unifies Global Asset Management Business Under One Brand
3. New York Life Launches First Tokenized Investment Fund
4. New York Life Enters 2026 with Industry-Leading Financial Strength Ratings</t>
  </si>
  <si>
    <t xml:space="preserve">https://www.newyorklife.com/newsroom/new-york-life-spotlights-ai-transformation
https://www.nylim.com/who-we-are/news/new-york-life-unifies-global-asset-management-platform-under-new-york-life-investment-management-brand
 https://www.coindesk.com/business/2026/06/29/new-york-life-makes-tokenization-debut-with-onchain-high-yield-bond-fund-with-centrifuge
https://www.newyorklife.com/newsroom/press-resources/press-releases</t>
  </si>
  <si>
    <t xml:space="preserve">Eric A. Feldstein</t>
  </si>
  <si>
    <t xml:space="preserve">Vikas Sharma</t>
  </si>
  <si>
    <t xml:space="preserve">Alleghany Corporation (Berkshire Hathaway Subsidiary)</t>
  </si>
  <si>
    <t xml:space="preserve">One Rockefeller Plaza, Suite 2120, New York, USA </t>
  </si>
  <si>
    <t xml:space="preserve">13300+</t>
  </si>
  <si>
    <t xml:space="preserve">Joseph (Joe) P. Brandon</t>
  </si>
  <si>
    <r>
      <rPr>
        <sz val="10"/>
        <color theme="1"/>
        <rFont val="EYInterstate"/>
        <family val="0"/>
        <charset val="1"/>
      </rPr>
      <t xml:space="preserve">1. Alleghany Reports $8.8 Billion of Gross Premiums Written Across Insurance Operations
2. AM Best Reaffirms Superior Ratings for Alleghany's Core Subsidiaries
3. TransRe Continues AI-Enabled Underwriting Modernization
</t>
    </r>
    <r>
      <rPr>
        <b val="true"/>
        <sz val="10"/>
        <color theme="1"/>
        <rFont val="EYInterstate"/>
        <family val="0"/>
        <charset val="1"/>
      </rPr>
      <t xml:space="preserve">4. Mar' 26 - AM Best affirmed TransRe's Financial Strength Rating at A++ (SUPERIOR) and Long-Term ICR at 'aa+', with a stable outlook; Alleghany Corporation and Transatlantic Holdings affirmed at 'a+' (Excellent). Note TransRe was UPGRADED to A++ from A+ following the Berkshire acquisition — it now benefits from significant internal reinsurance support from Berkshire.
5. Mar' 26 - As a diversified reinsurer assuming a significant share of US CASUALTY risk, TransRe is exposed to SOCIAL INFLATION, which has driven widespread reserve strengthening across the (re)insurance sector. AM Best considers TransRe's long-run cycle management and initial loss picks conservative. Property reinsurance conditions are softening but remain broadly profitable. 
6. Jan' 26 - GREG ABEL succeeded Warren Buffett as Chief Executive Officer of Berkshire Hathaway on 1 January 2026 — a parent-level governance change affecting both Alleghany and GEICO
7. Jan' 26 - TransRe (wholly owned subsidiary) expanded its go-to-market approach and strengthened its go-to-market team.</t>
    </r>
  </si>
  <si>
    <t xml:space="preserve">https://www.alleghany.com/about-alleghany/default.aspx
https://markets.financialcontent.com/wss/article/bizwire-2026-3-2-am-best-affirms-credit-ratings-of-alleghany-corporation-and-its-affiliates
https://markets.financialcontent.com/wss/article/bizwire-2026-2-27-am-best-affirms-credit-ratings-of-rsui-groups-members
https://news.ambest.com/pr/PressContent.aspx?refnum=37080&amp;altsrc=2 (AM Best affirmation, 2 Mar 2026)
https://www.transre.com/wp-content/uploads/2026/01/In-The-News-TransRe-Strengthens-Go-To-Market-Team-Final.pdf</t>
  </si>
  <si>
    <t xml:space="preserve">Cassie J. Rottman</t>
  </si>
  <si>
    <t xml:space="preserve">Kerry J. Jacobs</t>
  </si>
  <si>
    <t xml:space="preserve">AFLAC Insurance Co</t>
  </si>
  <si>
    <t xml:space="preserve">Columbus, Georgia, USA</t>
  </si>
  <si>
    <t xml:space="preserve">12716+</t>
  </si>
  <si>
    <t xml:space="preserve">Daniel P. "Dan" Amos</t>
  </si>
  <si>
    <t xml:space="preserve">1. Aflac Expands Generative AI Across Customer Service, Claims, Legal, Finance, and Operations
2. Aflac Re Bermuda Announces Reinsurance Transaction with Japan Post Insurance
3. Aflac Reports 27.9% Revenue Growth and Returns $1.3 Billion to Shareholders
4. Aflac Launches New Long-Term Care Rider
5. Aflac Positions AI as a Core Customer Experience and Efficiency Strategy
6. Aflac Named One of the World's Most Ethical Companies for the 20th Consecutive Year</t>
  </si>
  <si>
    <t xml:space="preserve">https://www.chiefmarketer.com/when-aflac-integrates-ai-into-customer-service-and-when-it-doesnt/
https://newsroom.aflac.com/press-releases
https://investors.aflac.com/press-releases/press-release-details/2026/Aflac-Incorporated-Announces-First-Quarter-2026-Results/default.aspx https://newsroom.aflac.com/press-releases
https://www.forbes.com/sites/robertreiss/2026/06/05/ai-in-insurance-pay-no-attention-to-the-man-behind-the-curtain/
https://newsroom.aflac.com/press-releases</t>
  </si>
  <si>
    <r>
      <rPr>
        <strike val="true"/>
        <sz val="10"/>
        <color theme="1"/>
        <rFont val="EYInterstate"/>
        <family val="0"/>
        <charset val="1"/>
      </rPr>
      <t xml:space="preserve">NA
</t>
    </r>
    <r>
      <rPr>
        <b val="true"/>
        <sz val="10"/>
        <color theme="1"/>
        <rFont val="EYInterstate"/>
        <family val="0"/>
        <charset val="1"/>
      </rPr>
      <t xml:space="preserve">No</t>
    </r>
  </si>
  <si>
    <t xml:space="preserve">Max Kristian Broden</t>
  </si>
  <si>
    <t xml:space="preserve">Loews Corporation</t>
  </si>
  <si>
    <t xml:space="preserve">9 West 57th Street, New York, NY 10019, USA</t>
  </si>
  <si>
    <t xml:space="preserve">13100+</t>
  </si>
  <si>
    <t xml:space="preserve">Benjamin J. (Ben) Tisch</t>
  </si>
  <si>
    <t xml:space="preserve">Gabriella Mhanna</t>
  </si>
  <si>
    <t xml:space="preserve">1. Jan' 25 onward - Benjamin J. ('Ben') Tisch has served as President &amp; Chief Executive Officer of Loews Corporation since January 2025, succeeding his father James S. Tisch, who retired as CEO on 31 December 2024 and became Chairman of the Board. 
2. Apr' 26 - Q1 2026 results: Loews reported net income of $337 million, down from $370 million a year earlier. CEO Ben Tisch described it as 'a tale of two cities' quarter — Boardwalk Pipelines and Loews Hotels posted strong results while CNA Financial (Loews' ~92%-owned insurance subsidiary) took a step back.
3. Apr' 26 - CNA RESERVE STRENGTHENING: CNA recorded a $106 million reserve charge plus a 2.6-point increase in the underlying loss ratio. Management attributed both to adverse development in recent accident years across several casualty lines, and stated that assumptions on loss-cost inflation and claim frequency 'proved not conservative enough'. Loews reset current-accident-year loss picks and does not expect growth to reaccelerate near term.
4. Jan' 26 - Dino E. Robusto (former CNA Chairman &amp; CEO) was elected to the Loews Corporation Board of Directors effective 1 January 2026.</t>
  </si>
  <si>
    <t xml:space="preserve">https://www.sec.gov/Archives/edgar/data/0000060086/000006008626000029/exhibit992-q12026.htm (Loews Q1 2026 Earnings Remarks — Ben Tisch, CEO)
https://www.sec.gov/Archives/edgar/data/60086/000006008626000023/a2026loewsproxystatementco.pdf (Loews 2026 DEF 14A)
https://www.prnewswire.com/news-releases/loews-corporation-announces-ceo-transition-302208095.html</t>
  </si>
  <si>
    <t xml:space="preserve">Walter L. Harris</t>
  </si>
  <si>
    <t xml:space="preserve">Jane J. Wang</t>
  </si>
  <si>
    <t xml:space="preserve">6000 American Parkway, Madison, Wisconsin 53783, USA</t>
  </si>
  <si>
    <r>
      <rPr>
        <sz val="10"/>
        <color theme="1"/>
        <rFont val="EYInterstate"/>
        <family val="0"/>
        <charset val="1"/>
      </rPr>
      <t xml:space="preserve">Mar' 26 - American Family Insurance recorded 3,400 claims from the March 5-11 storm systems. The company deployed a mobile claims team to Bradley, Illinois, in Kankakee County. Northern Illinois was hit by extreme and likely record-breaking hail.
</t>
    </r>
    <r>
      <rPr>
        <b val="true"/>
        <sz val="10"/>
        <color theme="1"/>
        <rFont val="EYInterstate"/>
        <family val="0"/>
        <charset val="1"/>
      </rPr>
      <t xml:space="preserve">Mar' 26 - FY2025 results: American Family reported $2 BILLION MORE UNDERWRITING PROFIT in 2025 than in 2024, attributing the improvement to deliberate customer-driven strategic actions and a lower level of catastrophe losses. This continues the turnaround from combined ratios above 110 in 2022-23 to an underwriting profit (96.6 combined ratio across all P&amp;C lines) 
Apr' 26 - On February 5, 2026, American Family announced it would exit the Main Street America Insurance Bonds business. Subsequently, on April 3, 2026, it completed the bonds renewal rights transaction with Nationwide.
May' 26 - Announced a multi-year extension of its presenting-sponsor partnership with Summerfest (Milwaukee World Festival) — brand/marketing, included for completeness only.
Jul' 26 - American Family Life Insurance Company was again recognised with a Ward's Top 50 designation — its 19th consecutive year.
</t>
    </r>
  </si>
  <si>
    <t xml:space="preserve">https://www.insurancebusinessmag.com/us/news/catastrophe/two-insurers-report-spike-in-march-storm-losses-569026.aspx
https://newsroom.amfam.com/american-family-completes-main-street-america-insurance-bonds-renewal-rights-transaction/
https://www.insurancejournal.com/company/amfam/ (FY2025 underwriting profit)
https://newsroom.amfam.com/ (Ward's Top 50; Summerfest partnership extension)</t>
  </si>
  <si>
    <t xml:space="preserve">Troy Van Beek</t>
  </si>
  <si>
    <t xml:space="preserve">Gavin Roberts</t>
  </si>
  <si>
    <t xml:space="preserve">Lincoln Financial Insurance Agency Incorporated</t>
  </si>
  <si>
    <t xml:space="preserve">Radnor, Pennsylvania, USA</t>
  </si>
  <si>
    <t xml:space="preserve">10000+</t>
  </si>
  <si>
    <t xml:space="preserve">Ellen G. Cooper</t>
  </si>
  <si>
    <t xml:space="preserve">1. Full scope of services restriction
2. Business Relationship restriction
3. GCSP Approval
4. Audit Committee preapproval and/or IESBA Pre-concurrence required for services
5. Consultation Required
6. Firm Loan </t>
  </si>
  <si>
    <t xml:space="preserve">Mar' 26 - Launch of two new fixed indexed annuities (FIAs) — Lincoln FlexAdvantage® Income and Lincoln OptiBlend® Income — further expanding the company’s suite of retirement income solutions.
Mar' 26 - Lincoln Financial appointed Gotham Majumdar to Senior Vice President, Data and AI Engineering. In this newly created role, Gotham reports to Neel Adhya, EVP, Chief AI, Data and Analytics Officer (CAIDAO) who joined Lincoln earlier this year.
Jun' 26 - Lincoln Financial announced the promotion of three senior leaders to its Senior Management Committee (SMC): Darrel Tedrow as Executive Vice President, President of Life Insurance and Retail Shared Services; Curtis Chesney as Executive Vice President, President of Annuities; and Paul Spurr as Executive Vice President, Chief Risk Officer and Chief Actuary.</t>
  </si>
  <si>
    <t xml:space="preserve">https://markets.financialcontent.com/wral/article/bizwire-2026-3-16-lincoln-financial-unveils-new-fixed-indexed-annuity-income-solutions-with-category-first-legacy-planning
https://www.lincolnfinancial.com/public/aboutus/newsroom/pressreleases/Lincoln-appoints-Gotham-Majumdar
https://www.lincolnfinancial.com/public/aboutus/newsroom/pressreleases/executive-leadership-transitions</t>
  </si>
  <si>
    <t xml:space="preserve">Christopher Neczypor</t>
  </si>
  <si>
    <t xml:space="preserve">Paul Spurr</t>
  </si>
  <si>
    <t xml:space="preserve">Old Republic International Corporation</t>
  </si>
  <si>
    <t xml:space="preserve">307 North Michigan Avenue, Chicago, Illinois 60601, USA</t>
  </si>
  <si>
    <t xml:space="preserve">Craig R. Smiddy</t>
  </si>
  <si>
    <t xml:space="preserve">Mar' 26 - Old Republic International announced a leadership transition at BITCO Insurance Companies, effective April 1, 2026. Meyer Lehman has been named President and Chief Executive Officer, and Vince Lamb, BITCO's current Chief Executive Officer, will become Executive Chairman.
Apr' 26 - Old Republic International Corporation announced that it is forming a new operating company, Old Republic Property, Inc., to underwrite specialized property insurance products through a national retail broker distribution network. 
Apr' 26 - Old Republic International Corporation announced the launch of Lodestar Claims &amp; Risk Services, Inc. ("Lodestar") as an independent brand and standalone operating company within Old Republic, marking the first time in more than 30 years that the organization's third-party administrator (TPA) business will operate with its own distinct identity in the marketplace.
Apr' 26 - Old Republic International Corporation announced a brand refresh that highlights the specialty expertise and collective strength of its operating companies. The refresh introduces a modernized corporate logo and an expanded visual system that enhances consistency and clarity with customers and distribution partners.</t>
  </si>
  <si>
    <t xml:space="preserve">https://ir.oldrepublic.com/news/news-details/2026/OLD-REPUBLIC-ANNOUNCES-SENIOR-MANAGEMENT-CHANGES-AT-BITCO-INSURANCE-COMPANIES/default.aspx
https://ir.oldrepublic.com/news/news-details/2026/OLD-REPUBLIC-FORMS-NEW-PROPERTY-INSURANCE-COMPANY/default.aspx
https://ir.oldrepublic.com/news/news-details/2026/LODESTAR-LAUNCHES-AS-INDEPENDENT-BRAND-FOR-OLD-REPUBLICS-THIRD-PARTY-ADMINISTRATOR-BUSINESS/default.aspx
https://ir.oldrepublic.com/news/news-details/2026/OLD-REPUBLIC-REFRESHES-BRAND-TO-HIGHLIGHT-SPECIALTY-EXPERTISE-AND-COLLECTIVE-STRENGTH/default.aspx</t>
  </si>
  <si>
    <t xml:space="preserve">Frank Sodaro</t>
  </si>
  <si>
    <t xml:space="preserve">First American Financial Corporation</t>
  </si>
  <si>
    <t xml:space="preserve">1 First American Way, Santa Ana, California 92707, USA</t>
  </si>
  <si>
    <t xml:space="preserve">Mark E. Seaton</t>
  </si>
  <si>
    <t xml:space="preserve">Vandana Sule</t>
  </si>
  <si>
    <t xml:space="preserve">Apr' 26 - The company made progress with its internal AI platform, which allowed product teams to accelerate development cycles and improve quality control. AI-driven tools in the Agency division expanded quality control capacity sixfold, while new examination capabilities reduced order processing time by 30 minutes per file.
Apr' 26 - Endpoint, an automated title and escrow platform, achieved 30% automation rates in pilot markets, with plans to expand to 80-85% of branch locations by next year. SEQUOIA, the AI-powered title decisioning platform, automated 35% of refinance transactions and 13% of purchase transactions in pilot counties, with a national rollout targeted for 2027.
Apr' 26 - First American Data &amp; Analytics, a leading provider of property-centric information, risk management, and valuation solutions, announced that its FraudGuard® solution has been integrated into Forta Solutions' Agility™, an adaptable modern warehouse lending platform built by and for warehouse lenders.
</t>
  </si>
  <si>
    <t xml:space="preserve">https://finance.yahoo.com/markets/stocks/articles/faf-q1-deep-dive-commercial-081323035.html
https://finance.yahoo.com/markets/stocks/articles/faf-q1-deep-dive-commercial-081323035.html
https://marketchameleon.com/Overview/FAF/PressReleases/</t>
  </si>
  <si>
    <t xml:space="preserve">Entity Name - First American (India) Private Limited (FAI)
Type - Global Capability Center (GCC)
Locations - Bengaluru, Hyderabad, Salem
Functions - Software Development, IT Infrastructure, Data &amp; Analytics, Back-office Operations, Mortgage &amp; Title Processing, Knowledge Services
Company website - https://www.firstam.co.in/</t>
  </si>
  <si>
    <t xml:space="preserve">Matt F. Wajner</t>
  </si>
  <si>
    <t xml:space="preserve">Ramon Machado,</t>
  </si>
  <si>
    <t xml:space="preserve">W.R. Berkley Corporation</t>
  </si>
  <si>
    <t xml:space="preserve">475 Steamboat Road, Greenwich, Connecticut 06830, USA</t>
  </si>
  <si>
    <t xml:space="preserve">8600+</t>
  </si>
  <si>
    <t xml:space="preserve">W. Robert Berkley, Jr.</t>
  </si>
  <si>
    <t xml:space="preserve">Jeffrey Palmadesso</t>
  </si>
  <si>
    <r>
      <rPr>
        <sz val="10"/>
        <color theme="1"/>
        <rFont val="EYInterstate"/>
        <family val="0"/>
        <charset val="1"/>
      </rPr>
      <t xml:space="preserve">Jan' 26 - Significant investments were made in data, AI, and operational technology to drive efficiency and support future growth. Management believes these investments will yield benefits over multiple years, allowing faster processing and better prioritization of business opportunities.
Jan' 26 - The company prioritized risk selection and pricing, particularly in lines like auto liability and professional, where competitive pressures remained high. CEO Rob Berkley explained that some segments, such as auto liability, saw deliberate reductions in exposure due to unattractive pricing environments.
</t>
    </r>
    <r>
      <rPr>
        <b val="true"/>
        <sz val="10"/>
        <color theme="1"/>
        <rFont val="EYInterstate"/>
        <family val="0"/>
        <charset val="1"/>
      </rPr>
      <t xml:space="preserve">3. Dec' 25 - Feb' 26 - MITSUI SUMITOMO STAKE-BUILD (MATERIAL OWNERSHIP / GOVERNANCE EVENT): Mitsui Sumitomo Insurance (MSI, part of Japan's MS&amp;AD group) crossed 12.5% beneficial ownership of WRB in December 2025 and had reached 14.9% (56,458,656 shares) by early February 2026, against a target of 15% agreed with the Berkley family in March 2025. Between 15 Jan and 6 Feb 2026 alone MSI bought 3,732,152 shares for ~$252.8m under a Rule 10b5-1 plan. Crossing 12.5% TRIGGERED A BOARD NOMINATION RIGHT: the Berkley family agreed to recommend nominating an MSI director designee. MSI's shares are voted per Berkley family recommendations except in limited circumstances. No shares were purchased from the company or the family — no dilution.
4. Jan' 26 - Q4/FY2025 results: record year — $1.2bn underwriting income, $1.4bn net investment income, book value per share up 26.7%. CEO Rob Berkley said the business was 'firing on all cylinders' and that the company is 'generating capital more quickly than we can utilize it'. Share repurchase authorisation increased (8 Jan 2026). Management guided the 2026 expense ratio to remain 'comfortably below 30%' while investing significantly in AI and technology.</t>
    </r>
  </si>
  <si>
    <t xml:space="preserve">https://markets.financialcontent.com/dowtheoryletters/article/stockstory-2026-1-27-wrb-q4-deep-dive-management-focuses-on-technology-distribution-and-underwriting-discipline
https://markets.financialcontent.com/dowtheoryletters/article/stockstory-2026-1-27-wrb-q4-deep-dive-management-focuses-on-technology-distribution-and-underwriting-discipline
https://www.stocktitan.net/sec-filings/WRB/schedule-13d-a-berkley-w-r-corp-amended-major-shareholder-report-4164e282c0e1.html (MSI 13D/A — 14.9%)
https://www.insurancebusinessmag.com/us/news/breaking-news/mitsui-sumitomo-takes-12-5-stake-in-w-r--berkley-559207.aspx
https://fintool.com/news/mitsui-sumitomo-wrb-69m-stake-buildup (Q4 2025 results; expense ratio guidance)</t>
  </si>
  <si>
    <t xml:space="preserve">Entity Name - Berkley Insurance Company, IFSC Branch
Type - IFSC Branch
Locations - GIFT City, Gujarat, India
Functions - Specialty insurance products and Berkley Insurance Asia expansion
Company website - https://berkleyasia.com/about/</t>
  </si>
  <si>
    <t xml:space="preserve">Richard M. Baio</t>
  </si>
  <si>
    <t xml:space="preserve">Thrivent Financial for Lutherans</t>
  </si>
  <si>
    <t xml:space="preserve">Minneapolis, Minnesota, USA and Appleton, Wisconsin, USA</t>
  </si>
  <si>
    <t xml:space="preserve">4500+</t>
  </si>
  <si>
    <t xml:space="preserve">Teresa (Terry) J. Rasmussen</t>
  </si>
  <si>
    <t xml:space="preserve">Ted Epps</t>
  </si>
  <si>
    <t xml:space="preserve">1. GCSP Approval
2. Business Relationship restriction
3. Partial scope of services restriciton
4. Firm Loan </t>
  </si>
  <si>
    <t xml:space="preserve">Jan' 26 - Thrivent announced it will deliver a $590 million total payout of dividends and nonguaranteed policy enhancements to clients with membership in 2026, setting an all-time high for the organization and marking a 4% increase over last year.
Feb' 26 - Thrivent, a Fortune 500 financial services company announced the launch of three new retail Separately Managed Accounts: Thrivent Large Cap Growth SMA, Thrivent Large Cap Value SMA, and Thrivent Small-Mid Cap Equity SMA.
Mar' 26 -  Thrivent, a Fortune 500 financial services company announced plans to hire 600 new financial advisors in 2026. This follows a major hiring push in 2025 that saw Thrivent also set—and exceed—its goal of hiring 600 new advisors. 
May' 26 - Thrivent, a Fortune 500 financial services company announced that S&amp;P Global Ratings has maintained the organization’s AA+ (Very Strong) credit rating with a stable outlook.
Jun' 26 - Thrivent, a Fortune 500 financial services company, announced the launch of two international equity exchange‑traded funds (ETFs), expanding its presence in the growing ETF marketplace and providing investors with access to global equity opportunities.
Jul' 26 - The Green Bay Packers and Thrivent announced a new multi-year agreement for the Fortune 500 financial services company to serve as the Official Financial Services Partner of the Green Bay Packers. The partnership will bring Thrivent to fans at Lambeau Field and nationwide through a mix of in-person and digital experiences and support local nonprofit organizations through a new community impact program named Game Changing Players.</t>
  </si>
  <si>
    <t xml:space="preserve">https://newsroom.thrivent.com/Q-A-on-Thrivents-2026-Annual-Total-Payout
https://newsroom.thrivent.com/2026-02-05-Thrivent-Launches-Three-New-Retail-Separately-Managed-Accounts-SMAs
https://www.prnewswire.com/news-releases/thrivent-continues-major-growth-push-with-plans-to-add-600-more-financial-advisors-in-2026-302708534.html
https://newsroom.thrivent.com/2026-05-06-Thrivent-Maintains-AA-Credit-Rating-with-Stable-Outlook-From-S-P-Global
https://newsroom.thrivent.com/2026-06-15-Thrivent-Launches-Two-International-Equity-ETFs,-Expanding-Its-ETF-Product-Suite
https://newsroom.thrivent.com/2026-07-13-Packers,-Thrivent-Announce-Multi-Year-Partnership-Centered-on-Fan-Engagement-and-Community-Impact</t>
  </si>
  <si>
    <t xml:space="preserve">David S. Royal</t>
  </si>
  <si>
    <t xml:space="preserve">Equitable Holdings, Inc.</t>
  </si>
  <si>
    <t xml:space="preserve">8000-9000+</t>
  </si>
  <si>
    <t xml:space="preserve">Mark Pearson</t>
  </si>
  <si>
    <t xml:space="preserve">Chanell Brown	</t>
  </si>
  <si>
    <t xml:space="preserve">1. GCSP Approval
2. Business Relationship restriction
3. Partial scope of services restriciton
4. Firm Loan 
5. Audit Committee preapproval and/or IESBA Pre-concurrence required for services</t>
  </si>
  <si>
    <r>
      <rPr>
        <sz val="10"/>
        <color theme="1"/>
        <rFont val="EYInterstate"/>
        <family val="0"/>
        <charset val="1"/>
      </rPr>
      <t xml:space="preserve">Feb' 26 - Equitable Holdings announced that its Board of Directors has approved an additional $1 billion share repurchase authorization.
Mar' 26 - Corebridge Financial, Inc. and Equitable Holdings, Inc. announced that they have entered into a definitive agreement to combine in an all-stock merger, valuing the combined company at approximately $22 billion, based on the closing stock prices of each company as of March 25, 2026. The transaction will create a leading retirement, life, wealth and asset management company with formidable distribution capabilities, enhanced scale and a diversified portfolio of businesses with well-established global brands.
Apr' 26 - Equitable announced the introduction of the Equitable Retirement AccessSM ERISA 403(b) pooled employer plan (PEP), a new offering designed to help nonprofit organizations offer a scalable, cost‑efficient way to provide their employees with retirement plan benefits.
</t>
    </r>
    <r>
      <rPr>
        <b val="true"/>
        <sz val="10"/>
        <color theme="1"/>
        <rFont val="EYInterstate"/>
        <family val="0"/>
        <charset val="1"/>
      </rPr>
      <t xml:space="preserve">4. Mar-Jun' 26 - COREBRIDGE MERGER - Further Update
• TIMING: expected to close by YEAR-END 2026, subject to shareholder and regulatory approvals. A joint proxy statement/prospectus (Form DEFM14A) was filed with a 1 June 2026 record date, and BOTH companies have DEFERRED their 2026 annual shareholder meetings to hold special meetings on the merger instead.
STATUS AS AT 14 JUL 2026: shareholder votes and regulatory approvals still outstanding — deal NOT yet closed.</t>
    </r>
  </si>
  <si>
    <t xml:space="preserve">https://ir.equitableholdings.com/news-and-events/investor-releases/news-details/2026/Equitable-Holdings-Announces-Additional-1-Billion-Share-Repurchase-Authorization-and-Declares-Common-and-Preferred-Stock-Dividends/default.aspx
https://investors.corebridgefinancial.com/news/news-details/2026/Corebridge-Financial-and-Equitable-Holdings-Announce-Transformational-Merger/default.aspx
https://www.marketscreener.com/news/equitable-launches-403-b-pooled-employer-plan-to-support-nonprofits-ce7e50dbd080fe21
https://www.sec.gov/Archives/edgar/data/0001889539/000119312526279656/d115497ddefm14a.htm (joint proxy statement/prospectus)
https://www.sec.gov/Archives/edgar/data/1889539/000114036126011261/ef20068723_425.htm (structure, leadership, Houston HQ, timing)
https://www.sec.gov/Archives/edgar/data/0001889539/000188953926000116/crbg-20260331.htm (Corebridge Q1 2026 10-Q — exchange ratios)</t>
  </si>
  <si>
    <t xml:space="preserve">Equitable Holdings has an indirect operational presence in India through its subsidiary AllianceBernstein (AB).
Entity Name - AllianceBernstein India (AllianceBernstein L.P. India Operations)
Type - Global Capability Center (GCC)
Locations - Pune, Maharashtra (Primary India Office)
Functions - Investment Research, Technology &amp; Engineering, Digital Innovation, Client Support, Sales Support, Finance Operations, Corporate Functions, Asset Management Support Services.
Company website - https://www.alliancebernstein.com/corporate/en/home.html</t>
  </si>
  <si>
    <t xml:space="preserve">Robin M. Raju</t>
  </si>
  <si>
    <t xml:space="preserve">Julia Zhang</t>
  </si>
  <si>
    <t xml:space="preserve">Milwaukee, Wisconsin, USA</t>
  </si>
  <si>
    <t xml:space="preserve">8300+</t>
  </si>
  <si>
    <t xml:space="preserve">Timothy J. (Tim) Gerend</t>
  </si>
  <si>
    <t xml:space="preserve">Jim Loggins</t>
  </si>
  <si>
    <t xml:space="preserve">Jan' 25 - Northwestern Mutual is announced its largest expected dividend payout to policyowners in company history: $9.2 billion in 2026. The record sum is both unprecedented and unmatched: expected to eclipse its 2025 award by nearly $1 billion and remain the industry's largest by a significant margin. In just the past three years, Northwestern Mutual's annual dividend has grown by nearly $2.4 billion – from $6.8 billion in 2023 to $9.2 billion for 2026 – the largest increase in its history.
Apr' 26 - Northwestern Mutual is taking another significant step to drive innovation in the financial services industry, announcing a new $150 million investment to support promising startups across the fintech and insurtech landscape.
Apr' 26 - Northwestern Mutual announced plans to invest more than $500 million in its North Office Building located at 818 East Mason Street in downtown Milwaukee to expand its world-class workplace and employee experience.</t>
  </si>
  <si>
    <t xml:space="preserve">https://news.northwesternmutual.com/2025-10-28-Northwestern-Mutual-Announces-Historic-9-2-Billion-Dividend-Payout-in-2026-A-Powerful-Demonstration-of-Companys-Enduring-Commitment-to-Policyowners
https://www.prnewswire.com/news-releases/northwestern-mutual-announces-150-million-venture-capital-commitment-to-accelerate-fintech-innovation-302754777.html
https://news.northwesternmutual.com/investing-in-milwaukee</t>
  </si>
  <si>
    <t xml:space="preserve">Todd M. Jones</t>
  </si>
  <si>
    <t xml:space="preserve">Mutual of Omaha Insurance Company</t>
  </si>
  <si>
    <t xml:space="preserve">Omaha, Nebraska, USA</t>
  </si>
  <si>
    <t xml:space="preserve">4000-7000+</t>
  </si>
  <si>
    <t xml:space="preserve">James T. Blackledge</t>
  </si>
  <si>
    <t xml:space="preserve">Jojo Dutta Roy</t>
  </si>
  <si>
    <t xml:space="preserve">Jan' 26 - Mutual of Omaha publicly discussed its AI strategy through its Technology organization. The company disclosed that AI teams are exploring: Generative AI, Workflow automation, Business-line support, Customer-experience improvement, Process innovation, 
AI Areas Being Explored: Operational efficiency, Claims and service enhancements, Workflow optimization, Customer experience transformation 
Feb' 26 - Mutual of Omaha continues to expand its application programming interface (API) integration offerings for benefits administration. It’s part of the company’s ongoing commitment to be the easiest group insurance carrier to do business with.
Apr' 26 - Mutual of Omaha has completed its adoption of a mutual holding company (MHC) structure following final approval from the Nebraska Department of Insurance, with Mutual of Omaha Holding Company now serving as the ultimate parent of the company's affiliates and subsidiaries.
Apr' 26 - Mutual of Omaha is increasing its investment in the retail annuity and long-term care markets as demand grows for products that help people manage retirement income and the cost of care. Through its newly formed Health and Annuity Solutions operation, Mutual of Omaha is emphasizing product innovation, pricing discipline, distribution support and operational capabilities designed to help advisors better serve clients navigating increasingly complex retirement planning decisions.</t>
  </si>
  <si>
    <t xml:space="preserve">https://www.mutualofomaha.com/careers/life-at-mutual/careers-blog/video/exploring-ai-at-mutual-of-omaha
https://www.businesswire.com/news/home/20260224556643/en/Mutual-of-Omaha-Continues-Expansion-of-API-Offerings-to-Streamline-Benefits-Administration-for-Brokers-and-Employers
https://ebs.publicnow.com/view/5292601E48DFC70E085A0BBD9D8B8899516B5420
https://www.publicnow.com/view/F3B8B1FB4C5682B72AE217D1851169E3EADFA88E</t>
  </si>
  <si>
    <t xml:space="preserve">Brody Merrill</t>
  </si>
  <si>
    <t xml:space="preserve">Tracy DeWald</t>
  </si>
  <si>
    <t xml:space="preserve">Cincinnati Financial Corporation</t>
  </si>
  <si>
    <t xml:space="preserve">6200 South Gilmore Road, Fairfield, Ohio 45014, USA</t>
  </si>
  <si>
    <t xml:space="preserve">5600+</t>
  </si>
  <si>
    <t xml:space="preserve">Stephen M. Spray</t>
  </si>
  <si>
    <t xml:space="preserve">Steve Kane</t>
  </si>
  <si>
    <t xml:space="preserve">Apr' 26 - First-quarter 2026 net income of $274 million, or $1.75 per share, compared with a net loss of $90 million, or $0.57 per share, in the first quarter of 2025, after recognizing an $82 million first-quarter 2026 after-tax decrease in the fair value of equity securities still held.
Jun' 26 - Cincinnati Financial Corporation's board of directors added a 15th seat, appointing Lisa M. Franchetti to the board and as a member of its audit committee, effective immediately.
Jun' 26 - John S. Kellington, chief information officer and executive vice president for its lead subsidiary, The Cincinnati Insurance Company, will retire August 7.</t>
  </si>
  <si>
    <t xml:space="preserve">https://investors.cinfin.com/2026-04-27-Cincinnati-Financial-Reports-First-Quarter-2026-Results
https://investors.cinfin.com/2026-06-19-Cincinnati-Financial-Corporation-Expands-Board-With-Appointment-of-Independent-Director
https://investors.cinfin.com/2026-06-16-The-Cincinnati-Insurance-Company-Chief-Information-Officer-Announces-Retirement</t>
  </si>
  <si>
    <t xml:space="preserve">Michael J. Sewell, CPA</t>
  </si>
  <si>
    <t xml:space="preserve">Teresa C. Cracas</t>
  </si>
  <si>
    <t xml:space="preserve">Jackson Financial Inc.</t>
  </si>
  <si>
    <t xml:space="preserve">Lansing, Michigan, USA</t>
  </si>
  <si>
    <t xml:space="preserve">3000 - 4000+</t>
  </si>
  <si>
    <t xml:space="preserve">Laura Prieskorn</t>
  </si>
  <si>
    <t xml:space="preserve">Stuart Doyleii</t>
  </si>
  <si>
    <t xml:space="preserve">Feb' 26 - Jackson Financial Inc. announced the closing of the previously announced long-term strategic partnership with TPG Inc. The partnership includes a $500 million common equity investment from TPG to help accelerate Jackson’s growth in its spread-based business and provide flexibility for future innovative insurance solutions.
Jun' 26 - Jackson National Life Insurance Company launched Jackson Market Link Pro® 4 (JMLP4) and Jackson Market Link Pro Advisory® 4 (JMLPA4), further strengthening Jackson’s suite of registered index-linked annuities (RILAs). JMLP4 (commission-based) and JMLPA4 (fee-based) provide clients the potential to grow assets before and during retirement while offering different degrees of protection, including full principal protection, against unexpected market events.</t>
  </si>
  <si>
    <t xml:space="preserve">https://investors.jackson.com/news/news-details/2026/Jackson-Financial-Inc--and-TPG-Inc--Announce-Launch-of-Long-Term-Strategic-Partnership/default.aspx
https://investors.jackson.com/news/news-details/2026/Jackson-Introduces-Dow-Jones-Industrial-Average-Index-Option-Flexible-Premiums-Six-Year-Rate-Guarantee-in-Latest-Registered-Index-Linked-Annuity-Launch/default.aspx</t>
  </si>
  <si>
    <t xml:space="preserve">Steven A. Kandarian</t>
  </si>
  <si>
    <t xml:space="preserve">Don W. Cummings</t>
  </si>
  <si>
    <t xml:space="preserve">Steve Binioris</t>
  </si>
  <si>
    <t xml:space="preserve">TruStage Insurance Agency, LLC</t>
  </si>
  <si>
    <t xml:space="preserve">Madison, Wisconsin, USA</t>
  </si>
  <si>
    <t xml:space="preserve">4200+</t>
  </si>
  <si>
    <t xml:space="preserve">Terrance Williams</t>
  </si>
  <si>
    <t xml:space="preserve">1. GCSP Approval
2. Consultation Required</t>
  </si>
  <si>
    <t xml:space="preserve">Mar' 26 - Wipro Limited, a leading AI-powered technology services and consulting company, announced that it has entered into a multi-year contract for business and technology modernization for TruStage's retirement services business. TruStage is an insurance and financial services provider based in Madison, Wisconsin.
Apr' 26 - TruStage, announced it is launching a new Collateral Protection Insurance (CPI)-Auto Tracked product. The product, which is provided in partnership with van Wagenen, a financial services provider, helps protect vehicles financed through credit unions by monitoring physical damage insurance — both comprehensive and collision coverage — on a credit union's portfolio. 
May' 26 - TruStage, announced that Happy Money, a leading consumer finance company dedicated to empowering individuals through responsible lending, has become the first lender to offer the newly launched Payment Guard Advantage Insurance. During the origination process, Happy Money loan customers may choose to purchase optional insurance coverage to protect their finances in the event of qualifying life disruptions, such as involuntary job loss or disability.
Jun' 26 - Polly, the insurance technology platform built for the automotive and financial services industries, announced an expansion of its existing partnership with TruStage®, adding TruStage Payment Guard Advantage Insurance to its suite of consumer protection offerings. The product joins Polly's existing lineup of auto, home, and life insurance products.</t>
  </si>
  <si>
    <t xml:space="preserve">https://www.publicnow.com/view/BAD5E3E6229A69F9D68A4DF36BF2B3B8EB08F9F9
https://www.trustage.com/newsroom/2026-press-releases/collateral-protection-insurance-auto-tracked-product
https://www.trustage.com/newsroom/2026-press-releases/happy-money-offering-payment-guard-advantage
https://www.trustage.com/newsroom/2026-press-releases/polly-expands-trustage-partnership</t>
  </si>
  <si>
    <t xml:space="preserve">Jon Winderman</t>
  </si>
  <si>
    <t xml:space="preserve">Newport Beach, California, USA (Pacific Mutual Holding Company headquarters)</t>
  </si>
  <si>
    <t xml:space="preserve">Darryl Button</t>
  </si>
  <si>
    <t xml:space="preserve">Steve Verhagen</t>
  </si>
  <si>
    <t xml:space="preserve">Jan' 26 - Pacific Life announced a new Evidence of Insurability (“EOI”) API integration with Selerix, a leading provider of cloud-based benefits administration solutions. This enhanced connection enables employees to complete EOI applications directly within the enrollment process and receive near real-time decisions, with automatic updates via the Selerix portal – delivering a faster, more streamlined experience for all stakeholders.
Mar' 26 - Pacific Life announced the results of its 2026 Underwriting Outlook Survey, capturing insights from more than 100 of the life insurance industry’s leading underwriting and insurance executives. When asked about their firm’s approach to AI in underwriting, nearly 45% of respondents said AI is either actively integrated into day-to-day workflows (20%) or regularly used as a decision-support tool (24%). Even with this integration, the largest segment (38%) reported that AI initiatives remain in the pilot phase.
Mar' 26 - Pacific Life Re, a leader in the global life reinsurance industry, today announced the completion of a longevity reinsurance transaction with Achmea Pension &amp; Life Insurance. 
Jun' 26 - Pacific Life Re has announced its third asset-intensive block reinsurance deal with Tokio Marine &amp; Nichido Life Insurance Co., Ltd. (Anshin Life). </t>
  </si>
  <si>
    <t xml:space="preserve">https://secure.businesswire.com/news/home/20260128893102/en/Pacific-Life-and-Selerix-Launch-Digital-Evidence-of-Insurability-Integration
https://www.pacificlife.com/press-releases/stories/pacific-life-polls-industry-leaders-in-2026-underwriting-outlook-survey.html
https://www.pacificlifere.com/news/Pacific-Life-Re-Awarded-4bn-Longevity-Reinsurance-Transaction-with-Achmea-Pension-and-Life-Insurance.html
https://www.pacificlifere.com/news/Pacific-Life-Re-Announces-Third-Block-Reinsurance-Deal-with-Tokio-Marine-and-Nichido-Life.html</t>
  </si>
  <si>
    <t xml:space="preserve">Vibhu Sharma</t>
  </si>
  <si>
    <t xml:space="preserve">Alessandro Papa</t>
  </si>
  <si>
    <t xml:space="preserve">List of Indian Insurance companies that have presence / operations in the UK</t>
  </si>
  <si>
    <t xml:space="preserve">Insurance Revenue (In Crs)</t>
  </si>
  <si>
    <t xml:space="preserve">Revenue Reference Link</t>
  </si>
  <si>
    <t xml:space="preserve">Revenue Page</t>
  </si>
  <si>
    <t xml:space="preserve">CFO</t>
  </si>
  <si>
    <t xml:space="preserve">Notes</t>
  </si>
  <si>
    <t xml:space="preserve">Life Insurance Corporation of India (LIC)
</t>
  </si>
  <si>
    <t xml:space="preserve">Life Insurance</t>
  </si>
  <si>
    <t xml:space="preserve">R Doraiswamy</t>
  </si>
  <si>
    <t xml:space="preserve">Mar' 26 - Throughout the past year, LIC UK has continued to operate in “closed‑to‑new‑business” mode.The UK branch does not accept new policy applications, focusing only on: Servicing existing policies, Premium collection, Claims and maturities</t>
  </si>
  <si>
    <t xml:space="preserve">https://www.liciuk.com
https://www.thehindu.com/business/lic-new-india-assurance-gic-continue-to-remain-domestic-systemically-important-insurers-irdai/article70816432.ece</t>
  </si>
  <si>
    <t xml:space="preserve">https://eyindia.sharepoint.com/:b:/r/sites/InsuranceResearch/Shared%20Documents/Insurance%20Research/Top%2020%20UK/Indian%20Insurers%20operating%20in%20UK/LIC_AR%202024-25.pdf?csf=1&amp;web=1&amp;e=Jcp2ak</t>
  </si>
  <si>
    <t xml:space="preserve">AR pg - 4</t>
  </si>
  <si>
    <t xml:space="preserve">Pradeep Kelkar</t>
  </si>
  <si>
    <t xml:space="preserve">Sunil Agrawal</t>
  </si>
  <si>
    <t xml:space="preserve">Shatmanyu Shrivastava</t>
  </si>
  <si>
    <t xml:space="preserve">- Foreign Branch (UK) / In Run-off</t>
  </si>
  <si>
    <t xml:space="preserve">The New India Assurance Co. Ltd
</t>
  </si>
  <si>
    <t xml:space="preserve">General (Non‑Life) Insurance</t>
  </si>
  <si>
    <t xml:space="preserve">Girija Subramanian (CMD)
Hemendra Swaroop,
Chief Executive - UK</t>
  </si>
  <si>
    <t xml:space="preserve">Gaurav Taneja</t>
  </si>
  <si>
    <t xml:space="preserve"> - The New India Assurance UK continues to publish its UK Solvency and Financial Condition Reports (SFCR), with the most recent covering FY 2024–25.
 - During the financial year ending 31st March 2025, NIA - UK completed gross written premiums of £150.5m (2023/24: £161.5m) - consisting of £116.0m (2023/24: £122.2m) from combined direct operations and £34.5m (2023/24: £39.3m). This represents a 6.7% reduction year-on-year owing to general market softening, compared to marginal growth of 0.7% in the previous year.
 - The Solvency Capital Ratio increased to 131.4% for 2024/25 from 129.1% in 2023/24, driven by a decrease in the frequency and severity of natural catastrophe claims, as well as underwriting improvements across the portfolio. </t>
  </si>
  <si>
    <t xml:space="preserve">https://www.newindia.co.uk/solvency-financial-condition-reports/</t>
  </si>
  <si>
    <t xml:space="preserve">https://eyindia.sharepoint.com/:b:/r/sites/InsuranceResearch/Shared%20Documents/Insurance%20Research/Top%2020%20UK/Indian%20Insurers%20operating%20in%20UK/New%20India%20Final%20Annual%20Report24-25.pdf?csf=1&amp;web=1&amp;e=xFzKpg</t>
  </si>
  <si>
    <t xml:space="preserve">AR pg - 2</t>
  </si>
  <si>
    <t xml:space="preserve">Santosh Chavan</t>
  </si>
  <si>
    <t xml:space="preserve">Vimal Kumar Jain</t>
  </si>
  <si>
    <t xml:space="preserve"> K. V. Raman</t>
  </si>
  <si>
    <t xml:space="preserve"> - Foreign Branch (London and Ipswich)
Direct business written from Ipswich consists of direct operations of UK provincial business combined risks  (motor, employer’s liability, public liability and property for homeowners and small-medium enterprises).   
Reinsurance business written from London is both facultative property and property treaty business</t>
  </si>
  <si>
    <t xml:space="preserve">General Insurance Corporation of India (GIC Re)
  </t>
  </si>
  <si>
    <t xml:space="preserve">Reinsurance (Non‑Life)</t>
  </si>
  <si>
    <t xml:space="preserve">Ashwini Kumar
GIC of India – UK, London Branch
Dyanaraj Balkrishna Gawade, CEO</t>
  </si>
  <si>
    <t xml:space="preserve">1. Partial Scope of service restriction</t>
  </si>
  <si>
    <t xml:space="preserve"> - Feb' 25 - The Board of Directors of the General Insurance Corporation of India (GIC Re), the Indian public sector reinsurer, has approved the incorporation of a United Kingdom-domiciled, wholly owned subsidiary, GIC Re, India Service Company, to engage in “insurance-related services and activities.”
 - Lloyd’s approves transfer of GIC Re’s Syndicate 1947 management to Asta.
Asta, the third-party managing agency at Lloyd’s, has confirmed that Lloyd’s has approved the transfer of the managing agency agreement for GIC Re’s Syndicate 1947, effective 1 July 2025, with the agreement covering both open and prior underwriting years.</t>
  </si>
  <si>
    <t xml:space="preserve">https://www.reinsurancene.ws/indias-gic-re-planning-to-launch-uk-based-subsidiary/
https://www.reinsurancene.ws/lloyds-approves-transfer-of-gic-res-syndicate-1947-management-to-asta/
https://www.gicre.in/en/business-en/overseas-offices
https://assets.lloyds.com/media/fc47484e-d884-4326-b7d8-32d88f59e7d4/1947%20GIC%20Syndicate%20-%201947%20-%20Q4%202024%20Syndicate%20Accounts%20Submission%20%28Mar%206,%202025%29-ixbrl-r1.html</t>
  </si>
  <si>
    <t xml:space="preserve">https://eyindia.sharepoint.com/:b:/r/sites/InsuranceResearch/Shared%20Documents/Insurance%20Research/Top%2020%20UK/Indian%20Insurers%20operating%20in%20UK/GIC_Annual_Report_2024-25.pdf?csf=1&amp;web=1&amp;e=ikOStm</t>
  </si>
  <si>
    <t xml:space="preserve">AR pg - 19</t>
  </si>
  <si>
    <t xml:space="preserve">Sachindra Salvi</t>
  </si>
  <si>
    <t xml:space="preserve">V. Balkrishna</t>
  </si>
  <si>
    <t xml:space="preserve">Jayashri Balkrishna</t>
  </si>
  <si>
    <t xml:space="preserve">- Foreign Branch (UK) : Underwriting Reinsurance
 - Proposed Subsidiary - GIC Re, India Service Company (for insurance related services)
 - Lloyd’s Syndicate 1947 (The principal activity of the Syndicate is the underwriting of general insurance and reinsurance business at Lloyd’s. The Syndicate commenced underwriting on 1 April 2018, Capital to support the underwriting of the Syndicate is provided by GIC Re). Auditor for Syndicate 1947 is EY LLP, London</t>
  </si>
  <si>
    <t xml:space="preserve">Diligenta Limited
</t>
  </si>
  <si>
    <t xml:space="preserve">Life and Pension (BPO)</t>
  </si>
  <si>
    <t xml:space="preserve">Daniel Praveen</t>
  </si>
  <si>
    <t xml:space="preserve">1. GCSP Approval
2. Firm loan
3. Reverse Restrictions
4. Business Relationships</t>
  </si>
  <si>
    <t xml:space="preserve"> - Tata Consultancy Services (TCS) a global leader in IT services, consulting, and business solutions, has announced the expansion of its partnership with Aviva, the UK’s leading Insurance, Wealth and Retirement provider. The end-to-end policy administration services will now expand to cover more than 6.5 million policies, to be managed by TCS’ FCA-regulated subsidiary, Diligenta UK, on behalf of Aviva.
 - TCS/Diligenta completes 3.8 million-policy migration for Scottish Widows in UK’s largest insurance platform overhaul
 - In March 2026, Diligenta agreed a multi‑year, inflation‑linked pay deal (2025–2027) after around 1,000 UK staff undertook extended strike action across sites including Liverpool, Glasgow, Reading, Edinburgh, Stirling, and Peterborough</t>
  </si>
  <si>
    <t xml:space="preserve">https://www.tcs.com/who-we-are/newsroom/press-release/tcs-strengthens-partnership-aviva-uk-enhance-life-pensions-customer-experience
https://business-news-today.com/tcs-completes-3-8-million-policy-migration-for-scottish-widows-in-uks-largest-insurance-platform-overhaul/
https://www.unitetheunion.org/news-events/news/2026/march/diligenta-workers-win-pay-rise-following-successful-strike-action</t>
  </si>
  <si>
    <t xml:space="preserve">1,963,611
(Euros)</t>
  </si>
  <si>
    <t xml:space="preserve">https://eyindia.sharepoint.com/:b:/r/sites/InsuranceResearch/Shared%20Documents/Insurance%20Research/Top%2020%20UK/Indian%20Insurers%20operating%20in%20UK/Diligenta%20Annual%20Report-2024-25.pdf?csf=1&amp;web=1&amp;e=HkOQUW</t>
  </si>
  <si>
    <t xml:space="preserve">AR pg - 1666</t>
  </si>
  <si>
    <t xml:space="preserve">Neil Reynolds</t>
  </si>
  <si>
    <t xml:space="preserve">John Vanstone</t>
  </si>
  <si>
    <t xml:space="preserve"> - Insurance services provider (wholly owned subsidiary of TCS)</t>
  </si>
  <si>
    <t xml:space="preserve">HCL Insurance BPO Services Limited
</t>
  </si>
  <si>
    <t xml:space="preserve">BPO</t>
  </si>
  <si>
    <t xml:space="preserve">Jason Lewthwaite</t>
  </si>
  <si>
    <t xml:space="preserve">Udit Aggarwal</t>
  </si>
  <si>
    <t xml:space="preserve">Jun' 25 - HCL Insurance BPO Services Limited published its audited financial statements for the year ended 31 March 2025. Continued focus on outsourced insurance administration and technology‑enabled BPO services
Jun' 25 - HCLTech expands its AI partnership with US-based insurer The Standard to deliver AI-powered digital services, support IT transformation, and enhance customer experience through its AI Force platform and cloud solutions.</t>
  </si>
  <si>
    <t xml:space="preserve">https://www.hcltech.com/sites/default/files/documents/resources/pdf-landing-page/files/2025/07/07/18-HCL-Insurance-BPO-Services-Limited.pdf
https://www.financialexpress.com/business/industry-hcl-tech-expands-ai-partnership-with-us-based-insurer-the-standard-3875770/</t>
  </si>
  <si>
    <t xml:space="preserve">20090
(Pounds)</t>
  </si>
  <si>
    <t xml:space="preserve">https://eyindia.sharepoint.com/:b:/r/sites/InsuranceResearch/Shared%20Documents/Insurance%20Research/Top%2020%20UK/Indian%20Insurers%20operating%20in%20UK/HCL-Insurance-Annual%20Report%202025.pdf?csf=1&amp;web=1&amp;e=oP6dRJ</t>
  </si>
  <si>
    <t xml:space="preserve">Not publically disclosed</t>
  </si>
  <si>
    <t xml:space="preserve"> - Insurance services provider (wholly owned subsidiary of HCL)</t>
  </si>
  <si>
    <t xml:space="preserve">List of Top 20 Insurance Companies in Africa</t>
  </si>
  <si>
    <t xml:space="preserve">Life / GI</t>
  </si>
  <si>
    <t xml:space="preserve">Key Trends/News</t>
  </si>
  <si>
    <t xml:space="preserve">Turnover/Revenue Figures in M$</t>
  </si>
  <si>
    <t xml:space="preserve">Net Profit Figures in M$</t>
  </si>
  <si>
    <t xml:space="preserve">Links for Financials</t>
  </si>
  <si>
    <t xml:space="preserve">Page No for Income Statement</t>
  </si>
  <si>
    <t xml:space="preserve">Notes regarding Financial figures</t>
  </si>
  <si>
    <t xml:space="preserve">SANLAM</t>
  </si>
  <si>
    <t xml:space="preserve">South Africa</t>
  </si>
  <si>
    <t xml:space="preserve">Paul Hanratty</t>
  </si>
  <si>
    <t xml:space="preserve">1. Sanlam allianz has acquired Jubilee holdings
2. Sanlam raises its share and invests around RS 105 crore in Shriram AMC
3. Acceleration of SanlamAllianz joint venture positioning it as Africa’s largest pan-African non-bank financial services group
4. Strong FY2025 operational performance despite stake dilution in JV.
5. Sanlam Appoints Its First Group Chief AI Officer
Sanlam has made material progress integrating Assupol, with full agent migration completed, Improved productivity and retail mass‑market persistency, ongoing cost and revenue synergy extraction.The group is increasingly positioning SA as a cash‑generation and distribution hub to fund growth elsewhere in Africa</t>
  </si>
  <si>
    <t xml:space="preserve">https://thesharpdaily.com/the-sanlam-jubilee-deal/
https://www.moneycontrol.com/news/business/markets/sanlam-invests-rs-105-crore-in-shriram-amc-to-become-co-promoter-shares-surge-up-to-10-percent-13048512.html
https://timesofindia.indiatimes.com/business/india-business/sas-sanlam-to-hike-stake-in-shrirams-insurance-companies/articleshow/109075102.cms
https://businessnewsweek.in/business/sanlam-enters-indian-asset-management-market-with-strategic-investment-in-shriram-amc/
https://theinvestigatornews.com/2025/10/the-mega-merger-insurance-giants-sanlam-and-allianz-officially-unveils-launches-sanlamallianz-brand-in-uganda/
https://senspdf.jse.co.za/documents/SENS_20260305_S518047.pdf
https://www.marketscreener.com/news/sanlam-ltd-appoints-theo-mabaso-as-group-chief-ai-officer-ce7e5ed2d08df327
https://www.sanlamonline.co.za/knowledge-hub/sanlam-2025-interim-results</t>
  </si>
  <si>
    <t xml:space="preserve">https://eyindia.sharepoint.com/:b:/r/sites/InsuranceResearch/Shared%20Documents/Insurance%20Research/Top%2020%20Africa/Sanlam-AFS-2025-spreads.pdf?csf=1&amp;web=1&amp;e=QsxXiv</t>
  </si>
  <si>
    <t xml:space="preserve">Abigail Muelelwa Mukhuba</t>
  </si>
  <si>
    <t xml:space="preserve">Mlondolozi Mahlangeni</t>
  </si>
  <si>
    <t xml:space="preserve">Ashleigh Dietrich</t>
  </si>
  <si>
    <t xml:space="preserve">OLD MUTUAL LIFE INSURANCE CO./ Old Mutual Life Assurance Company (South Africa) Limited</t>
  </si>
  <si>
    <t xml:space="preserve">Jurie Strydom</t>
  </si>
  <si>
    <t xml:space="preserve">Malcolm Rapson</t>
  </si>
  <si>
    <t xml:space="preserve">1. Audit client
2. Scope of services restricted
3. Audit CommitteePre -Approval and/or IESBA Pre-concurrence Required
4. Business Relationship restriction
5. GCSP Approval required
6. Firm Loan Restrictions
7. Existing Business Relationship with the Firm
</t>
  </si>
  <si>
    <t xml:space="preserve">1. Strategic reset under new CEO Jurie Strydom focusing on African insurance and capital discipline.
2. FY2025 results show earnings recovery driven by insurance and African operations.
3. Competition Tribunal approval of annuity-related transaction with Guardrisk Life.
4. Old Mutual harnesses AI to transform customer experience in the South African mass market
Old Mutual plans to launch its bank, OM Bank, to the general public later in 2026, marking its entry into the South African banking market. The group, primarily active in insurance, aims to expand its operations and strengthen its relationship with customers through an integrated offering of financial services.</t>
  </si>
  <si>
    <t xml:space="preserve">https://www.moonstone.co.za/old-mutual-earnings-rise-as-insurance-investments-and-africa-drive-results/
https://www.oldmutual.com/investor-relations/2025-annual-results/
https://www.comptrib.co.za/info-library/press-room/merger-alert-old-mutual-life-assurance-company-south-africa-ltd-and-guardrisk-life-ltd-rights-and-obligations-pertaining-to-life-insurance-annuity-policy
https://www.oldmutual.co.za/news/old-mutual-harnesses-ai-to-transform-customer-experience-in-the-south-african-mass-market/
https://www.financialafrik.com/en/2026/03/23/old-mutual-enters-the-south-african-banking-market/</t>
  </si>
  <si>
    <t xml:space="preserve">https://eyindia.sharepoint.com/:b:/r/sites/InsuranceResearch/Shared%20Documents/Insurance%20Research/Top%2020%20Africa/OMLACSA_Financial_Statements_for_the_year_ended_31_December_2025.pdf?csf=1&amp;web=1&amp;e=WmoLoF</t>
  </si>
  <si>
    <t xml:space="preserve">Casper Troskie</t>
  </si>
  <si>
    <t xml:space="preserve">Ranen Thakurdin</t>
  </si>
  <si>
    <t xml:space="preserve">Ronel Engelbrecht</t>
  </si>
  <si>
    <t xml:space="preserve">SanlamAllianz Africa (non‑SA)</t>
  </si>
  <si>
    <t xml:space="preserve">Life &amp; General</t>
  </si>
  <si>
    <t xml:space="preserve">Pan‑Africa</t>
  </si>
  <si>
    <t xml:space="preserve">Diaw Ababacar</t>
  </si>
  <si>
    <t xml:space="preserve">1. Full‑Scale Rollout of SanlamAllianz Across 25+ African Markets
In Pan‑Africa operations, SanlamAllianz continues to successfully execute integrating the operations and realising revenue and cost synergies. On 7 April 2025, Allianz Europe BV (Allianz) concluded acquiring 8,59% in SanlamAllianz for an initial cash consideration of R4.5 billion, resulting in a final shareholding split in SanlamAllianz of 51% Sanlam and 49% Allianz.
2. Strategic Focus on High‑Growth African Markets &amp; Earnings Doubling Ambition
3. Local Market Mergers and Rebranding (Nigeria, Uganda, Namibia, East Africa)</t>
  </si>
  <si>
    <t xml:space="preserve">https://neweralive.na/sanlamallianz-expands-insurance-and-financial-services-across-africa/
https://www.sanlam.com/pdf/media-releases/2025/sanlam-strategy-16102025.pdf
https://disruptafrica.com/2025/06/19/global-continental-insurance-powerhouses-sanlam-and-allianz-merge-to-enhance-operations-in-nigeria/
https://www.sanlamonline.co.za/knowledge-hub/sanlam-2025-interim-results</t>
  </si>
  <si>
    <t xml:space="preserve">https://www.sanlam.com/downloads/integrated-report-and-annual-financial-statements/2025/Sanlam-AFS-2025-spreads.pdf</t>
  </si>
  <si>
    <t xml:space="preserve">Nelius Bezuidenhout</t>
  </si>
  <si>
    <t xml:space="preserve">Ingrid Gollo</t>
  </si>
  <si>
    <t xml:space="preserve">DISCOVERY HEALTH</t>
  </si>
  <si>
    <t xml:space="preserve">Dr Ronald Whelan</t>
  </si>
  <si>
    <t xml:space="preserve">Heather Orton</t>
  </si>
  <si>
    <t xml:space="preserve">1. Claims processing error in 2025 leading to regulatory and reputational impact.
2. Record profitability driven by AI-based health analytics and shared-value model.
3. Expansion of employer and cross-border healthcare solutions in Africa.
Jan' 2026 - Discovery Health reversed recovery demands tied to a ~R125 million billing error affecting 16,507 members, following media exposure and a Council for Medical Schemes (CMS) probe. Discovery committed to refunds and confirmed no adverse 2026 benefit impact for affected members. (Regulator probe, public uproar spare 16,507 Discovery Health members from R125m billing error)</t>
  </si>
  <si>
    <t xml:space="preserve">https://www.iol.co.za/business/2026-01-06-discovery-health-members-face-financial-shock-due-to-medical-aid-error
https://www.fanews.co.za/article/company-news-results/1/discovery/1051/discovery-delivers-strong-interim-performance-as-the-shared-value-model-accelerates-growth-and-ai-unlocks-a-new-phase-of-hyper-personalised-engagement/43464
https://www.fanews.co.za/article/company-news-results/1/discovery/1051/vitality-health-international-africa-changes-its-name-to-discovery-health-global-health-solutions/43423
https://www.dailymaverick.co.za/article/2026-01-12-regulator-probe-public-uproar-spare-16506507-discovery-health-members-from-r125m/</t>
  </si>
  <si>
    <t xml:space="preserve">https://eyindia.sharepoint.com/:b:/r/sites/InsuranceResearch/Shared%20Documents/Insurance%20Research/Top%2020%20Africa/discovery-health-afs-30-june-2025.pdf?csf=1&amp;web=1&amp;e=y3IFgO</t>
  </si>
  <si>
    <t xml:space="preserve">Joy Malete</t>
  </si>
  <si>
    <t xml:space="preserve">Senele Mbatha</t>
  </si>
  <si>
    <t xml:space="preserve">Johan Fourie</t>
  </si>
  <si>
    <t xml:space="preserve">MOMENTUM METROPOLITAN HOLDINGS</t>
  </si>
  <si>
    <t xml:space="preserve">Life and GI</t>
  </si>
  <si>
    <t xml:space="preserve">Jeanette Marais</t>
  </si>
  <si>
    <t xml:space="preserve">Christo Du Toit</t>
  </si>
  <si>
    <t xml:space="preserve">1. Audit client
2.Scope of services restricted
3. Audit CommitteePre -Approval and/or IESBA Pre-concurrence Required
4. GCSP Approval Required
5. Business Relationship restriction
6. Firm Loan Restrictions</t>
  </si>
  <si>
    <t xml:space="preserve">1. Completion of IFRS-17 transition reshaping earnings and capital metrics.
2. Improved new business volumes and underwriting performance in FY2026 Q1.
3. Governance and leadership updates supporting long-term African strategy.
The company successfully completed a massive systems migration involving three biggest businesses, namely Momentum Retail, Metropolitan and Africa. This project not only saves more than R100 million per year, but it is also a building block towards minimising risk and improving client experience.</t>
  </si>
  <si>
    <t xml:space="preserve">https://www.listcorp.com/jse/mtm/momentum-metropolitan-holdings/news/operating-update-for-the-three-months-ended-30-september-2025-3279259.html
https://www.momentumgroupltd.co.za/remote-assets/s3/clt_mmh_s3/docs/annual-res-2025/momentum-metropolitan-life-annual-financial-statements-f2025.pdf
https://citywire.com/za/news/company/momentum/j74686
https://www.metropolitan.co.za/press-releases/articles/Momentum-Group-delivers-record-earnings/</t>
  </si>
  <si>
    <t xml:space="preserve">https://eyindia.sharepoint.com/:b:/r/sites/InsuranceResearch/Shared%20Documents/Insurance%20Research/Top%2020%20Africa/momentum-metropolitan-life-annual-financial-statements-f2025.pdf?csf=1&amp;web=1&amp;e=m4gdLR</t>
  </si>
  <si>
    <t xml:space="preserve">Thando Sompeta</t>
  </si>
  <si>
    <t xml:space="preserve">Jan Lubbe</t>
  </si>
  <si>
    <t xml:space="preserve">Otsile Sehularo</t>
  </si>
  <si>
    <t xml:space="preserve">SANTAM</t>
  </si>
  <si>
    <t xml:space="preserve">Tavaziva Madzinga</t>
  </si>
  <si>
    <t xml:space="preserve">1. Record FY2025 underwriting profitability with margins above targets.
2. Launch of Santam Syndicate 1918 at Lloyd’s in January 2026.
3. Heightened focus on climate and infrastructure risk highlighted in 2025 Insurance Barometer.
Santam completed the transaction to acquire the 60% A1 ordinary shares in NMS Insurance Services South Africa Limited from Sanlam Life for R925 million, effective on 2 May 2025.
Feb'26 - Santam, South Africa’s largest short-term insurer, has been granted a licence to establish a reinsurance branch office at the Gujarat International Finance Tec-City (GIFT City), India’s first operational greenfield smart city and International Financial Services Centre (IFSC).</t>
  </si>
  <si>
    <t xml:space="preserve">https://www.santam.com/about-us/media-centre/investor-news/santam-delivers-strong-performance-for-2025-financial-year/
https://www.insurancebusinessmag.com/uk/news/breaking-news/santam-posts-strong-2025-results-eyes-global-growth-567916.aspx
https://www.fanews.co.za/article/surveys-reports-and-ratings/34/general/1195/santam-2025-insurance-barometer-highlights-ongoing-socioeconomic-infrastructure-and-climate-change-risks/41924
https://www.sanlamonline.co.za/knowledge-hub/sanlam-2025-interim-results
https://www.fanews.co.za/article/company-news-results/1/santam/1048/santam-group-granted-licence-to-establish-operations-in-india-s-global-finance-hub/43390</t>
  </si>
  <si>
    <t xml:space="preserve">https://eyindia.sharepoint.com/:b:/r/sites/InsuranceResearch/Shared%20Documents/Insurance%20Research/Top%2020%20Africa/Santam%20Limited%202025-financial-statements.pdf?csf=1&amp;web=1&amp;e=0Wv0T3</t>
  </si>
  <si>
    <t xml:space="preserve">Wikus Olivier</t>
  </si>
  <si>
    <t xml:space="preserve">Charisse Ras</t>
  </si>
  <si>
    <t xml:space="preserve">Helen Toit</t>
  </si>
  <si>
    <t xml:space="preserve">LIBERTY HOLDINGS
(wholly owned subsidiary of Standard Bank Group)</t>
  </si>
  <si>
    <t xml:space="preserve">Yuresh Maharaj</t>
  </si>
  <si>
    <t xml:space="preserve">Ranesh Hariparsad</t>
  </si>
  <si>
    <t xml:space="preserve">1. Audit client
2.Scope of services restricted
3. Audit CommitteePre -Approval and/or IESBA Pre-concurrence Required
4. GCSP Approval Required
5. Business Relationship restriction
6. Firm Loan Restrictions
7. Consultation Required
8. Existing lender to Firm
9. Existing business relationship with Firm</t>
  </si>
  <si>
    <t xml:space="preserve">1. Mixed performance across African subsidiaries, especially Kenya.
2. Simplification through disposal of non-core East African operations.
3. Post-Standard Bank integration phase with FY2025 stabilisation.
Liberty had reunited over 7,000 beneficiaries with ~R130m in benefits, supporting regulatory and ESG objectives while improving trust in the insurance system. Liberty’s combined approach of traditional and digital tracing is delivering tangible results part of a nationwide initiative to help beneficiaries trace and claim their unclaimed funds.</t>
  </si>
  <si>
    <t xml:space="preserve">https://africanfinancials.com/document/ke-lbty-2025-ab-00/
https://tradingroom.co.ke/liberty-kenya-reports-profit-decline-in-fy-2025/
https://www.libertyholdings.co.za/results-and-reports
https://www.msn.com/en-za/news/other/liberty-reunites-7-000-beneficiaries-with-r130m-using-innovative-tracing-methods/ar-AA1QLDYs</t>
  </si>
  <si>
    <t xml:space="preserve">https://eyindia.sharepoint.com/:b:/r/sites/InsuranceResearch/Shared%20Documents/Insurance%20Research/Top%2020%20Africa/31122025-liberty-group-limited-afs-2025.pdf?csf=1&amp;web=1&amp;e=zhJ1bE</t>
  </si>
  <si>
    <t xml:space="preserve">Willa van den Berg FASSA</t>
  </si>
  <si>
    <t xml:space="preserve">Philip Harrison</t>
  </si>
  <si>
    <t xml:space="preserve">Seleka Morwe</t>
  </si>
  <si>
    <t xml:space="preserve">RMH HOLDINGS</t>
  </si>
  <si>
    <t xml:space="preserve">Brian Roberts</t>
  </si>
  <si>
    <t xml:space="preserve">1. Scope of service restrictions
2.  GCSP Approval
3. Business Relationship restricted
4. Firm Loan Restrictions</t>
  </si>
  <si>
    <t xml:space="preserve">1. Completion of strategic simplification into a near pure‑play OUTsurance investment, with OUTsurance representing the vast majority of group value.</t>
  </si>
  <si>
    <t xml:space="preserve">https://dailyinvestor.com/finance/93584/south-africas-best-known-insurance-company-shooting-the-lights-out/</t>
  </si>
  <si>
    <t xml:space="preserve">https://eyindia.sharepoint.com/:b:/r/sites/InsuranceResearch/Shared%20Documents/Insurance%20Research/Top%2020%20Africa/RMH-Audited-financial-Statements-2025.pdf?csf=1&amp;web=1&amp;e=rvckya</t>
  </si>
  <si>
    <t xml:space="preserve">Ellen Marais</t>
  </si>
  <si>
    <t xml:space="preserve">Not publicly disclosed</t>
  </si>
  <si>
    <t xml:space="preserve">Ms. Mamogae Mahlare</t>
  </si>
  <si>
    <t xml:space="preserve">MUNICH REINSURANCE CO. OF AFRICA</t>
  </si>
  <si>
    <t xml:space="preserve">Reinsu</t>
  </si>
  <si>
    <t xml:space="preserve">Walter Voigts-von-Forster</t>
  </si>
  <si>
    <t xml:space="preserve">Claus-Peter Wagner</t>
  </si>
  <si>
    <t xml:space="preserve">1. Audit client
2. Scope of services restricted
3. ACPA and/or IESBA Pre-concurrence Required
4. GCSP Approval Required
5. Business Relationship restriction
6. Firm Loan Restrictions
7. Consultation Required</t>
  </si>
  <si>
    <t xml:space="preserve">1. CEO transition announced for Africa branch effective Feb 2026.
2. Reaffirmation of long-term commitment to African reinsurance markets.
3. Alignment with global climate and structured reinsurance strategy.
Oct' 25 - The South African Prudential Authority withdrew the licence of Munich Reinsurance Company of Africa Ltd with effect 10 October 2025, under section 29 of the Insurance Act, 2017. The withdrawal reflects a group structural simplification, not a market exit: Munich Re continues African operations via its Africa Branch model rather than the locally incorporated insurer.
Mar'26 - Specialty insurance underwriter, iTOO Special Risks, in partnership with global reinsurer Munich Re, has announced the launch of aiSure, a pioneering artificial intelligence (AI) performance insurance solution in the South African market.</t>
  </si>
  <si>
    <t xml:space="preserve">https://www.munichre.com/en/company/media-relations/media-information-and-corporate-news/business-news/2025/business-news-2025-09-15.html
https://www.reinsurancene.ws/walter-voigts-von-forster-named-ceo-of-munich-re-africa-branch/
https://www.resbank.co.za/en/home/publications/prudential-authority
https://www.insurancebusinessmag.com/reinsurance/news/breaking-news/walter-voigtsvon-forster-appointed-ceo-of-munich-re-africa-549806.aspx
https://www.fanews.co.za/article/company-news-results/1/general/1056/itoo-special-risks-launches-africa-s-first-ai-performance-insurance-in-partnership-with-munich-re/43563</t>
  </si>
  <si>
    <t xml:space="preserve"> </t>
  </si>
  <si>
    <t xml:space="preserve">https://eyindia.sharepoint.com/:b:/r/sites/InsuranceResearch/Shared%20Documents/Insurance%20Research/Top%2020%20Africa/MunichRe-Group-Annual-Report-2025-en.pdf?csf=1&amp;web=1&amp;e=8RwMZe</t>
  </si>
  <si>
    <t xml:space="preserve">Andrew Buchanan</t>
  </si>
  <si>
    <t xml:space="preserve">Niraj Shah</t>
  </si>
  <si>
    <t xml:space="preserve">Monogran Naidoo</t>
  </si>
  <si>
    <t xml:space="preserve">AFRICAN REINSURANCE CORP./
AFRICAN REINSURANCE CORPORATION SOUTH AFRICA LTD</t>
  </si>
  <si>
    <t xml:space="preserve">Corneille Karekezi</t>
  </si>
  <si>
    <t xml:space="preserve">Jamiu Olakisan</t>
  </si>
  <si>
    <t xml:space="preserve">Nil</t>
  </si>
  <si>
    <t xml:space="preserve">1. Record premium growth and profitability through 2025.
2. Strengthening African risk-retention and facultative reinsurance capacity.
3. Resilience shown amid currency volatility and catastrophe losses.</t>
  </si>
  <si>
    <t xml:space="preserve">https://www.businessinsurance.com/africa-res-profits-climb-20/
https://punchng.com/africa-re-posts-644-30m-h1-gross-written-premium/
https://apanews.net/africa-re-posts-22-5m-profit-for-q1-of-2025/</t>
  </si>
  <si>
    <t xml:space="preserve">USD 1200.3</t>
  </si>
  <si>
    <t xml:space="preserve">USD 132.9</t>
  </si>
  <si>
    <t xml:space="preserve">https://www.africa-re.com/uploads/content/download_translation/download/e2594192-5ff9-4cd7-b60d-fcd713e723d5.pdf</t>
  </si>
  <si>
    <t xml:space="preserve">Nonte Nzimakwe</t>
  </si>
  <si>
    <t xml:space="preserve">Yvonne Palm</t>
  </si>
  <si>
    <t xml:space="preserve">Jean-Paul Tankeu</t>
  </si>
  <si>
    <t xml:space="preserve">HANNOVER RE GROUP AFRICA</t>
  </si>
  <si>
    <t xml:space="preserve">Paul Carragher</t>
  </si>
  <si>
    <t xml:space="preserve">Maximilian Weber</t>
  </si>
  <si>
    <t xml:space="preserve">1. GCSP Approval
2. Business Relationship restriction
3. Firm Loan Restrictions</t>
  </si>
  <si>
    <t xml:space="preserve">1. Hannover Re Confirms Strong Africa‑Relevant Growth Amid Global Reinsurance Tightness. Unlike some global peers that have shifted to branch‑only models, Hannover Re South Africa remains a locally licensed composite reinsurer, consolidating life and non‑life licences under South Africa’s Insurance Act regime. This positioning contrasts with Munich Re’s licence withdrawal in 2025 and reinforces Hannover Re’s image as a “local‑long‑term” reinsurer in South Africa.
2. Hannover Re Affirms Climate Risk &amp; Catastrophe Focus — Critical for African Markets
Nov'25 - Hannover Re South Africa showcased a pharmacogenomics pilot at the Actuarial Society of South Africa (ASSA) Convention. The pilot explores genetic testing to optimise mental‑health treatment outcomes, improving claims experience, customer outcomes and cost efficiency.</t>
  </si>
  <si>
    <t xml:space="preserve">https://www.hannover-re.com/en/news/2026/hannover-re-increases-earnings-and-dividend-reinforces-sustained-profitability-significantly/
https://www.ainvest.com/news/hannover-ck-se-strategic-resilience-shareholder-climate-driven-reinsurance-landscape-2510/
https://www.linkedin.com/feed/update/urn:li:activity:7397634922552766464/</t>
  </si>
  <si>
    <t xml:space="preserve">https://assets.hannover-re.com/asset/533267266226/document_vm5644i6q91ol8khnekpbcrt3s/2025_GBKonzern_e.pdf?content-disposition=inline</t>
  </si>
  <si>
    <t xml:space="preserve">It’s a consolidated annual report, where in page 163, location wise revenue is mentioned</t>
  </si>
  <si>
    <t xml:space="preserve">Clemens Jungsthöfel</t>
  </si>
  <si>
    <t xml:space="preserve">Susan Atkinson</t>
  </si>
  <si>
    <t xml:space="preserve">Donovan Herman</t>
  </si>
  <si>
    <t xml:space="preserve">ALLIANZ AFRICA</t>
  </si>
  <si>
    <t xml:space="preserve">Delphine Traoré</t>
  </si>
  <si>
    <t xml:space="preserve">1. GCSP Approval
2. Consultation required
3. Firm Loan Restrictions</t>
  </si>
  <si>
    <t xml:space="preserve">1. On June 10 2025, Sanlam and Allianz merged their Nigerian operations, launching the brand SanlamAllianz Nigeria as part of their wider Pan-African joint-venture strategy.
2. Allianz Reshapes EMEA Leadership to Drive Commercial Growth
3. New investments and tie-ups as insurers target rising incomes in Africa
Allianz operates in South Africa outside the SanlamAllianz pan‑African joint venture. South Africa is explicitly excluded from the SanlamAllianz JV agreement between Allianz SE and Sanlam. Allianz therefore continues to operate in South Africa through:
Allianz Commercial (Global Corporate &amp; Specialty)
Allianz Trade (credit insurance, former Euler Hermes)
This makes South Africa a standalone strategic market for Allianz Group, separate from its broader Africa expansion strategy via SanlamAllianz.</t>
  </si>
  <si>
    <t xml:space="preserve">https://techcabal.com/2025/06/10/sanlam-and-allianz-merge-nigerian-operations/?utm.com
https://www.newscase.com/allianz-reshapes-emea-leadership-to-drive-commercial-growth/
https://theafricanmirror.africa/business/new-investments-and-tie-ups-as-insurers-target-rising-incomes-in-africa/</t>
  </si>
  <si>
    <t xml:space="preserve">https://www.allianz.com/en/investor_relations/results-reports/financial-statements.html</t>
  </si>
  <si>
    <t xml:space="preserve">Allianz Africa didn't have individual turnover and profit figures available, figures mentioned is given by Copilot</t>
  </si>
  <si>
    <t xml:space="preserve">Anton Kolbe</t>
  </si>
  <si>
    <t xml:space="preserve">Anita Smit</t>
  </si>
  <si>
    <t xml:space="preserve">Isaac Adomako</t>
  </si>
  <si>
    <t xml:space="preserve">AXA Afrique Atlantique</t>
  </si>
  <si>
    <t xml:space="preserve">Morocco</t>
  </si>
  <si>
    <t xml:space="preserve">Gilles Fromageot</t>
  </si>
  <si>
    <t xml:space="preserve">1. Creation of AXA Afrique Atlantique with Casablanca as Regional Hub
2. Shift Toward Centralised Governance and Shared Services in Africa
3. Data &amp; AI‑Driven Transformation of Insurance Operations
AXA Afrique Atlantique, launched in late 2025 and operationalised in early 2026, is a regional structure covering only Morocco, Senegal, Côte d’Ivoire, Cameroon, Gabon. South Africa is explicitly outside the scope of AXA Afrique Atlantique’s mandate, governance, licensing, and commercial activities.</t>
  </si>
  <si>
    <t xml:space="preserve">https://www.moroccoworldnews.com/2026/03/282141/axa-makes-casablanca-hub-of-new-atlantic-africa-insurance-region/
https://businessfinanceint.com/lassureur-axa-centralise-la-gouvernance-de-ses-marches-en-afrique/
https://news.frontierafricareports.com/article/axa-makes-casablanca-hub-of-new-atlantic-africa-insurance-region</t>
  </si>
  <si>
    <t xml:space="preserve">https://www.atlas-mag.net/en/articles/axa-2025-results</t>
  </si>
  <si>
    <t xml:space="preserve">The link pasted in Column M, It is belongs to the financial figures of group and not AXA Afrique Atlantique only, We have the consolidated financial for 2024 but in that as well it is not available (Refer Cell "M20" for Financials)</t>
  </si>
  <si>
    <t xml:space="preserve">Nicolas Barsky</t>
  </si>
  <si>
    <t xml:space="preserve">Ghoufrane Benhamou</t>
  </si>
  <si>
    <t xml:space="preserve">WAFA ASSURANCE</t>
  </si>
  <si>
    <t xml:space="preserve">Boubker Jaï</t>
  </si>
  <si>
    <t xml:space="preserve">Abdeslam BERRADA ALLAM</t>
  </si>
  <si>
    <t xml:space="preserve">1. Scope of services restricted
2. GCSP Approval
3. Business Relationship restriction
4. Firm Loan Restrictions
5. Existing Lender to the Firm</t>
  </si>
  <si>
    <t xml:space="preserve">1. Wafa Assurance has offered to acquire 51% of Egypt’s Delta Insurance for EGP 5 billion (~$317 million) at EGP 40/share, with Egypt Kuwait Holding selling its 63.4% stake. The deal, pending regulatory approval, expands Wafa’s presence in Egypt’s low-penetration insurance market.
2. Wafa Assurance’s $317 Million Delta Insurance Bid Sparks Concerns for Kenya’s Insurance Sector</t>
  </si>
  <si>
    <t xml:space="preserve">Morocco’s Wafa Assurance Launches Takeover Bid for Egypt’s Delta Insurance - Ecofin Agency
https://serrarigroup.com/wafa-assurances-317-million-delta-insurance-bid-sparks-concerns-for-kenyas-insurance-sector/</t>
  </si>
  <si>
    <t xml:space="preserve">https://www.atlas-mag.net/en/articles/wafa-assurance-2025-results</t>
  </si>
  <si>
    <t xml:space="preserve">Gail Meneghin</t>
  </si>
  <si>
    <t xml:space="preserve">El Ouali Mohamed</t>
  </si>
  <si>
    <t xml:space="preserve">Abdul-Wahab Ahmed Abed</t>
  </si>
  <si>
    <t xml:space="preserve">ROYALE MAROCAINE D'ASSURANCE</t>
  </si>
  <si>
    <t xml:space="preserve">Tawfiq Drhimeur</t>
  </si>
  <si>
    <t xml:space="preserve">Zouhair BENKIRANE</t>
  </si>
  <si>
    <t xml:space="preserve">1. Audit client
2. Scope of services restricted
3. ACPA and/or IESBA Pre-concurrence Required
4. GCSP Approval Required
5. Business Relationship restriction
6. Firm Loan Restrictions
7. Existing lender to Firm</t>
  </si>
  <si>
    <t xml:space="preserve">1. RMA signs strategic InsurTech partnership with UM6P
2. Bancassurance Shift: Banks Overtake Brokers – RMA Positioned as a Key Beneficiary</t>
  </si>
  <si>
    <t xml:space="preserve">https://www.linkedin.com/posts/morocco-world-news_morocco-um6p-rma-activity-7449749364429737984-kOjk
https://en.7news.ma/moroccan-banks-overtake-brokers-in-insurance-sales-for-the-first-time/</t>
  </si>
  <si>
    <t xml:space="preserve">file:///C:/Users/GY357SQ/Downloads/rapport_annuel_rma_2023.pdf</t>
  </si>
  <si>
    <t xml:space="preserve">The financials are only available in French language, Whose link is also pasted in M column, The figures are given by Copilot which is approximate figures for Africa</t>
  </si>
  <si>
    <t xml:space="preserve">Sofia Slaoui</t>
  </si>
  <si>
    <t xml:space="preserve">Nazik Araki</t>
  </si>
  <si>
    <t xml:space="preserve">MUTUELLE ATTAMINE CHAABI</t>
  </si>
  <si>
    <t xml:space="preserve">Hicham Belmrah </t>
  </si>
  <si>
    <t xml:space="preserve">1. Mutuelle Attamine Chaabi Emerges as Morocco’s Largest Bancassurance Insurer
2. Mutuelle Attamine Chaabi Highlighted as a Core Player in Africa’s Insurance Scale‑Up Context</t>
  </si>
  <si>
    <t xml:space="preserve">https://www.meinsurancereview.com/Magazine/ReadMagazineArticle?aid=60089
https://www.meinsurancereview.com/Magazine/ReadMagazineArticle?aid=39646</t>
  </si>
  <si>
    <t xml:space="preserve">USD 748</t>
  </si>
  <si>
    <t xml:space="preserve">https://www.atlas-mag.net/en/articles/ranking-moroccan-insurers-according-2024-turnover-0</t>
  </si>
  <si>
    <t xml:space="preserve">MUTUELLE ATTAMINE CHAABI is not required to public their financials, hence we could'nt get the turnover and profit info. All the links available required purchase, one who pasted in M column as well, hence figure written in the K column is the old figure</t>
  </si>
  <si>
    <t xml:space="preserve">Hicham Belmrah</t>
  </si>
  <si>
    <t xml:space="preserve">Khalid Boussaid</t>
  </si>
  <si>
    <t xml:space="preserve">SANLAM ASSURANCE MOROCCO</t>
  </si>
  <si>
    <t xml:space="preserve">Betty Sayinzoga</t>
  </si>
  <si>
    <t xml:space="preserve">1. Sanlam Morocco to Absorb Allianz Morocco in a Landmark Insurance Mega‑Merger
2. Sanlam Morocco Posts Strong 2025 Profit as It Shifts Focus From Volume to Profitability
3. Sanlam Morocco Invests $2.2 Million in Digital Retail Platform to Expand Financial Inclusion</t>
  </si>
  <si>
    <t xml:space="preserve">https://www.moroccoworldnews.com/2026/03/282609/sanlam-maroc-to-absorb-allianz-maroc-in-insurance-mega-merger/
https://www.financialafrik.com/en/2026/02/12/sanlam-morocco-announces-an-increase-in-profit-and-a-decrease-in-revenue-in-2025/
https://www.billionaires.africa/2025/12/29/sanlam-partly-owned-by-patrice-motsepe-invests-2-2-million-in-moroccan-startup/</t>
  </si>
  <si>
    <t xml:space="preserve">USD 678.9</t>
  </si>
  <si>
    <t xml:space="preserve">USD 49.4</t>
  </si>
  <si>
    <t xml:space="preserve">https://www.financialafrik.com/en/2026/02/12/sanlam-morocco-announces-an-increase-in-profit-and-a-decrease-in-revenue-in-2025/</t>
  </si>
  <si>
    <t xml:space="preserve">Lova Ramanandraibe</t>
  </si>
  <si>
    <t xml:space="preserve">Lotz Mahlangeni</t>
  </si>
  <si>
    <t xml:space="preserve">ATLANTASANAD ASSURANCE</t>
  </si>
  <si>
    <t xml:space="preserve">Mr. Mohamed Hassan Bensalah</t>
  </si>
  <si>
    <t xml:space="preserve">1. AtlantaSanad Assurance Launches Morocco’s First AI-Powered Insurance Assistant “Assia”. Management explicitly framed Assia as a core pillar of customer‑experience transformation, not just a chatbot
2. Exclusive Bancassurance Partnership With Crédit du Maroc Strengthens Market Position effective January 1, 2025, adding a major new distribution channel</t>
  </si>
  <si>
    <t xml:space="preserve">https://thegulfobserver.com/atlantasanad-assurance-launches-moroccos-first-ai-powered-insurance-assistant-assia/
https://thedigitalbanker.com/credit-du-maroc-atlantasanad-team-up-to-expand-insurance-and-savings-offerings/</t>
  </si>
  <si>
    <t xml:space="preserve">USD 657.5</t>
  </si>
  <si>
    <t xml:space="preserve">USD 46.6</t>
  </si>
  <si>
    <t xml:space="preserve">https://www.atlas-mag.net/en/articles/atlantasanad-turnover-increase-2025
https://www.financialafrik.com/en/2026/03/17/morocco-atlantasanad-assurance-reports-a-profit-of-46-6-million-dollars-in-2025/</t>
  </si>
  <si>
    <t xml:space="preserve">In the first link article regarding the turnover is there whereas in 2nd link, article regarding the profit is there. Financials are available but not in English Language</t>
  </si>
  <si>
    <t xml:space="preserve">Tate Anderson</t>
  </si>
  <si>
    <t xml:space="preserve">Yasmine Essahel</t>
  </si>
  <si>
    <t xml:space="preserve">HOLLARD INSURANCE</t>
  </si>
  <si>
    <t xml:space="preserve">Andrew Coutts</t>
  </si>
  <si>
    <t xml:space="preserve">Avendth Tilakdari</t>
  </si>
  <si>
    <t xml:space="preserve">1. Hollard Insurance expanded its African footprint by acquiring Absa Life Botswana and Global Alliance Seguros (Mozambique), reporting strong growth and solvency in Mozambique.
2. Hollard unveils a new brand repositioning strategy as Hollard International expands into the continent
Sep' 25 - Hollard and specialist unit iTOO Special Risks advanced their role in insuring Africa’s green transition through the Tokio Marine GX (TMGX) platform.</t>
  </si>
  <si>
    <t xml:space="preserve">https://www.fanews.co.za/article/company-news-results/1/hollard/1301/hollard-international-deepens-its-africa-expansion-strategy-as-the-insurer-acquires-absa-s-life-insurance-businesses-in-mozambique-and-botswana/41584
https://www.fanews.co.za/article/company-news-results/1/hollard/1301/hollard-unveils-a-new-brand-repositioning-strategy-as-hollard-international-expands-into-the-continent/40056
https://www.fanews.co.za/article/company-news-results/1/hollard/1301/hollard-and-specialist-partner-itoo-special-risks-poised-to-offer-world-class-green-transition-in-africa/42503</t>
  </si>
  <si>
    <t xml:space="preserve">AUD 2434</t>
  </si>
  <si>
    <t xml:space="preserve">AUD 166</t>
  </si>
  <si>
    <t xml:space="preserve">https://www.hollard.com.au/media/jxyfchit/hic-financial-statement-20250630.pdf</t>
  </si>
  <si>
    <t xml:space="preserve">Hollard Insurance is having Consolidated Financials available which belongs to Australia</t>
  </si>
  <si>
    <t xml:space="preserve">Dirk Viljoen</t>
  </si>
  <si>
    <t xml:space="preserve">Lovashnee Forte</t>
  </si>
  <si>
    <t xml:space="preserve">Group Internal Audit</t>
  </si>
  <si>
    <t xml:space="preserve">METROPOLITAN LIFE</t>
  </si>
  <si>
    <t xml:space="preserve">Peter Tshiguvho</t>
  </si>
  <si>
    <t xml:space="preserve">1. Scope of service restrictions
2. ACPA and/or IESBA Pre-concurrence Required
3. GCSP Approval
4. Business Relationship restricted
5. Firm Loan Restrictions</t>
  </si>
  <si>
    <t xml:space="preserve">1. Metropolitan Life Wins Top Funeral Category at ASK AFRICA Orange Index Awards 2025
2. Momentum Group Delivers Record FY2025 Earnings, with Strong Contribution from Metropolitan Life
3. CIO of Metropolitan Life Nominated for 2025 CIO Awards, Highlighting Africa‑Led Digital Transformation
 - Completion of a major systems migration across Momentum Retail, Metropolitan and African operations, expected to save &gt;R100m annually
 - Recognised for fast claims settlement, with valid claims paid in as little as four hours via WhatsApp
- Metropolitan Collective Shapers programme rolled out nationally, supporting youth entrepreneurs in logistics, agriculture and informal‑to‑formal SMEs.  These programmes strengthen brand trust, pipeline development, and inclusion‑linked growth.</t>
  </si>
  <si>
    <t xml:space="preserve">https://www.metropolitan.co.za/press-releases/articles/ASK-AFRICA-Orange-Index-Awards/
https://www.metropolitan.co.za/press-releases/articles/Momentum-Group-delivers-record-earnings/
https://www.metropolitan.co.za/press-releases/articles/Momentum-Group-delivers-record-earnings/
https://cio-sa.co.za/articles/metropolitan-life-cio-irwhan-rakiep-nominated-for-2025-cio-awards/
https://www.metropolitan.co.za/news/articles/Farmers-weekly-Article/</t>
  </si>
  <si>
    <t xml:space="preserve">R 6187</t>
  </si>
  <si>
    <t xml:space="preserve">R 868</t>
  </si>
  <si>
    <t xml:space="preserve">file:///C:/Users/GY357SQ/Downloads/momentum-group-f2025-annual-financial-statements.pdf</t>
  </si>
  <si>
    <t xml:space="preserve">The link pasted is of Consolidated financials, whereas in page 47 you can find the profit and loss of Metropolitian Life</t>
  </si>
  <si>
    <t xml:space="preserve">Reordered Top 20 List above</t>
  </si>
  <si>
    <t xml:space="preserve">AXA ASSURANCE MOROCCO</t>
  </si>
  <si>
    <t xml:space="preserve">Patrick Menard</t>
  </si>
  <si>
    <t xml:space="preserve">1. AXA Makes Morocco the Headquarters of Its New “Atlantic Africa” Insurance Region
2. AXA Assurance Maroc Sells 80% of AXA Crédit to Focus on Core Insurance</t>
  </si>
  <si>
    <t xml:space="preserve">https://www.moroccoworldnews.com/2026/03/282141/axa-makes-casablanca-hub-of-new-atlantic-africa-insurance-region/
https://www.african-markets.com/en/stock-markets/bvc/stellantis-finalizes-acquisition-of-axa-credit-majority-stake-from-axa-assurance-maroc</t>
  </si>
  <si>
    <t xml:space="preserve">https://www-axa-com.cdn.prismic.io/www-axa-com/ab1gEB5fn6DF3CqE_axa_urd2025_accessible_va.pdf</t>
  </si>
  <si>
    <t xml:space="preserve">In the given link, the financials are of group not individual company, whereas in page 39 revenue figures are given as per location, but it combined Asia, Africa and EME‑LATAM, hence we didn't change the original figure of revenue in Column K</t>
  </si>
  <si>
    <t xml:space="preserve">Imane Feriati</t>
  </si>
  <si>
    <t xml:space="preserve">MISR INSURANCE CO.</t>
  </si>
  <si>
    <t xml:space="preserve">Omar Gouda</t>
  </si>
  <si>
    <t xml:space="preserve">1. Record profits reinforcing position as Egypt’s largest insurer.
2. Strategic infrastructure and real-estate insurance partnerships backed by FRA.
3. Fitch affirmation of AAA (egy) national insurer strength rating.</t>
  </si>
  <si>
    <t xml:space="preserve">https://www.businessinsurance.com/egypts-largest-insurers-posts-record-profit/
https://www.dailynewsegypt.com/2025/08/31/stm-investment-misr-insurance-sign-protocol-to-provide-comprehensive-project-coverage/
https://www.fitchratings.com/research/insurance/fitch-affirms-misr-insurance-company-national-ifs-rating-at-aaa-egy-12-11-2025</t>
  </si>
  <si>
    <t xml:space="preserve">https://www.businessinsurance.com/egypts-largest-insurers-posts-record-profit/</t>
  </si>
  <si>
    <t xml:space="preserve">Moustafa Elkamash</t>
  </si>
  <si>
    <t xml:space="preserve">Ashraf Tolba</t>
  </si>
  <si>
    <t xml:space="preserve">MAMDA‑MCMA Group</t>
  </si>
  <si>
    <t xml:space="preserve">Mutual / General</t>
  </si>
  <si>
    <t xml:space="preserve">Hakim Hassani</t>
  </si>
  <si>
    <t xml:space="preserve">1. MAMDA Recognized as a Cornerstone of Africa’s Largest Public‑Private Agricultural Climate Insurance Program
2. MAMDA‑MCMA Highlighted as a Systemically Important Insurer in Morocco’s Financial Stability Framework</t>
  </si>
  <si>
    <t xml:space="preserve">https://www.archyde.com/moroccan-climate-insurance-success-story-mamdas-role-in-agricultural-risk-management/
https://www.fma.org.ma/wp-content/uploads/2025/06/juin-2025-en.pdf</t>
  </si>
  <si>
    <t xml:space="preserve">&gt;11000</t>
  </si>
  <si>
    <t xml:space="preserve">https://www.mamda-mcma.ma/qui-sommes-nous/chiffres-cles</t>
  </si>
  <si>
    <t xml:space="preserve">We couldn't able to find any financials or document for MAMDA‑MCMA Group, but the link pasted in M column mentioned that the company is having a turnover of over 11000 millions</t>
  </si>
  <si>
    <t xml:space="preserve">Badaoui Khalid</t>
  </si>
  <si>
    <t xml:space="preserve">Khalid Badaoui</t>
  </si>
  <si>
    <t xml:space="preserve">Continental Reinsurance Plc</t>
  </si>
  <si>
    <t xml:space="preserve">Reinsurance</t>
  </si>
  <si>
    <t xml:space="preserve">Nigeria</t>
  </si>
  <si>
    <t xml:space="preserve">Dr. Fatai Kayode Lawal</t>
  </si>
  <si>
    <t xml:space="preserve">1. Continental Reinsurance Completes Major Pan‑African Restructuring into a Holding Company
2. Strong Premium Growth but Profit Volatility Amid FX and Catastrophe Losses
3. AM Best Reaffirms Credit Ratings, Citing Strong Capitalisation and Pan‑African Diversification</t>
  </si>
  <si>
    <t xml:space="preserve">https://www.insurancebusinessmag.com/reinsurance/news/breaking-news/continental-reinsurance-restructures-with-new-holdings-and-nigeria-leaders-537209.aspx
https://www.continental-re.com/investor-relations/
https://secure.businesswire.com/news/home/20251204551323/en/AM-Best-Affirms-Credit-Ratings-of-Continental-Reinsurance-Plc</t>
  </si>
  <si>
    <t xml:space="preserve">https://www.continental-re.com/wp-content/uploads/2025/07/CReFinStmts-31122024b.pdf</t>
  </si>
  <si>
    <t xml:space="preserve">Jane Mberia</t>
  </si>
  <si>
    <t xml:space="preserve">Cedric Maxwell</t>
  </si>
  <si>
    <t xml:space="preserve">Olugbenga Akinlalu</t>
  </si>
  <si>
    <t xml:space="preserve">Prudential Africa (M&amp;G/Prudential plc)</t>
  </si>
  <si>
    <t xml:space="preserve">Emmanuel Mokobi Aryee</t>
  </si>
  <si>
    <t xml:space="preserve">Adewuyi Adeyemo</t>
  </si>
  <si>
    <t xml:space="preserve">1. Audit client
2. Scope of services restricted
3. ACPA and/or IESBA Pre-concurrence Required
4. GCSP Approval Required
5. Business Relationship restriction
6. Firm Loan Restrictions</t>
  </si>
  <si>
    <t xml:space="preserve">1. Rebranding in Francophone Africa: Belife Insurance
2. CEO Working Visit to Ghana Drives Agency Expansion</t>
  </si>
  <si>
    <t xml:space="preserve">https://www.graphic.com.gh/news/general-news/ghana-news-prudential-life-settles-ghc100-000-medical-bills.html#google_vignette
https://thebftonline.com/2026/04/01/prudential-africa-ceo-working-visit-to-ghana-sets-pace-for-business-excellence-and-agency-expansion/</t>
  </si>
  <si>
    <t xml:space="preserve">https://eyindia.sharepoint.com/:b:/r/sites/InsuranceResearch/Shared%20Documents/Insurance%20Research/Top%2020%20Africa/prudential-plc-ar-2025.pdf?csf=1&amp;web=1&amp;e=vOjeNU</t>
  </si>
  <si>
    <t xml:space="preserve">Theodor Breet</t>
  </si>
  <si>
    <t xml:space="preserve">AnnElsie W</t>
  </si>
  <si>
    <t xml:space="preserve">CICA‑RE</t>
  </si>
  <si>
    <t xml:space="preserve">Tunisia</t>
  </si>
  <si>
    <t xml:space="preserve">Karim Diarassouba</t>
  </si>
  <si>
    <t xml:space="preserve">1. Expansion Across Africa to Reduce Foreign Reinsurance Dependency
2. AM Best Affirms CICA‑RE’s Credit Ratings and Capital Strength</t>
  </si>
  <si>
    <t xml:space="preserve">https://clone.businessday.ng/cica-re-pushes-expansion-open-north-african-regional-office-soon/
https://markets.financialcontent.com/stocks/article/bizwire-2025-4-2-am-best-affirms-credit-ratings-of-compagnie-commune-de-rassurance-des-etats-membres-de-la-cima</t>
  </si>
  <si>
    <t xml:space="preserve">https://cica-re.com/-Rapports-Annuels-.html</t>
  </si>
  <si>
    <t xml:space="preserve">Augustin N’Dri</t>
  </si>
  <si>
    <t xml:space="preserve">Mr. Moustapha COULIBALY</t>
  </si>
  <si>
    <t xml:space="preserve">Allianz Senegal (AGIS)</t>
  </si>
  <si>
    <t xml:space="preserve">Senegal</t>
  </si>
  <si>
    <t xml:space="preserve">Demba Sy</t>
  </si>
  <si>
    <t xml:space="preserve">1. Integration of Allianz Senegal (AGIS) into SanlamAllianz Sénégal
2. SanlamAllianz Expansion Strengthens Allianz’s Long‑Term Senegal Strategy</t>
  </si>
  <si>
    <t xml:space="preserve">https://www.thefreelibrary.com/How+will+the+SanlamAllianz+merger+transform+Africa%27s+insurance...-a0823368203
 https://www.allianz.com/en/mediacenter/news/articles/251119-a-strategic-partnership-driving-africas-long-term-prosperity.html</t>
  </si>
  <si>
    <t xml:space="preserve">https://www.allianz.com/content/dam/onemarketing/azcom/Allianz_com/investor-relations/en/results-reports/annual-report/ar-2025/en-allianz-se-annual-report-2025.pdf</t>
  </si>
  <si>
    <t xml:space="preserve">Richard Akotègnon HODEHOU</t>
  </si>
  <si>
    <t xml:space="preserve">Allianz Senegal</t>
  </si>
  <si>
    <t xml:space="preserve">Kenya Reinsurance Corporation</t>
  </si>
  <si>
    <t xml:space="preserve">Kenya</t>
  </si>
  <si>
    <t xml:space="preserve">Dr. Hillary Maina Wachinga</t>
  </si>
  <si>
    <t xml:space="preserve">Tom Nyakoe</t>
  </si>
  <si>
    <t xml:space="preserve">1. Sharp Decline in Technical Profitability in FY2025
2. Expansion into International Life Reinsurance Markets</t>
  </si>
  <si>
    <t xml:space="preserve">https://www.financialafrik.com/en/2026/03/31/kenya-re-records-a-26-9-decline-in-net-profits-in-2025/
https://www.businessdailyafrica.com/bd/corporate/companies/kenya-re-eyes-50pc-growth-in-life-business-on-new-unit-4943324</t>
  </si>
  <si>
    <t xml:space="preserve">https://www.nse.co.ke/wp-content/uploads/Kenya-Re-Insurance-Corporation-Ltd-Audited-Financial-Statements-for-the-Period-Ended-31-Dec-2025.pdf</t>
  </si>
  <si>
    <t xml:space="preserve">Hamish Chipungu</t>
  </si>
  <si>
    <t xml:space="preserve">Peter Rop</t>
  </si>
  <si>
    <t xml:space="preserve">List of Top 20 Insurance Companies in UK as on Jul'26</t>
  </si>
  <si>
    <t xml:space="preserve">UK Corporate Governance code applicable?</t>
  </si>
  <si>
    <t xml:space="preserve">Insurance Revenue / GWP (GBP million)</t>
  </si>
  <si>
    <t xml:space="preserve">Other Links &amp; Comments</t>
  </si>
  <si>
    <t xml:space="preserve">Admiral Group Plc</t>
  </si>
  <si>
    <t xml:space="preserve">Milena Mondini de Focatiis</t>
  </si>
  <si>
    <t xml:space="preserve">Mitch Robinson</t>
  </si>
  <si>
    <r>
      <rPr>
        <sz val="10"/>
        <color theme="1"/>
        <rFont val="EYInterstate"/>
        <family val="0"/>
        <charset val="1"/>
      </rPr>
      <t xml:space="preserve">Jan' 26 - Admiral Group announces that its Chief Financial Officer ("CFO"), Geraint Jones, has decided to retire from his role and will transition to a part-time role within the Group from July 2026.
Feb' 26 - Admiral announced plans to acquire Flock, a fast‑growing digital, telemetry‑based fleet insurer. This builds on the Group’s existing expertise in telemetry in the personal lines market, allowing the business to support a broader set of customers as mobility trends change.
</t>
    </r>
    <r>
      <rPr>
        <sz val="10"/>
        <color rgb="FF00B050"/>
        <rFont val="EYInterstate"/>
        <family val="0"/>
        <charset val="1"/>
      </rPr>
      <t xml:space="preserve">Jun' 26 - Successfully completed the acquisition of Flock, a digital commercial fleet insurance provider with an innovative telemetry-based proposition. The transaction values the equity in Flock at £80m.
</t>
    </r>
    <r>
      <rPr>
        <sz val="10"/>
        <color theme="1"/>
        <rFont val="EYInterstate"/>
        <family val="0"/>
        <charset val="1"/>
      </rPr>
      <t xml:space="preserve">
</t>
    </r>
    <r>
      <rPr>
        <sz val="10"/>
        <color rgb="FF00B050"/>
        <rFont val="EYInterstate"/>
        <family val="0"/>
        <charset val="1"/>
      </rPr>
      <t xml:space="preserve">Jul' 26 - Admiral Business has partnered with ANNA Money to embed insurance at key SME customer decision points, targeting underinsurance as embedded, partner-led distribution continues to expand.</t>
    </r>
  </si>
  <si>
    <t xml:space="preserve">https://www.finanznachrichten.de/nachrichten-2026-01/67412889-admiral-group-plc-chief-financial-officer-transition-399.htm
https://www.londonstockexchange.com/news-article/ADM/admiral-group-plc-full-year-2025-results/17488674
https://www.investegate.co.uk/announcement/gnw/admiral-group--adm/admiral-group-completes-acquisition-of-flock/9594345
https://insurance-edge.net/2026/07/01/admiral-business-teams-up-with-anna-on-embedded/</t>
  </si>
  <si>
    <t xml:space="preserve">https://eyindia.sharepoint.com/:b:/r/sites/InsuranceResearch/Shared%20Documents/Insurance%20Research/Top%2020%20UK/Admiral%202025%20Annual%20Report%20and%20Accounts.pdf?csf=1&amp;web=1&amp;e=tuKydq
</t>
  </si>
  <si>
    <t xml:space="preserve">AR pg - 3</t>
  </si>
  <si>
    <t xml:space="preserve">Fiona Muldoon</t>
  </si>
  <si>
    <t xml:space="preserve">Geraint Jones</t>
  </si>
  <si>
    <t xml:space="preserve">Keith Davies</t>
  </si>
  <si>
    <t xml:space="preserve">Ageas Insurance Limited</t>
  </si>
  <si>
    <t xml:space="preserve">Ant Middle</t>
  </si>
  <si>
    <t xml:space="preserve">Kris Volkaerts</t>
  </si>
  <si>
    <r>
      <rPr>
        <sz val="10"/>
        <color theme="1"/>
        <rFont val="EYInterstate"/>
        <family val="0"/>
        <charset val="1"/>
      </rPr>
      <t xml:space="preserve">Sep' 25 - Ageas has announced the successful completion of its acquisition of Esure Group (digital personal lines insurer). This is a key 
milestone in Ageas UK’s strategy to become a leading personal lines insurer in the UK.
Dec'25 - Ageas UK and Saga plc announced the launch of a landmark 20‑year Affinity Partnership, bringing market‑leading Motor and Home insurance propositions to over‑50s customers. The partnership goes live for Motor new business today, with Home new business following in the first quarter of 2026.
</t>
    </r>
    <r>
      <rPr>
        <sz val="10"/>
        <color rgb="FF00B050"/>
        <rFont val="EYInterstate"/>
        <family val="0"/>
        <charset val="1"/>
      </rPr>
      <t xml:space="preserve">Apr' 23 -  As a part of the 20-year Affinity Partnership between Ageas UK and Saga plc, a home insurance proposition for the over-50s has gone live, marking the latest milestone.
Jun' 26 - Ageas UK has entered a new strategic partnership with leading Original Equipment Manufacturer (OEM) insurtech, Wrisk, by joining its motor insurance panel.
</t>
    </r>
    <r>
      <rPr>
        <sz val="10"/>
        <color theme="1"/>
        <rFont val="EYInterstate"/>
        <family val="0"/>
        <charset val="1"/>
      </rPr>
      <t xml:space="preserve">
</t>
    </r>
    <r>
      <rPr>
        <sz val="10"/>
        <color rgb="FF00B050"/>
        <rFont val="EYInterstate"/>
        <family val="0"/>
        <charset val="1"/>
      </rPr>
      <t xml:space="preserve">Jun' 26 - Ageas has deepened its 30-year partnership with Connells Group, the UK’s largest estate agency, by creating a bespoke digital platform capable of delivering insurance services to even more customers. 
</t>
    </r>
    <r>
      <rPr>
        <sz val="10"/>
        <color theme="1"/>
        <rFont val="EYInterstate"/>
        <family val="0"/>
        <charset val="1"/>
      </rPr>
      <t xml:space="preserve">
</t>
    </r>
    <r>
      <rPr>
        <sz val="10"/>
        <color rgb="FF00B050"/>
        <rFont val="EYInterstate"/>
        <family val="0"/>
        <charset val="1"/>
      </rPr>
      <t xml:space="preserve">Jul' 26 - John Lewis Money has strengthened its partnership with Ageas UK adding the insurer to its panel of trusted car insurance providers.</t>
    </r>
  </si>
  <si>
    <t xml:space="preserve">https://www.ageas.co.uk/press-releases/2025/ageas-uk-completes-acquisition-of-esure/#:~:text=This%20is%20a%20key%20milestone%20in%20Ageas%20UK%E2%80%99s,strong%20presence%20in%20both%20motor%20and%20home%20insurance.
https://www.ageas.co.uk/press-releases/2025/ageas-saga-launch-20-year-affinity-partnership-motor-live-home-to-follow/
https://www.insurancebusinessmag.com/uk/news/mergers-acquisitions/ageas-finalises-1-3-billion-deal-for-esure-551389.aspx
https://www.ageas.co.uk/press-releases/2026-press-releases/ageas-saga-partnership-milestone-home-insurance/
https://www.ageas.co.uk/press-releases/2026-press-releases/ageas-uk-joins-forces-wrisk-embedded-motor-insurance/
https://www.ageas.co.uk/press-releases/2026-press-releases/ageas-30-year-connells-partnership-digital-home-insurance-platform/
https://www.ageas.co.uk/press-releases/2026-press-releases/ageas-strengthens-partnership-john-lewis-money-joining-motor-panel/</t>
  </si>
  <si>
    <t xml:space="preserve">https://eyindia.sharepoint.com/:b:/r/sites/InsuranceResearch/Shared%20Documents/Insurance%20Research/Top%2020%20UK/Ageas%20Annual%20Report%202024.pdf?csf=1&amp;web=1&amp;e=aZR7jX</t>
  </si>
  <si>
    <t xml:space="preserve">AR Pg - 22</t>
  </si>
  <si>
    <t xml:space="preserve">David Simpson</t>
  </si>
  <si>
    <t xml:space="preserve">Jonathan Price</t>
  </si>
  <si>
    <t xml:space="preserve">Christophe Vandeweghe</t>
  </si>
  <si>
    <t xml:space="preserve">Allianz Insurance Plc</t>
  </si>
  <si>
    <t xml:space="preserve">Colm Holmes</t>
  </si>
  <si>
    <t xml:space="preserve">Philip Vermeulen</t>
  </si>
  <si>
    <t xml:space="preserve">1. Partial scope of services restriciton
2. GCSP Approval
3. Consultation Required
4. Business Relationship restriction
5. Firm Loan 
</t>
  </si>
  <si>
    <r>
      <rPr>
        <sz val="10"/>
        <color theme="1"/>
        <rFont val="EYInterstate"/>
        <family val="0"/>
        <charset val="1"/>
      </rPr>
      <t xml:space="preserve">Feb' 26 - Allianz UK has launched a new short-term income protection policy designed to provide financial security for people facing unexpected life events.
Feb' 26 - Allianz UK scaled AI and advanced analytics across underwriting, broker engagement and service operations, supporting faster decisions and higher productivity.
At the same time, senior leaders acknowledged that scaling AI across complex legacy environments remains challenging, signalling a pragmatic, phased rollout approach.
Mar'26 - Over 34,200 insurance fraud cases, including a ghost broker pocketing more than £133,000, were identified by Allianz UK last year.
</t>
    </r>
    <r>
      <rPr>
        <sz val="10"/>
        <color rgb="FF00B050"/>
        <rFont val="EYInterstate"/>
        <family val="0"/>
        <charset val="1"/>
      </rPr>
      <t xml:space="preserve">Apr' 26 - Allianz UK and LV= have announced a new multi-year partnership to continue distribution of home, car and pet insurance under the LV= brand.
May' 26 - Allianz UK has strengthened its long-standing strategic partnership with Asda to offer home and motor insurance to Asda customers.
Jul' 26 - Allianz launches Slick Cover car insurance.Slick Cover has been designed to provide digital-first car insurance. New managing general agent model enables innovative, lower-cost digital propositions for customers.</t>
    </r>
  </si>
  <si>
    <t xml:space="preserve">https://www.allianz.co.uk/news-and-insight/news/allianz-prevents-record-level-of-fraud.html
https://www.allianz.co.uk/news-and-insight/news/allianz-accident-sickness-unemployment.html
https://www.allianz.co.uk/news-and-insight/news/allianz-deliver-strong-full-year-2025-performance-in-the-uk.html
https://www.allianz.co.uk/news-and-insight/news/allianz-and-lv-long-term-partnership.html
https://www.allianz.co.uk/news-and-insight/news/allianz-and-asda-agree-insurance-partnership.html
https://www.allianz.co.uk/news-and-insight/news/allianz-launches-slick-cover-car-insurance.html</t>
  </si>
  <si>
    <t xml:space="preserve">https://eyindia.sharepoint.com/:b:/r/sites/InsuranceResearch/Shared%20Documents/Insurance%20Research/Top%2020%20UK/Allianz%20UK%20Annual%20Report%202025.pdf?csf=1&amp;web=1&amp;e=2qmzRa</t>
  </si>
  <si>
    <t xml:space="preserve">AR Pg - 25</t>
  </si>
  <si>
    <t xml:space="preserve">David Kelly</t>
  </si>
  <si>
    <t xml:space="preserve">Michael Ruf</t>
  </si>
  <si>
    <t xml:space="preserve">Hanna Kam</t>
  </si>
  <si>
    <t xml:space="preserve">American International Group UK Limited</t>
  </si>
  <si>
    <t xml:space="preserve">Chris Rash</t>
  </si>
  <si>
    <t xml:space="preserve">1. GCSP approval required
2. Reverse restriction</t>
  </si>
  <si>
    <r>
      <rPr>
        <sz val="10"/>
        <color theme="1"/>
        <rFont val="EYInterstate"/>
        <family val="0"/>
        <charset val="1"/>
      </rPr>
      <t xml:space="preserve">Feb'26 - AIG announced that it has completed the acquisitions of strategic minority ownership stakes in Convex Group Limited (“Convex”), a privately held, global specialty insurer, and Onex Corporation (“Onex”) a publicly traded global asset manager. AIG began participating in a whole account quota share of Convex’s business beginning January 1, 2026, and will increase cessions in 2027 and 2028.
Mar' 26 - AIG and McGill and Partners announced a significant strategic collaboration for the subscription market that will provide clients with seamless access to exceptional insurance solutions, backed by long-term, high-quality insurance capacity and capital. As part of the initiative, AIG and McGill and Partners will leverage agentic AI capabilities to manage the deployment of capacity to clients. Relevant for AIG UK, given its registered base in London and focus on large commercial and specialty risks.
</t>
    </r>
    <r>
      <rPr>
        <sz val="10"/>
        <color rgb="FF00B050"/>
        <rFont val="EYInterstate"/>
        <family val="0"/>
        <charset val="1"/>
      </rPr>
      <t xml:space="preserve">Jun' 26 - As part of its growing strategic relationship with Salford City Football Club, AIG partnered with brokers for a unique 5-a-side experience – stepping onto the pitch against members of the legendary “Class of '92”, including Gary Neville, Paul Scholes and Nicky Butt, as well as the Salford City FC Lionesses. </t>
    </r>
  </si>
  <si>
    <t xml:space="preserve">McGill and Partners and AIG Launch Long-Term Strategic Collaboration in a Major Development for the Subscription Market | American International Group, Inc.
https://aig.gcs-web.com/news-releases/news-release-details/aig-completes-acquisitions-strategic-minority-ownership-stakes?noback
https://www.aig.co.uk/home/insight-page/aig-and-salford-city-fc</t>
  </si>
  <si>
    <t xml:space="preserve">https://eyindia.sharepoint.com/:b:/r/sites/InsuranceResearch/Shared%20Documents/Insurance%20Research/Top%2020%20UK/AIG%20UK%202024%20Annual%20Report.pdf?csf=1&amp;web=1&amp;e=LTOpPb</t>
  </si>
  <si>
    <t xml:space="preserve">AR Pg - 5</t>
  </si>
  <si>
    <t xml:space="preserve">Jane Leach</t>
  </si>
  <si>
    <t xml:space="preserve">Naval Kapoor</t>
  </si>
  <si>
    <t xml:space="preserve">Chris Shaper</t>
  </si>
  <si>
    <t xml:space="preserve">Aviva Plc</t>
  </si>
  <si>
    <t xml:space="preserve">Amanda Blanc DBE</t>
  </si>
  <si>
    <t xml:space="preserve">1. Audit client 
2. Entity for which arrest/AUP report is issued
3. Business Relationship restriction
4. GCSP Approval
5. Audit Committee preapproval and/or IESBA Pre-concurrence required for services
6. Consultation Required
7. Firm Loan </t>
  </si>
  <si>
    <r>
      <rPr>
        <sz val="10"/>
        <color theme="1"/>
        <rFont val="EYInterstate"/>
        <family val="0"/>
        <charset val="1"/>
      </rPr>
      <t xml:space="preserve">Jul' 25 - Direct Line Insurance Group plc was acquired by Aviva plc on 1 July 2025. Jason Storah, currently the CEO of UK &amp; Ireland General Insurance at Aviva and now the CEO for the combined businesses, acknowledged the efforts of teams involved and welcomed the new employees from Direct Line.
Mar' 26 - Aviva is transitioning from pilot AI projects to large-scale deployment across key parts of its insurance operations. According to CEO Amanda Blanc, the company has moved beyond limited AI use cases such as claims summarization to broader end-to-end applications across customer service and medical underwriting.
Apr' 26 - Aviva has completed a £100 million bulk purchase annuity transaction with the Iveco Limited Pension Scheme, securing the benefits of all 225 deferred and 1,127 pensioner members. The transaction, which completed in March 2026, represents a significant milestone in the Scheme’s long-term de-risking strategy and provides members with increased security and long-term certainty for their pensions.
</t>
    </r>
    <r>
      <rPr>
        <sz val="10"/>
        <color rgb="FF00B050"/>
        <rFont val="EYInterstate"/>
        <family val="0"/>
        <charset val="1"/>
      </rPr>
      <t xml:space="preserve">Jul' 26 - Aviva has signed an agreement to purchase the remaining 26% share of Aviva Life Insurance Company India Limited ("Aviva India") from Dabur Invest Corp ("DIC"), its local joint venture partner. This will take Aviva's ownership of Aviva India to 100%
</t>
    </r>
    <r>
      <rPr>
        <sz val="10"/>
        <color theme="1"/>
        <rFont val="EYInterstate"/>
        <family val="0"/>
        <charset val="1"/>
      </rPr>
      <t xml:space="preserve">
</t>
    </r>
    <r>
      <rPr>
        <sz val="10"/>
        <color rgb="FF00B050"/>
        <rFont val="EYInterstate"/>
        <family val="0"/>
        <charset val="1"/>
      </rPr>
      <t xml:space="preserve">Jul' 26 - Aviva and AXIS today announced a new Lloyd's consortium to support new renewable energy projects, helping enable progress towards the UK's 2030 net zero ambitions.
</t>
    </r>
    <r>
      <rPr>
        <sz val="10"/>
        <color theme="1"/>
        <rFont val="EYInterstate"/>
        <family val="0"/>
        <charset val="1"/>
      </rPr>
      <t xml:space="preserve">
</t>
    </r>
    <r>
      <rPr>
        <sz val="10"/>
        <color rgb="FF00B050"/>
        <rFont val="EYInterstate"/>
        <family val="0"/>
        <charset val="1"/>
      </rPr>
      <t xml:space="preserve">Jul' 26 - Aviva : has successfully completed its £350m share buyback programme. Aviva acquired 56,721,704 ordinary shares at an average price of 617.05 pence per share.</t>
    </r>
  </si>
  <si>
    <t xml:space="preserve">https://www.directlinegroup.co.uk/en/index.html
https://www.aviva.com/newsroom/news-releases/2026/04/aviva-completes-100m-full-scheme-buy-in-with-the-iveco-limited-pension-scheme/
https://www.insurancebusinessmag.com/uk/news/breaking-news/aviva-confirms-new-leadership-team-after-direct-line-merger-541168.aspx
https://infotechlead.com/cio/aviva-scales-ai-and-digital-transformation-to-reinvent-insurance-operations-and-customer-experience-94232
https://www.marketscreener.com/news/aviva-agrees-to-purchase-remaining-26-stake-in-india-joint-venture-ce7f5ed9d189f025
https://www.marketscreener.com/news/aviva-and-axis-launch-new-lloyda-s-consortium-to-power-uk-renewable-energy-growth-ce7f5ed8d181f022
https://www.marketscreener.com/news/aviva-has-successfully-completed-its-350m-share-buyback-programme-ce7f5ed8d18bf122</t>
  </si>
  <si>
    <t xml:space="preserve">https://eyindia.sharepoint.com/:b:/r/sites/InsuranceResearch/Shared%20Documents/Insurance%20Research/Top%2020%20UK/Aviva%20annual-report-and-accounts-2025.pdf?csf=1&amp;web=1&amp;e=3Y7s8q</t>
  </si>
  <si>
    <t xml:space="preserve">Martin O’Malley</t>
  </si>
  <si>
    <t xml:space="preserve">Charlotte Jones</t>
  </si>
  <si>
    <t xml:space="preserve">James Hillman</t>
  </si>
  <si>
    <t xml:space="preserve">AXA UK</t>
  </si>
  <si>
    <t xml:space="preserve">Thomas Buberl</t>
  </si>
  <si>
    <t xml:space="preserve">1. Business Relationship restriction
2. GCSP Approval
3. Audit Committee preapproval and/or IESBA Pre-concurrence required for services
4. Firm Loan
5. Full scope of services restrictions </t>
  </si>
  <si>
    <r>
      <rPr>
        <sz val="10"/>
        <color theme="1"/>
        <rFont val="EYInterstate"/>
        <family val="0"/>
        <charset val="1"/>
      </rPr>
      <t xml:space="preserve">Mar' 26 - AXA UK &amp; Ireland announces the creation of a new general insurance business, AXA Insurance UK, bringing together its UK Commercial and Retail business units under a single leadership structure
Apr' 26 - AXA Insurance UK has appointed Martin Milliner as Chief Claims Transformation Officer, a new role in CEO Jon Walker’s executive committee following the creation of the general insurance business AXA Insurance UK.
</t>
    </r>
    <r>
      <rPr>
        <sz val="10"/>
        <color rgb="FF00B050"/>
        <rFont val="EYInterstate"/>
        <family val="0"/>
        <charset val="1"/>
      </rPr>
      <t xml:space="preserve">May' 26 - For small and medium sized businesses (SMEs), responding to climate change can be complex, particularly when considering how future impacts may affect the long-term viability of their products, services and premises. To support this, AXA Insurance UK has launched a free programme designed to help SMEs build informed, strategic thinking around adaptation to climate risk.</t>
    </r>
  </si>
  <si>
    <t xml:space="preserve">https://insurance-edge.net/2026/03/25/axa-insurance-uk-will-unify-commercial-retail/
https://www.axa.co.uk/newsroom/media-releases/2026/axa-insurance-uk-appoints-martin-milliner-as-chief-claims-transformation-officer/
https://www.axa.co.uk/newsroom/media-releases/2026/free-sustainability-initiative-helps-smes-build-resilience-and-adapt-to-climate-change/</t>
  </si>
  <si>
    <t xml:space="preserve">89953
(Euros)</t>
  </si>
  <si>
    <t xml:space="preserve">https://eyindia.sharepoint.com/:b:/r/sites/InsuranceResearch/Shared%20Documents/Insurance%20Research/Top%2020%20UK/AXA%20Annual%20Report%202025.pdf?csf=1&amp;web=1&amp;e=n88iIa</t>
  </si>
  <si>
    <t xml:space="preserve">AR pg - 352</t>
  </si>
  <si>
    <t xml:space="preserve">Chris Husssey</t>
  </si>
  <si>
    <t xml:space="preserve">Alban de Mailly Nesle</t>
  </si>
  <si>
    <t xml:space="preserve">Françoise Gilles</t>
  </si>
  <si>
    <t xml:space="preserve">Revenue is a consolidated figure</t>
  </si>
  <si>
    <t xml:space="preserve">Bupa UK</t>
  </si>
  <si>
    <t xml:space="preserve">Chris Carrol</t>
  </si>
  <si>
    <t xml:space="preserve">Kevin Griffith</t>
  </si>
  <si>
    <t xml:space="preserve">1. Business Relationship restriction
2. GCSP Approval
3. Firm Loan</t>
  </si>
  <si>
    <r>
      <rPr>
        <sz val="10"/>
        <color theme="1"/>
        <rFont val="EYInterstate"/>
        <family val="0"/>
        <charset val="1"/>
      </rPr>
      <t xml:space="preserve">Feb' 26 - Small business group scheme members will no longer receive paper policy documents by post. Instead, all policy documents will be available to view online, making it easier and quicker to access important information when they need it.
Mar'26 - Strong financial performance enable us to provide more and better healthcare for our customers, and allows us to invest in innovation. This includes reinvesting in strategic projects that align with our purpose:
We have 52 Mindplace health centres open, expanding fast with 46 launches in 2025, so more people can access high-quality mental healthcare. We have launched genomics products in Spain, UK, Poland and Australia. Through our genomics programme, we have already delivered 28,800 genomic reports providing people with valuable insights and better enabling preventive and personalised care.
Apr' 26 - Bupa and Spire Healthcare have signed a four-year strategic partnership that will see the private hospital group provide care for Bupa’s UK health insurance customers across its national network, including a growing number of specialist cancer and musculoskeletal centres.
</t>
    </r>
    <r>
      <rPr>
        <sz val="10"/>
        <color rgb="FF00B050"/>
        <rFont val="EYInterstate"/>
        <family val="0"/>
        <charset val="1"/>
      </rPr>
      <t xml:space="preserve">May' 26 - Bupa has partnered with YuLife to launch an enhanced Health Cash Plan, designed to help businesses improve workplace wellbeing, reduce absence and make it easier for employees to access everyday healthcare.</t>
    </r>
  </si>
  <si>
    <t xml:space="preserve">https://www.insurancebusinessmag.com/uk/news/life-insurance/bupa-seals-fouryear-spire-deal-as-pmi-demand-surges-571445.aspx
https://www.bupa.com/news-and-press/press-releases/2026/bupa-group-full-year-financial-results-2025
https://www.bupa.co.uk/business/news-and-information/sme-paperless
https://www.prnewswire.co.uk/news-releases/bupa-and-yulife-launch-innovative-cash-plan-to-improve-workplace-health-302772167.html</t>
  </si>
  <si>
    <t xml:space="preserve">https://eyindia.sharepoint.com/:b:/r/sites/InsuranceResearch/Shared%20Documents/Insurance%20Research/Top%2020%20UK/bupa-group-results-and-financial-statement-fy2025.pdf?csf=1&amp;web=1&amp;e=gNT1GQ</t>
  </si>
  <si>
    <t xml:space="preserve">Zelina Harrington-Greenwood</t>
  </si>
  <si>
    <t xml:space="preserve">Charles Richardson</t>
  </si>
  <si>
    <t xml:space="preserve">Jeremy Eagles (Group)</t>
  </si>
  <si>
    <t xml:space="preserve">Legal &amp; General Group plc</t>
  </si>
  <si>
    <t xml:space="preserve">Antonio Simoes</t>
  </si>
  <si>
    <r>
      <rPr>
        <sz val="10"/>
        <color theme="1"/>
        <rFont val="EYInterstate"/>
        <family val="0"/>
        <charset val="1"/>
      </rPr>
      <t xml:space="preserve">Oct' 25 - L&amp;G is collaborating with Microsoft to deliver an AI-powered customer service platform designed to enhance interactions for both customers and employees. The multi-year agreement sees the introduction of an AI-powered customer service platform, built using Microsoft Dynamics 365 Contact Center, to provide faster, more seamless support to L&amp;G’s 12.4 million customers. 
Mar' 26 - L&amp;G and Manulife Wealth &amp; Asset Management (Manulife WAM) today announced a long-term multi-faceted strategic partnership. It spans Distribution, Investment Management, and Product Development to enhance the global distribution reach of both firms, allowing them to meet growing client demand for comprehensive wealth and retirement solutions across Europe, Asia, the U.S.A., Canada, and Bermuda.
Mar'26 - Hyde Group and L&amp;G launch partnership to deliver more affordable homes. New joint venture combines pension money in L&amp;G’s annuity portfolio and affordable housing expertise with Hyde’s national housing platform, to develop, manage and service affordable homes at scale.
Apr'26 - L&amp;G announced that its suite of liquidity funds is now available on the Calastone Tokenised Distribution (CTD) Network, marking a significant milestone in L&amp;G’s digital distribution strategy. The CTD Network—built to seamlessly connect traditional fund products with digital distribution channels - enables investors to access L&amp;G’s liquidity strategies in tokenised form via blockchain enabled infrastructure. Tokenisation provides further accessibility for new digital investor segments and supports evolving client preferences for efficient digital solutions.
</t>
    </r>
    <r>
      <rPr>
        <sz val="10"/>
        <color rgb="FF00B050"/>
        <rFont val="EYInterstate"/>
        <family val="0"/>
        <charset val="1"/>
      </rPr>
      <t xml:space="preserve">Jun' 26 - L&amp;G expands Microsoft collaboration to accelerate AI enablement and transform customer experience. Legal &amp; General (L&amp;G) has announced a significant expansion of its relationship with Microsoft, entering a new three-year agreement to support delivery of its digital strategy.
</t>
    </r>
    <r>
      <rPr>
        <sz val="10"/>
        <color theme="1"/>
        <rFont val="EYInterstate"/>
        <family val="0"/>
        <charset val="1"/>
      </rPr>
      <t xml:space="preserve">
</t>
    </r>
    <r>
      <rPr>
        <sz val="10"/>
        <color rgb="FF00B050"/>
        <rFont val="EYInterstate"/>
        <family val="0"/>
        <charset val="1"/>
      </rPr>
      <t xml:space="preserve">May' 26 - L&amp;G paid an average of £3.8 million in protection claims a day last year, amounting to £1.388 billion in total.
</t>
    </r>
  </si>
  <si>
    <t xml:space="preserve">https://group.legalandgeneral.com/en/newsroom/press-releases/l-g-announces-collaboration-with-microsoft-to-drive-customer-focused-ai-transformation
https://group.legalandgeneral.com/en/newsroom/press-releases/l-g-and-manulife-wealth-asset-management-announce-strategic-global-partnership
https://group.legalandgeneral.com/en/newsroom/press-releases/l-g-liquidity-funds-now-live-on-ss-c-s-calastone-tokenised-distribution-network
https://group.legalandgeneral.com/en/newsroom/press-releases/hyde-group-and-l-g-launch-partnership-to-deliver-more-affordable-homes
https://group.legalandgeneral.com/newsroom/press-releases/2026/6/lg-expands-microsoft-collaboration-to-accelerate-ai-enablement-and-transform-customer-experience/
https://group.legalandgeneral.com/newsroom/press-releases/2026/5/lg-paid-out-over-1.388bn-protection-claims-in-2025/</t>
  </si>
  <si>
    <t xml:space="preserve">https://eyindia.sharepoint.com/:b:/r/sites/InsuranceResearch/Shared%20Documents/Insurance%20Research/Top%2020%20UK/Legal%20PLC%20annual-reports-and-accounts-2025.pdf?csf=1&amp;web=1&amp;e=lhamj4</t>
  </si>
  <si>
    <t xml:space="preserve">AR pg - 133</t>
  </si>
  <si>
    <t xml:space="preserve">Chris Jones BA</t>
  </si>
  <si>
    <t xml:space="preserve">Andrew Kail (Group)</t>
  </si>
  <si>
    <t xml:space="preserve">Zoe Wimborne</t>
  </si>
  <si>
    <t xml:space="preserve">Revenue is a consolidated figure
New Entity</t>
  </si>
  <si>
    <t xml:space="preserve">LV= (Liverpool Victoria)
LIVERPOOL VICTORIA LIFE COMPANY LIMITED</t>
  </si>
  <si>
    <t xml:space="preserve">Life and Pension</t>
  </si>
  <si>
    <t xml:space="preserve">Steve Treyoler</t>
  </si>
  <si>
    <r>
      <rPr>
        <sz val="10"/>
        <color rgb="FF000000"/>
        <rFont val="EYInterstate"/>
        <family val="0"/>
        <charset val="1"/>
      </rPr>
      <t xml:space="preserve">Mar' 26 - LV has proudly shared £100 million of member bonuses with eligible members - the largest bonus distribution in their history. Since 2011, they have shared £513 million.
Mar' 26 -  LV= General Insurance (GI) brand will be retired during 2026, with GI products moving fully under the Allianz UK brand. Allianz employees have been told that 650 jobs will be cut from its UK insurance arm due to ‘difficult market conditions’, less than six months after the decision to rebrand LV= General Insurance (LV=GI) to Allianz UK was classified as a ‘brand risk’.
</t>
    </r>
    <r>
      <rPr>
        <b val="true"/>
        <sz val="10"/>
        <color rgb="FF7030A0"/>
        <rFont val="EYInterstate"/>
        <family val="0"/>
        <charset val="1"/>
      </rPr>
      <t xml:space="preserve">Jun' 26 - Allianz confirmed that Liverpool Victoria Insurance Company Limited (the entity underwriting LV= policies since 2020) will be transferred into Allianz Insurance plc under a Part VII scheme, with a High Court sanction hearing set for 2 October 2026 and a transfer date of 1 January 2027 (subject to Court approval). The LV= brand itself is unaffected and continues under the April 2026 Allianz partnership already noted below; only the underwriting legal entity is changing.</t>
    </r>
  </si>
  <si>
    <t xml:space="preserve">https://www.lv.com/about-us/news/sharing-our-2025-financial-results?_gl=1*o2jo2n*_up*MQ..*_ga*MTM4MDcyOTQ5MS4xNzc2MTQzODE3*_ga_3MD00281LR*czE3NzYxNDM4MTckbzEkZzAkdDE3NzYxNDM4MTckajYwJGwwJGgw
https://protectionreporter.co.uk/exclusive-lv-rebrand-for-personal-lines-business-classified-as-brand-risk-in-annual-report-and-financial-statements.html
https://www.insurancebusinessmag.com/uk/news/breaking-news/lv-policyholders-to-move-to-allianz-insurance-plc-in-january-2027-579078.aspx</t>
  </si>
  <si>
    <t xml:space="preserve">https://eyindia.sharepoint.com/:b:/r/sites/InsuranceResearch/Shared%20Documents/Insurance%20Research/Top%2020%20UK/Liver%20Annual%20Report%20-%202025.pdf?csf=1&amp;web=1&amp;e=pwKNvy</t>
  </si>
  <si>
    <t xml:space="preserve">AR pg - 85</t>
  </si>
  <si>
    <t xml:space="preserve">Nikesh</t>
  </si>
  <si>
    <t xml:space="preserve">Stephen Percival</t>
  </si>
  <si>
    <t xml:space="preserve">Jean-Marc Robert</t>
  </si>
  <si>
    <t xml:space="preserve">New entity</t>
  </si>
  <si>
    <t xml:space="preserve">NFU Mutual</t>
  </si>
  <si>
    <t xml:space="preserve">Nick Turner</t>
  </si>
  <si>
    <t xml:space="preserve">Heather Hales</t>
  </si>
  <si>
    <r>
      <rPr>
        <sz val="10"/>
        <color rgb="FF000000"/>
        <rFont val="EYInterstate"/>
        <family val="0"/>
        <charset val="1"/>
      </rPr>
      <t xml:space="preserve">Nov' 25 - Aviva and NFU Mutual signed a new multi‑year protection distribution agreement in November 2025. The partnership enables NFU Mutual to distribute Aviva’s full intermediated protection suite (life, critical illness, income protection, relevant life and business life) to NFU Mutual members via its agency network and advice channels.
Jan' 26 - NFU Mutual and Guidewire (NYSE: GWRE) have announced a further strengthening of their long-term relationship, with NFU Mutual opting to migrate their on-premises deployment of Guidewire InsuranceSuite to Guidewire Cloud Platform. NFU Mutual will become the latest insurer to migrate to Guidewire Cloud Platform.
</t>
    </r>
    <r>
      <rPr>
        <b val="true"/>
        <sz val="10"/>
        <color rgb="FF7030A0"/>
        <rFont val="EYInterstate"/>
        <family val="0"/>
        <charset val="1"/>
      </rPr>
      <t xml:space="preserve">Jun' 26 - NFU Mutual held its AGM on 25 June 2026 at Stoneleigh Park, Warwickshire. Separately, the Commercial Court confirmed a Preliminary Issue Trial for the joined business-interruption claims against NFU Mutual (Innventure Ltd and others; South Farm Ltd and others), now listed for the week of 9-13 November 2026 (having been expected earlier in mid-2026), addressing whether COVID-era lockdown measures constitute an insured 'incident' under the relevant policies.</t>
    </r>
  </si>
  <si>
    <t xml:space="preserve">https://www.businesswire.com/news/home/20260126340964/en/NFU-Mutual-to-Further-Improve-Customer-Service-by-Moving-to-Guidewire-Cloud-Platform
https://www.aviva.com/newsroom/news-releases/2025/11/aviva-signs-new-protection-distribution-agreement-with-nfu-mutual/
https://www.nfumutual.co.uk/about-us/agm/
https://soultonhall.co.uk/2026/transparency-and-timing-november-2026-trial-set-for-nfu-mutual-business-interruption-claims/</t>
  </si>
  <si>
    <t xml:space="preserve">https://eyindia.sharepoint.com/:b:/r/sites/InsuranceResearch/Shared%20Documents/Insurance%20Research/Top%2020%20UK/NFU%20Mutual%20Fund%20Annual%20report%202024.pdf?csf=1&amp;web=1&amp;e=PztFjK</t>
  </si>
  <si>
    <t xml:space="preserve">Waseem Ahmed</t>
  </si>
  <si>
    <t xml:space="preserve">Richard Morley</t>
  </si>
  <si>
    <t xml:space="preserve">Iain Baker</t>
  </si>
  <si>
    <t xml:space="preserve">Phoenix Group Holdings
(Rebranded as Standard Life Plc)</t>
  </si>
  <si>
    <t xml:space="preserve">Andy Briggs, MBE</t>
  </si>
  <si>
    <r>
      <rPr>
        <sz val="10"/>
        <color theme="1"/>
        <rFont val="EYInterstate"/>
        <family val="0"/>
        <charset val="1"/>
      </rPr>
      <t xml:space="preserve">Feb' 26 - Phoenix Group Holdings plc officially changed its name to Standard Life plc on 24 February 2026, following shareholder approval and Companies House registration.
Apr' 26 - Standard Life, which recently rebranded from Phoenix Group, has agreed to purchase rival Aegon's UK business in a substantial £2 billion deal. This strategic acquisition is set to reshape the UK's financial landscape by creating a dominant pension and savings entity.
</t>
    </r>
    <r>
      <rPr>
        <sz val="10"/>
        <color rgb="FF00B050"/>
        <rFont val="EYInterstate"/>
        <family val="0"/>
        <charset val="1"/>
      </rPr>
      <t xml:space="preserve">May' 26 - Standard Life has completed a £200 million bulk purchase annuity (BPA) transaction with the Abbey Life Assurance Company Limited Staff Pension Scheme, securing the benefits of over 1,500 members.</t>
    </r>
  </si>
  <si>
    <t xml:space="preserve">https://www.londonstockexchange.com/news-article/PHNX/change-of-company-name/17474860
https://www.britbrief.co.uk/business/acquisitions/standard-life-buys-aegon-uk-in-2bn-pension-deal.html
https://www.standardlifeplc.com/news-and-views/press-releases/article-page/buy-in-with-abbey-life</t>
  </si>
  <si>
    <t xml:space="preserve">https://eyindia.sharepoint.com/:b:/r/sites/InsuranceResearch/Shared%20Documents/Insurance%20Research/Top%2020%20UK/Phieonox%20Annual%20Report%202024.pdf?csf=1&amp;web=1&amp;e=xj66AF</t>
  </si>
  <si>
    <t xml:space="preserve">AR pg - 97</t>
  </si>
  <si>
    <t xml:space="preserve">Katie Murray</t>
  </si>
  <si>
    <t xml:space="preserve">Nicolaos Nicandrou</t>
  </si>
  <si>
    <t xml:space="preserve">Nicholas Anderson</t>
  </si>
  <si>
    <t xml:space="preserve">Prudential Plc</t>
  </si>
  <si>
    <t xml:space="preserve">Life and Health</t>
  </si>
  <si>
    <t xml:space="preserve">Keith Pogson</t>
  </si>
  <si>
    <r>
      <rPr>
        <sz val="10"/>
        <color rgb="FF000000"/>
        <rFont val="EYInterstate"/>
        <family val="0"/>
        <charset val="1"/>
      </rPr>
      <t xml:space="preserve">Jan' 26 - Prudential plc ("Prudential") announces that Sir Douglas Flint will be appointed as a Non-Executive Director and Chair-Designate to succeed Shriti Vadera as Chair of the Board following the Company's Annual General Meeting on 28 May 2026 when Shriti Vadera will retire from the Board after six years of service.
Mar'26 - S&amp;P Global Ratings upgraded the Financial Strength rating of Prudential's core entities to AA (from AA-) reflecting the Group’s robust capital position.
</t>
    </r>
    <r>
      <rPr>
        <sz val="10"/>
        <color rgb="FF00B050"/>
        <rFont val="EYInterstate"/>
        <family val="0"/>
        <charset val="1"/>
      </rPr>
      <t xml:space="preserve">May' 26 - To acquire a 75% stake in Bharti Life Insurance Company Limited (“Bharti Life”), a prominent Indian life insurer, from Bharti Life Ventures Pvt Ltd and 360 ONE Asset Management (“360 ONE”).
</t>
    </r>
    <r>
      <rPr>
        <b val="true"/>
        <sz val="10"/>
        <color rgb="FF7030A0"/>
        <rFont val="EYInterstate"/>
        <family val="0"/>
        <charset val="1"/>
      </rPr>
      <t xml:space="preserve">May/Jun' 26 - Following the Bharti Life acquisition, ICICI Prudential Life Insurance disclosed to exchanges that Prudential will be required to reduce its shareholding in ICICI Prudential Life to below 10% (from 22%) and will cease to be classified as a promoter, once Prudential takes majority control of Bharti Life. Separately, Prudential has reaffirmed a US$2 billion share buyback programme to be completed by mid-2026.</t>
    </r>
  </si>
  <si>
    <t xml:space="preserve">https://uk.advfn.com/stock-market/london/prudential-PRU/share-news/Prudential-PLC-Appointment-of-Chair-Designate/97610507
https://www.prudentialplc.com/en/newsroom/company-news/2026/prudential-plc-2025-full-year-results/
https://www.prudentialplc.com/en/newsroom/company-news/2026/Prudential-plc-repositions-its-India-operations-through--a-controlling-stake-in-Bharti-Life-Insurance/
https://www.multibagg.ai/market-pulse/articles/prudential-bharti-life-icici-pru-cmr7myqw2poiuqs0j6arjaeqa
https://www.directorstalkinterviews.com/prudential-expands-india-presence-with-bharti-life-acquisition/4121251722</t>
  </si>
  <si>
    <t xml:space="preserve">11080
(USD)</t>
  </si>
  <si>
    <t xml:space="preserve">https://eyindia.sharepoint.com/:b:/r/sites/InsuranceResearch/Shared%20Documents/Insurance%20Research/Top%2020%20UK/Prudential-plc-ar-2025.pdf?csf=1&amp;web=1&amp;e=yhMMFp</t>
  </si>
  <si>
    <t xml:space="preserve">AR pg - 249</t>
  </si>
  <si>
    <t xml:space="preserve">Benjamin Bulmer</t>
  </si>
  <si>
    <t xml:space="preserve">Avnish Kalra</t>
  </si>
  <si>
    <t xml:space="preserve">RSA Insurance Group 
(now Intact Insurance)</t>
  </si>
  <si>
    <t xml:space="preserve">Ken Norgrove</t>
  </si>
  <si>
    <t xml:space="preserve">Doru Pantea</t>
  </si>
  <si>
    <t xml:space="preserve">1. Audit client 
2. Business Relationship restriction
3. GCSP Approval
4. Audit Committee preapproval and/or IESBA Pre-concurrence required for services
5. Consultation Required
6. Firm Loan</t>
  </si>
  <si>
    <t xml:space="preserve">Sep' 25 - RSA is now Intact Insurance in the UK, Ireland, and across Europe. It has appointed Tom Argentieri as chief distribution officer UK and Europe, RSA Specialty Lines.
Mar'26 - Intact Insurance is bringing its North American surety proposition to the UK as part of wider ambitions to scale its specialty lines business, hiring former Allianz Trade head of surety and guarantee David Weale to lead the expansion.
Apr'26 - Geo Underwriting has announced a new capacity partnership with Intact Insurance for its specialist marine trade proposition, with the arrangement set to take effect on May 1, 2026. The managing general agent (MGA) said the collaboration is intended to expand its trading capability in the specialist industrial marine space, offering brokers more competitive solutions as the market continues to evolve.
Intact Financial Corporation appointed Sameer Madan as Chief of Finance, Technology and Operations (CFTO) for its India Global Capability Center (GCC), based in Gurugram — his mandate covers operational stewardship, AI-led finance transformation and building integrated enterprise functions for Intact's India GCC (relevant to RSA/Intact's broader technology and finance operating model, which now includes an India GCC).
May' 26 - Intact Insurance has launched a new ‘Claims Charter’, a series of clear and measurable commitments designed to give brokers greater confidence and consistency in how claims are handled by the insurer
May' 26 - Intact Insurance is rolling out ‘Risk Assist’ as a core policy offering across its entire commercial lines portfolio. The new service will give brokers a practical way to support customers in making their businesses more resilient through risk management support, tools and training.
Jun' 26 - Six of the eTrade commercial products have achieved a 5 Star Rating from Defaqto. This is the highest level of independent product recognition available in the UK insurance market.</t>
  </si>
  <si>
    <t xml:space="preserve">https://www.rsainsurance.co.uk/
https://www.insuranceage.co.uk/people/7957330/c%C3%B4t%C3%A9-reunites-with-argentieri-as-rsa-recruits-cdo-from-allianz
https://www.postonline.co.uk/news/7960053/intact-bringing-us-surety-play-to-uk-market
https://www.insurancebusinessmag.com/uk/news/marine/geo-underwriting-intact-announce-marine-capacity-deal-571676.aspx
https://www.intactinsurance.co.uk/news/press-releases/intact-insurance-launches-new-claims-charter
https://www.intactinsurance.co.uk/news/press-releases/intact-insurance-extends-risk-consulting-service-for-commercial-lines-policyholders
https://www.intactinsurance.co.uk/news/updates/six-etrade-products-rated-5-star-defaqto
https://hrtoday.in/sameer-madan-joins-intact-india-as-chief-of-finance-technology-and-operations-for-india-gcc/</t>
  </si>
  <si>
    <t xml:space="preserve">https://eyindia.sharepoint.com/:b:/r/sites/InsuranceResearch/Shared%20Documents/Insurance%20Research/Top%2020%20UK/RSA%20Insurance%20Annual%20Report%202025.pdf?csf=1&amp;web=1&amp;e=eOvlg3</t>
  </si>
  <si>
    <t xml:space="preserve">AR pg - 39</t>
  </si>
  <si>
    <t xml:space="preserve">Yasemin Dogu</t>
  </si>
  <si>
    <t xml:space="preserve">Karim Hirji</t>
  </si>
  <si>
    <t xml:space="preserve">Kam Phry</t>
  </si>
  <si>
    <t xml:space="preserve">Zurich Insurance UK</t>
  </si>
  <si>
    <t xml:space="preserve">Drazen Jaksic</t>
  </si>
  <si>
    <r>
      <rPr>
        <sz val="10"/>
        <color rgb="FF000000"/>
        <rFont val="EYInterstate"/>
        <family val="0"/>
        <charset val="1"/>
      </rPr>
      <t xml:space="preserve">Mar' 26 - Zurich Corporate Risk has launched a cancer risk assessment tool designed to help employees of group risk customers better understand and reduce their risk of developing cancer. The digital tool, which is free to access and available to all schemes automatically, is provided by Further.
Mar' 26 - Zurich Insurance Group announced it has agreed with UK specialty insurer Beazley on the terms of an all-cash offer to acquire Beazley for US$10.9 billion.
Apr'26 - Zurich is giving more than three million Life Protection customers access to Empathy at no extra cost, a pioneering human-led and digital bereavement support service, making it the first major business in the UK to offer comprehensive loss support at this scale. The move marks a significant expansion of Zurich’s customer support and a natural extension of its established empathy-led approach, moving beyond traditional insurance cover to supporting customers through life’s hardest moments.
</t>
    </r>
    <r>
      <rPr>
        <sz val="10"/>
        <color rgb="FF00B050"/>
        <rFont val="EYInterstate"/>
        <family val="0"/>
        <charset val="1"/>
      </rPr>
      <t xml:space="preserve">May' 26 - Zurich Insurance is introducing a global 24/7 emergency response service to help with the rapid clean-up of spills and environmental incidents of all types, giving customers instant access to specialist support and helping limit damage.
</t>
    </r>
    <r>
      <rPr>
        <sz val="10"/>
        <color rgb="FF000000"/>
        <rFont val="EYInterstate"/>
        <family val="0"/>
        <charset val="1"/>
      </rPr>
      <t xml:space="preserve">
</t>
    </r>
    <r>
      <rPr>
        <sz val="10"/>
        <color rgb="FF00B050"/>
        <rFont val="EYInterstate"/>
        <family val="0"/>
        <charset val="1"/>
      </rPr>
      <t xml:space="preserve">May' 26 - Zurich UK today announces further enhancements to its SME eTrade Commercial Combined offering on Acturis. These enhancements will make it simpler and more flexible for brokers to trade on both Acturis and Zurich Online.
</t>
    </r>
    <r>
      <rPr>
        <sz val="10"/>
        <color rgb="FF000000"/>
        <rFont val="EYInterstate"/>
        <family val="0"/>
        <charset val="1"/>
      </rPr>
      <t xml:space="preserve">
</t>
    </r>
    <r>
      <rPr>
        <sz val="10"/>
        <color rgb="FF00B050"/>
        <rFont val="EYInterstate"/>
        <family val="0"/>
        <charset val="1"/>
      </rPr>
      <t xml:space="preserve">Jun' 26 - Insurer Zurich UK today announces its Retail Protection claims paid statistics for 2025. Individual protection payments to customers and their families following a bereavement, illness or injury amounted to £392 million. This is up 9% year-on-year, from £361 million in 2024. Over the course of 2025, more than 5,500 new claims were paid, averaging 15 claims paid a day.
</t>
    </r>
    <r>
      <rPr>
        <b val="true"/>
        <sz val="10"/>
        <color rgb="FF7030A0"/>
        <rFont val="EYInterstate"/>
        <family val="0"/>
        <charset val="1"/>
      </rPr>
      <t xml:space="preserve">Jun/Jul' 26 - Zurich's £8.1bn (~US$10.9bn) all-cash offer for Beazley plc continued clearing regulatory hurdles: Australia's ACCC cleared the deal on 17 June 2026, and the European Commission cleared it under the simplified merger procedure on 7 July 2026 (Case M.12434). Approval from the UK's PRA and FCA, Lloyd's of London, Switzerland's FINMA, and UK court sanction of the scheme of arrangement are still outstanding; completion is expected in H2 2026. Zurich had raised its own Beazley shareholding to 4.50% via market purchases as of 10 June 2026.</t>
    </r>
  </si>
  <si>
    <t xml:space="preserve">https://healthcareandprotection.com/zurich-launches-cancer-assessment-tool-from-further-for-group-risk-schemes/
https://www.insurancejournal.com/news/international/2026/03/02/860121.htm
https://insurance-edge.net/2026/04/15/zurich-teams-up-with-empathy-on-bereavement-support/
https://www.zurich.co.uk/media-centre/emergency-environmental-response-service-added-to-zurich-cover
https://www.zurich.co.uk/media-centre/zurich-uk-enhances-sme-etrade-commercial-combined-offering
https://www.zurich.co.uk/media-centre/zurich-retail-protection-claims-payments-up-2025
https://www.insurancebusinessmag.com/us/news/breaking-news/european-commission-clears-zurichs-8-1-billion-acquisition-of-beazley-582095.aspx
https://www.insurancejournal.com/news/international/2026/06/18/874150.htm
</t>
  </si>
  <si>
    <t xml:space="preserve">https://www.zurich.co.uk/media-centre/zurich-uk-reports-its-full-year-results-for-the-2024</t>
  </si>
  <si>
    <t xml:space="preserve">In the link</t>
  </si>
  <si>
    <t xml:space="preserve">Ralph Daals</t>
  </si>
  <si>
    <t xml:space="preserve">Helen Pickford</t>
  </si>
  <si>
    <t xml:space="preserve">Shaun Hicks</t>
  </si>
  <si>
    <t xml:space="preserve">Hiscox Ltd (UK)</t>
  </si>
  <si>
    <t xml:space="preserve">Aki Hussain</t>
  </si>
  <si>
    <t xml:space="preserve">Andy Blackmore</t>
  </si>
  <si>
    <r>
      <rPr>
        <sz val="10"/>
        <color rgb="FF000000"/>
        <rFont val="EYInterstate"/>
        <family val="0"/>
        <charset val="1"/>
      </rPr>
      <t xml:space="preserve">Feb' 26 - Hiscox, the global specialist insurer, has introduced its first technology graduate programme, aimed at attracting and developing the next generation of tech talent as the Group looks to drive digital innovation and growth. This reinforces Hiscox’s positioning as a tech‑forward specialist insurer, particularly within the UK specialty and SME markets.
Feb' 26 - Through strategic execution the company made strong progress on strategic growth and change initiatives, building on the momentum of prior years, to establish the foundations to progress at pace. The Group has set clear ambitions to accelerate Hiscox Retail's growth to double-digit and realise a P&amp;L benefit of $200 million in 2028 and onwards from change programme, while pioneering the use of cutting-edge technologies to access new markets and drive increased operating leverage. We are firmly on track to deliver against this strategy and ambition.
</t>
    </r>
    <r>
      <rPr>
        <b val="true"/>
        <sz val="10"/>
        <color rgb="FF7030A0"/>
        <rFont val="EYInterstate"/>
        <family val="0"/>
        <charset val="1"/>
      </rPr>
      <t xml:space="preserve">May' 26 - Hiscox issued its Q1 2026 trading statement (7 May 2026) and held its AGM (14 May 2026). The Group continued executing its share buyback programme (commenced Feb 2026) throughout Q2 2026, repurchasing and cancelling shares in multiple tranches through June and into early July 2026, signalling continued capital strength and a focus on shareholder returns.</t>
    </r>
  </si>
  <si>
    <t xml:space="preserve">https://www.hiscoxgroup.com/news/press-releases/2026/16-02-26
https://www.londonstockexchange.com/news-article/HSX/full-year-results/17475217
https://www.hiscoxgroup.com/news/press-releases
https://www.tipranks.com/news/company-announcements/hiscox-continues-share-buyback-cancels-335000-plus-shares</t>
  </si>
  <si>
    <t xml:space="preserve">4883
(in USD)</t>
  </si>
  <si>
    <t xml:space="preserve">https://eyindia.sharepoint.com/:b:/r/sites/InsuranceResearch/Shared%20Documents/Insurance%20Research/Top%2020%20UK/Hiscox_report_and_accounts_2025.pdf?csf=1&amp;web=1&amp;e=OJYNw3</t>
  </si>
  <si>
    <t xml:space="preserve">AR pg - 160</t>
  </si>
  <si>
    <t xml:space="preserve">Daniel Williams</t>
  </si>
  <si>
    <t xml:space="preserve">Tom Shewry</t>
  </si>
  <si>
    <t xml:space="preserve">Fabrice Brossart</t>
  </si>
  <si>
    <t xml:space="preserve">Hastings Group</t>
  </si>
  <si>
    <t xml:space="preserve">Toby van der Meer</t>
  </si>
  <si>
    <t xml:space="preserve">Sébastien Gizard</t>
  </si>
  <si>
    <r>
      <rPr>
        <sz val="10"/>
        <color theme="1"/>
        <rFont val="EYInterstate"/>
        <family val="0"/>
        <charset val="1"/>
      </rPr>
      <t xml:space="preserve">Mar' 25 - Hastings Insurance Services Limited ("Hastings") successfully appealed against a HMRC decision to deny £16m of VAT recovery, with the tribunal deeming that a UK anti-avoidance provision, introduced from 1 March 2019, was incompatible with EU law.
</t>
    </r>
    <r>
      <rPr>
        <sz val="10"/>
        <color rgb="FF00B050"/>
        <rFont val="EYInterstate"/>
        <family val="0"/>
        <charset val="1"/>
      </rPr>
      <t xml:space="preserve">May' 26 - Hastings sustainability report major highlights:
Recognized as the UK's #1 Best Big Company to Work For for the second consecutive year.
Delivered 219,806 learning hours across the workforce.
Supported 90 colleagues through apprenticeships and hired 23 graduates.</t>
    </r>
  </si>
  <si>
    <t xml:space="preserve">https://www.rsmuk.com/insights/tax-voice/hmrc-loses-vat-battle-of-hastings-for-the-second-time
https://www.hastingsgroup.uk/news-announcements/hastings-sustainability-report-2025</t>
  </si>
  <si>
    <t xml:space="preserve">https://www.hastingsgroup.uk/news-announcements/hastings-group-reports-fourth-quarter-results-2025</t>
  </si>
  <si>
    <t xml:space="preserve">Jamie Hay</t>
  </si>
  <si>
    <t xml:space="preserve">Briony Horvath</t>
  </si>
  <si>
    <t xml:space="preserve">Ecclesiastical Insurance Group</t>
  </si>
  <si>
    <t xml:space="preserve">Mark Hews</t>
  </si>
  <si>
    <r>
      <rPr>
        <sz val="10"/>
        <color rgb="FF000000"/>
        <rFont val="EYInterstate"/>
        <family val="0"/>
        <charset val="1"/>
      </rPr>
      <t xml:space="preserve">Nov' 25 - The specialist insurer topped the list of 46 insurers, including NFU Mutual, Bank of Scotland, TSB, Lloyds Bank, and NatWest, retaining Gold Ribbon status for another year. Fairer Finance, an independent consumer group, surveys around 20,000 UK banking and insurance customers throughout the year, asking them to rate how satisfied they are with their bank or insurance company.
Feb' 26 - Claims specialists at Ecclesiastical Insurance saved over £3million challenging fraudulent claims during 2025. Ecclesiastical Insurance’s claims team investigated over 280 cases of suspected fraudulent activity during 2025, a 20% increase on 2024.
</t>
    </r>
    <r>
      <rPr>
        <b val="true"/>
        <sz val="10"/>
        <color rgb="FF7030A0"/>
        <rFont val="EYInterstate"/>
        <family val="0"/>
        <charset val="1"/>
      </rPr>
      <t xml:space="preserve">Jan-Jun' 26 - Francois-Xavier Boisseau (ex-Ageas) became Chair of Benefact Group and Ecclesiastical Insurance Office from 1 January 2026, succeeding David Henderson. Ecclesiastical published its 2025 Annual Results on 20 March 2026. On 24 June 2026, shareholders overwhelmingly approved (99.94% in favour) a Special Resolution amending the company's Articles of Association at a General Meeting.
</t>
    </r>
  </si>
  <si>
    <t xml:space="preserve">https://www.ecclesiastical.com/media-centre/crack-down-on-fraudsters/
https://www.ecclesiastical.com/media-centre/ecclesiastical-tops-fairer-finance-home-insurance-table-for-22nd-time/
https://www.insuranceage.co.uk/organisations/ecclesiastical
https://www.tipranks.com/news/company-announcements/ecclesiastical-insurance-shareholders-back-articles-change-with-overwhelming-majority</t>
  </si>
  <si>
    <t xml:space="preserve">https://eyindia.sharepoint.com/:b:/r/sites/InsuranceResearch/Shared%20Documents/Insurance%20Research/Top%2020%20UK/Ecclesiastical-annual-results-2025.pdf?csf=1&amp;web=1&amp;e=43TThX</t>
  </si>
  <si>
    <t xml:space="preserve">AR pg - 1</t>
  </si>
  <si>
    <t xml:space="preserve">James Coyle</t>
  </si>
  <si>
    <t xml:space="preserve">Mark Bennett</t>
  </si>
  <si>
    <t xml:space="preserve">Richard Peden</t>
  </si>
  <si>
    <t xml:space="preserve">Convex Insurance</t>
  </si>
  <si>
    <t xml:space="preserve">Paul Brand</t>
  </si>
  <si>
    <t xml:space="preserve">Tim Piggott</t>
  </si>
  <si>
    <t xml:space="preserve">1. GCSP Approval
2. Consultation Required
3. Firm loan
4. Business Relationships</t>
  </si>
  <si>
    <r>
      <rPr>
        <sz val="10"/>
        <color theme="1"/>
        <rFont val="EYInterstate"/>
        <family val="0"/>
        <charset val="1"/>
      </rPr>
      <t xml:space="preserve">Feb' 26 - Convex’s partnership with Onex to a 63% equity stake and initiates its long-term strategic relationship with AIG, which has an approximately 35% equity stake.
Feb' 26 - S&amp;P Global Ratings upgraded Convex’s operating entities to ‘A’ with stable outlook, reflecting strong capitalization and underwriting discipline—supportive of Convex Insurance UK’s standing in the London market.
</t>
    </r>
    <r>
      <rPr>
        <sz val="10"/>
        <color rgb="FF00B050"/>
        <rFont val="EYInterstate"/>
        <family val="0"/>
        <charset val="1"/>
      </rPr>
      <t xml:space="preserve">Apr' 26 - Convex Group, the expansive global specialty insurance and reinsurance underwriter, has returned to the catastrophe bond market and has an initial target to secure $200 million or more in retrocession from its fourth catastrophe bond sponsorship, a Hypatia Ltd. (Series 2026-1)  issuance
May' 26 - Convex Group Ltd., the international specialty insurer and reinsurer, announced it has received in-principle approval to launch Lloyd’s Syndicate 1987, which is planned to commence underwriting on July 1, 2026, subject to appropriate regulatory approvals.
</t>
    </r>
    <r>
      <rPr>
        <sz val="10"/>
        <color theme="1"/>
        <rFont val="EYInterstate"/>
        <family val="0"/>
        <charset val="1"/>
      </rPr>
      <t xml:space="preserve">
</t>
    </r>
    <r>
      <rPr>
        <sz val="10"/>
        <color rgb="FF00B050"/>
        <rFont val="EYInterstate"/>
        <family val="0"/>
        <charset val="1"/>
      </rPr>
      <t xml:space="preserve">Jun' 26 - Convex Group Limited, the international specialty insurer and reinsurer, announces the launch of Kinetic Insurance Services (Kinetic), a wholly owned, technology-enabled Managing General Agency (“MGA”) which will start trading in Q4 2026.</t>
    </r>
  </si>
  <si>
    <t xml:space="preserve">https://convexin.com/wp-content/uploads/2026/02/Press-release-Convexs-new-ownership-structure-receives-regulatory-approval-060226.pdf
https://www.spglobal.com/ratings/en/regulatory/article/-/view/sourceId/101654748
https://www.artemis.bm/news/convex-targets-200m-of-retrocession-with-its-fourth-hypatia-catastrophe-bond/
https://www.insurancejournal.com/news/international/2026/05/28/871600.htm
https://convexin.com/wp-content/uploads/2026/06/Convex-MGA-release-030526.pdf</t>
  </si>
  <si>
    <t xml:space="preserve">5,879 (in USD)</t>
  </si>
  <si>
    <t xml:space="preserve">https://convexin.com/2026/02/20/record-profit-achieved-in-2025/</t>
  </si>
  <si>
    <t xml:space="preserve">Amer Khalil</t>
  </si>
  <si>
    <t xml:space="preserve">Matthew Wilson</t>
  </si>
  <si>
    <t xml:space="preserve">Pierre Rodriguez</t>
  </si>
  <si>
    <t xml:space="preserve">Tesco Underwriting Limited        </t>
  </si>
  <si>
    <t xml:space="preserve">Craig Peter Bundell</t>
  </si>
  <si>
    <t xml:space="preserve">Jeremy Hallett</t>
  </si>
  <si>
    <r>
      <rPr>
        <sz val="10"/>
        <color theme="1"/>
        <rFont val="EYInterstate"/>
        <family val="0"/>
        <charset val="1"/>
      </rPr>
      <t xml:space="preserve">Jul' 25 - Craig Peter Bundell was appointed Chief Executive Officer of Tesco Underwriting Limited in July 2025. He joined the boards of Tesco Underwriting Limited and Tesco Personal Finance Limited (Tesco Bank) at the same time.
Mar' 26 - Tesco Insurance and Money Services (Tesco IMS) has kicked off a comprehensive digital transformation programme, enabling the insurance company to establish a robust cloud-first ecosystem and create improved value for customers.
</t>
    </r>
    <r>
      <rPr>
        <sz val="10"/>
        <color rgb="FF00B050"/>
        <rFont val="EYInterstate"/>
        <family val="0"/>
        <charset val="1"/>
      </rPr>
      <t xml:space="preserve">
May' 26 - Tesco announces the launch of Aviva-underwritten critical illness cover, expanding their joint protection offering. Customers can now protect themselves and their families financially in the event of a serious illness.
Jul' 26 - Tesco Insurance and Money Services has today announced its ‘Free Parent Life Cover’ proposition in partnership with Aviva, designed to help families take their first step into life insurance and protect what matters most.</t>
    </r>
  </si>
  <si>
    <t xml:space="preserve">https://corporate.tescoinsurance.com/tesco-insurance-names-new-ceo-following-separation-from-tesco-bank/
https://www.fstech.co.uk/fst/Tesco_Insurance_And_Money_Services_Turns_Attention_Towards_Digital_Transformation.php
https://corporate.tescoinsurance.com/tesco-and-aviva-expand-protection-offering-with-launch-of-critical-illness-cover/
https://corporate.tescoinsurance.com/tesco-insurance-introduces-free-parent-life-cover-in-partnership-with-aviva/</t>
  </si>
  <si>
    <t xml:space="preserve">https://eyindia.sharepoint.com/:b:/r/sites/InsuranceResearch/Shared%20Documents/Insurance%20Research/Top%2020%20UK/Tesco-limited-annual-accounts-2024.pdf?csf=1&amp;web=1&amp;e=Jyh1DA</t>
  </si>
  <si>
    <t xml:space="preserve">AR pg - 5</t>
  </si>
  <si>
    <t xml:space="preserve">
Ryan Aitken</t>
  </si>
  <si>
    <t xml:space="preserve">Gillian Cass</t>
  </si>
  <si>
    <t xml:space="preserve">David Reeman</t>
  </si>
  <si>
    <t xml:space="preserve">Markerstudy Group UK</t>
  </si>
  <si>
    <t xml:space="preserve">Kevin Spencer</t>
  </si>
  <si>
    <t xml:space="preserve">Peter Galka</t>
  </si>
  <si>
    <r>
      <rPr>
        <sz val="10"/>
        <color theme="1"/>
        <rFont val="EYInterstate"/>
        <family val="0"/>
        <charset val="1"/>
      </rPr>
      <t xml:space="preserve">Feb' 26 - The Financial Conduct Authority has imposed customer and capital limits on private equity-backed insurer Markerstudy, placing regulatory constraints on an acquisition-driven growth strategy supported by Pollen Street Capital and Bain Capital. The restrictions apply across Markerstudy’s regulated businesses and require the group to remain within agreed limits on policy numbers and funding while governance and financial control issues are addressed.
Mar' 26 - Glen Ward has joined Markerstudy’s senior leadership team as Group Chief Financial Officer (subject to regulatory approval) bringing with him a wealth of experience in the financial services sector, including notable tenures at Admiral Insurance as Group Finance Director and UK Insurance CFO.
</t>
    </r>
    <r>
      <rPr>
        <sz val="10"/>
        <color rgb="FF00B050"/>
        <rFont val="EYInterstate"/>
        <family val="0"/>
        <charset val="1"/>
      </rPr>
      <t xml:space="preserve">May' 26 - Markerstudy Business, the commercial insurance arm of Markerstudy Group, has declared itself open, subject to regulatory approval, after chief executive Ross Barrington (pictured above) signed off a strategy to lift the unit to £200 million in gross written premium.
May' 26 - Markerstudy Group is set to sell its managing general agent arm to the parent company of insurer Tradex as it focuses on broking, Insurance Age has learned.
</t>
    </r>
    <r>
      <rPr>
        <sz val="10"/>
        <color theme="1"/>
        <rFont val="EYInterstate"/>
        <family val="0"/>
        <charset val="1"/>
      </rPr>
      <t xml:space="preserve">
</t>
    </r>
    <r>
      <rPr>
        <sz val="10"/>
        <color rgb="FF00B050"/>
        <rFont val="EYInterstate"/>
        <family val="0"/>
        <charset val="1"/>
      </rPr>
      <t xml:space="preserve">Jul' 26 - Markerstudy Group has sold Markerstudy Insurance Services Limited (MISL) to Saturn Holdings PLC (Saturn), parent company of Tradex Insurance Company PLC (Tradex). This transaction represents an important step in Markerstudy’s strategy to sharpen its focus on its Retail operation, enabling the Group to accelerate investment in customer experience, digital capability and sustainable, long-term growth.</t>
    </r>
  </si>
  <si>
    <t xml:space="preserve">https://www.markerstudygroup.com/media/news/markerstudy-group/markerstudy-welcomes-glen-ward-as-group-chief-financial-officer/
https://www.insurancebusinessmag.com/uk/news/breaking-news/markerstudy-hit-with-fca-restrictions-564021.aspx
https://www.insurancebusinessmag.com/uk/news/breaking-news/markerstudy-launches-commercial-arm-targeting-200-million-gwp-574556.aspx
https://www.insuranceage.co.uk/insurer/7958332/markerstudy-to-sell-mga-business-with-cuo-humphreys-poised-to-exit
https://www.markerstudygroup.com/media/news/markerstudy-group/markerstudy-group-completes-sale-of-misl-to-saturn-to-support-strategic-focus-and-future-growth/</t>
  </si>
  <si>
    <t xml:space="preserve">https://eyindia.sharepoint.com/:b:/r/sites/InsuranceResearch/Shared%20Documents/Insurance%20Research/Top%2020%20UK/Makerstudy%20-annual-report-2024.pdf?csf=1&amp;web=1&amp;e=ZoiU2k</t>
  </si>
  <si>
    <t xml:space="preserve">AR pg - 7</t>
  </si>
  <si>
    <t xml:space="preserve">Elaine Francis-McCusker</t>
  </si>
  <si>
    <t xml:space="preserve">Glen Ward</t>
  </si>
  <si>
    <t xml:space="preserve">Darran Boland</t>
  </si>
  <si>
    <t xml:space="preserve">Regrouped:The two companies listed below were earlier part of the Top 20 UK Insurer list and have since been moved below the Top 20 following the latest news flow.</t>
  </si>
  <si>
    <t xml:space="preserve">Aegon UK Plc</t>
  </si>
  <si>
    <t xml:space="preserve">Mike Holliday-Williams</t>
  </si>
  <si>
    <t xml:space="preserve">Tom de Kuijper</t>
  </si>
  <si>
    <t xml:space="preserve">1. Audit client
2. Business Relationship restriction
3. GSP approval required
4. Audit Committee preapproval and/or IESBA Pre-concurrence required for services
5. Firm Loan 
6. Consultation Required</t>
  </si>
  <si>
    <r>
      <rPr>
        <sz val="10"/>
        <color theme="1"/>
        <rFont val="EYInterstate"/>
        <family val="0"/>
        <charset val="1"/>
      </rPr>
      <t xml:space="preserve">Dec' 25 - Dutch insurance and asset management giant Aegon has announced a major strategic restructuring that involves moving its legal seat to the United States, rebranding as Transamerica, and potentially selling its Edinburgh-based UK business.
Feb' 26 - Lloyds Banking Group Plc and Phoenix Group Holdings Plc are among bidders for the UK arm of Dutch insurer Aegon Ltd., people familiar with the matter said. 
They’re among parties that submitted initial offers this month, the people said, asking not to be identified because the information is private. Aegon UK has also attracted early interest from Great-West Lifeco Inc.’s Canada Life unit and Royal London, according to the people. 
</t>
    </r>
    <r>
      <rPr>
        <sz val="10"/>
        <color rgb="FF00B050"/>
        <rFont val="EYInterstate"/>
        <family val="0"/>
        <charset val="1"/>
      </rPr>
      <t xml:space="preserve">Apr' 26 - Aegon to sell Aegon UK to Standard Life for a total consideration of GBP 2.0 billion. Transaction marks the completion of the strategic review of Aegon UK, further supporting Aegon in its ambition to become a leading US life insurance and retirement group</t>
    </r>
  </si>
  <si>
    <t xml:space="preserve">https://www.scottishfinancialnews.com/articles/edinburgh-based-aegon-uk-at-risk-of-sale-amid-us-strategic-pivot
https://financialpost.com/pmn/business-pmn/lloyds-phoenix-submit-initial-bids-for-aegons-uk-unit
https://www.aegon.com/newsroom/news/press-releases/2026/aegon-to-sell-aegon-uk-to-standard-life</t>
  </si>
  <si>
    <t xml:space="preserve">https://eyindia.sharepoint.com/sites/InsuranceResearch/Shared%20Documents/Forms/AllItems.aspx?id=%2Fsites%2FInsuranceResearch%2FShared%20Documents%2FInsurance%20Research%2FTop%2020%20UK%2FAegon%20UK%20PLC%20Group%20accounts%202024%2Epdf&amp;parent=%2Fsites%2FInsuranceResearch%2FShared%20Documents%2FInsurance%20Research%2FTop%2020%20UK</t>
  </si>
  <si>
    <t xml:space="preserve">AR pg - 41</t>
  </si>
  <si>
    <t xml:space="preserve">Mohit Dhingra</t>
  </si>
  <si>
    <t xml:space="preserve">Jim Ewing</t>
  </si>
  <si>
    <t xml:space="preserve">Alison Morris</t>
  </si>
  <si>
    <t xml:space="preserve">Beazley Plc</t>
  </si>
  <si>
    <t xml:space="preserve">Adrian Peter Cox</t>
  </si>
  <si>
    <t xml:space="preserve">Robert Bruce</t>
  </si>
  <si>
    <r>
      <rPr>
        <sz val="10"/>
        <color rgb="FF000000"/>
        <rFont val="EYInterstate"/>
        <family val="0"/>
        <charset val="1"/>
      </rPr>
      <t xml:space="preserve">Dec' 25 - Beazley remained the largest specialist cyber insurer globally, but took a notably disciplined stance. Beazley has completed a new $300 million 144A cyber catastrophe bond, expanding its use of insurance-linked securities to transfer cyber risk to capital markets.
Mar' 26 - Zurich Insurance Group announced it has agreed with UK specialty insurer Beazley on the terms of an all-cash offer to acquire Beazley for US$10.9 billion.
</t>
    </r>
    <r>
      <rPr>
        <b val="true"/>
        <sz val="10"/>
        <color rgb="FF7030A0"/>
        <rFont val="EYInterstate"/>
        <family val="0"/>
        <charset val="1"/>
      </rPr>
      <t xml:space="preserve">Jun/Jul' 26 - Zurich's £8.1bn all-cash acquisition of Beazley (agreed 2 March 2026, 1,335p/share, 99.9% shareholder approval in April 2026) has cleared Australia's ACCC (17 June 2026) and the European Commission (7 July 2026). Remaining conditions are PRA/FCA and Lloyd's approval, FINMA sign-off, and UK court sanction of the scheme of arrangement; completion expected H2 2026.</t>
    </r>
  </si>
  <si>
    <t xml:space="preserve">https://www.insurancejournal.com/news/international/2026/03/02/860121.htm
https://www.insurancebusinessmag.com/us/news/cyber/beazley-adds-300m-cyber-cat-bond-as-ils-strategy-deepens-560096.aspx
https://www.insurancebusinessmag.com/us/news/breaking-news/european-commission-clears-zurichs-8-1-billion-acquisition-of-beazley-582095.aspx</t>
  </si>
  <si>
    <t xml:space="preserve">6100.7
(in USD)</t>
  </si>
  <si>
    <t xml:space="preserve">https://eyindia.sharepoint.com/:b:/r/sites/InsuranceResearch/Shared%20Documents/Insurance%20Research/Top%2020%20UK/Bezley%20PLC%20Annual%20Report%202025.pdf?csf=1&amp;web=1&amp;e=8FR6or</t>
  </si>
  <si>
    <t xml:space="preserve">Sarah Hudson‑Jordan</t>
  </si>
  <si>
    <t xml:space="preserve">Barbara Plucnar Jensen</t>
  </si>
  <si>
    <t xml:space="preserve">Dan Ryan</t>
  </si>
  <si>
    <t xml:space="preserve">Regrouped: The brokers mentioned below were earlier classified under the Top 20 UK Insurer list</t>
  </si>
  <si>
    <t xml:space="preserve">Brokers</t>
  </si>
  <si>
    <t xml:space="preserve">Aon Plc</t>
  </si>
  <si>
    <t xml:space="preserve">Broker</t>
  </si>
  <si>
    <t xml:space="preserve">Gregory C. Case</t>
  </si>
  <si>
    <t xml:space="preserve">Sarah Clamp</t>
  </si>
  <si>
    <t xml:space="preserve">1. Audit client  
2. Business Relationship restriction
3. GCSP Approval
4. Audit Committee preapproval and/or IESBA Pre-concurrence required for services
5. Consultation Required
6. Firm Loan </t>
  </si>
  <si>
    <r>
      <rPr>
        <sz val="10"/>
        <color theme="1"/>
        <rFont val="EYInterstate"/>
        <family val="0"/>
        <charset val="1"/>
      </rPr>
      <t xml:space="preserve">Mar' 26 -  Aon plc a leading global professional services firm, has announced Carl Nordling as commercial director for the UK and Nordics for its Global Benefits team.
Mar' 26 - Aon plc, a leading global professional services firm, has announced the UK launch of Health Risk Analyser, a predictive analytics solution designed to help organisations proactively manage healthcare costs and improve employee wellbeing.
</t>
    </r>
    <r>
      <rPr>
        <sz val="10"/>
        <color rgb="FF00B050"/>
        <rFont val="EYInterstate"/>
        <family val="0"/>
        <charset val="1"/>
      </rPr>
      <t xml:space="preserve">May' 26 - Aon Expands Aon Claims Copilot Globally, Strengthening Data and Analytics Capabilities Across Commercial Risk. Global rollout of Aon Claims Copilot integrates advanced claims data visibility and analytics into a single connected claims management platform
</t>
    </r>
    <r>
      <rPr>
        <sz val="10"/>
        <color theme="1"/>
        <rFont val="EYInterstate"/>
        <family val="0"/>
        <charset val="1"/>
      </rPr>
      <t xml:space="preserve">
</t>
    </r>
    <r>
      <rPr>
        <sz val="10"/>
        <color rgb="FF00B050"/>
        <rFont val="EYInterstate"/>
        <family val="0"/>
        <charset val="1"/>
      </rPr>
      <t xml:space="preserve">May' 26 - Aon to modernize how brokers access capital and syndicate risk with new Digital Placement Exchange (Aon DPX) trading platform. Aon DPX will be Aon's digital approach to placing Follow Line business in the London Market, using structured data and algorithmic trading to connect risk and capital more efficiently. 
</t>
    </r>
    <r>
      <rPr>
        <sz val="10"/>
        <color theme="1"/>
        <rFont val="EYInterstate"/>
        <family val="0"/>
        <charset val="1"/>
      </rPr>
      <t xml:space="preserve">
</t>
    </r>
    <r>
      <rPr>
        <sz val="10"/>
        <color rgb="FF00B050"/>
        <rFont val="EYInterstate"/>
        <family val="0"/>
        <charset val="1"/>
      </rPr>
      <t xml:space="preserve">Jun' 26 - Aon launches Contract AI to enhance contract certainty through rapid analysis of reinsurance coverage. AI solution analyzes policy exclusions following catastrophe, cyber and geopolitical events to better negotiate renewal terms for insurers</t>
    </r>
  </si>
  <si>
    <t xml:space="preserve">https://www.aon.com/unitedkingdom/media-room/articles/aon-carl-nordling-uk-nordics-director
https://www.aon.com/unitedkingdom/media-room/articles/aon-health-risk-analyser-uk-workforce-risks
https://www.prnewswire.com/in/news-releases/aon-expands-aon-claims-copilot-globally-strengthening-data-and-analytics-capabilities-across-commercial-risk-302770175.html
https://www.prnewswire.com/in/news-releases/aon-to-modernize-how-brokers-access-capital-and-syndicate-risk-with-new-digital-placement-exchange-aon-dpx-trading-platform-302773754.html
https://aon.mediaroom.com/news-releases?item=138603</t>
  </si>
  <si>
    <t xml:space="preserve">15698
(USD)</t>
  </si>
  <si>
    <t xml:space="preserve">https://eyindia.sharepoint.com/:b:/r/sites/InsuranceResearch/Shared%20Documents/Insurance%20Research/Top%2020%20UK/Aon-2024-10K-25635809.pdf?csf=1&amp;web=1&amp;e=eJD7pW</t>
  </si>
  <si>
    <t xml:space="preserve">AR Pg - 36</t>
  </si>
  <si>
    <t xml:space="preserve">Edmund Reese</t>
  </si>
  <si>
    <t xml:space="preserve">Mehmet Erzen</t>
  </si>
  <si>
    <t xml:space="preserve">WTW Plc</t>
  </si>
  <si>
    <t xml:space="preserve">Carl Hess</t>
  </si>
  <si>
    <t xml:space="preserve">Simon Burtwell</t>
  </si>
  <si>
    <t xml:space="preserve">WTW launches analytical service to optimise captive insurance
WTW launches a new analytical and strategic service, Captive Fit, designed to help companies optimise their captive insurance arrangements.
Apr' 26 - Willis, a WTW business, announced the launch of Digital Infrastructure Protector, a new, end-to-end lifecycle solution for data center owners and operators. This solution combines integrated policy coverage during both the construction and operations phases with enhanced, tailored risk management to help data center owners, operators, contractors, and hyperscalers minimize risk while maximizing operational and financial resiliency.
Jun' 26 - WTW launches AI Workforce Transformation solution to turn AI potential into enhanced workforce performance. AI Workforce Transformation solution which helps companies focus AI where it is expected to deliver productivity and growth gains through redesigned work, jobs and strong employee adoption.</t>
  </si>
  <si>
    <t xml:space="preserve">https://www.captiveinsurancetimes.com/captiveinsurancenews/industryarticle.php?article_id=9966&amp;navigationaction=industrynews&amp;newssection=industry
https://www.wtwco.com/en-gb/news/2026/04/willis-launches-digital-infrastructure-protector
https://www.wtwco.com/en-gb/news/2026/06/wtw-launches-ai-workforce-transformation-solution-to-turn-ai-potential-into-enhanced-workforce</t>
  </si>
  <si>
    <t xml:space="preserve">9708
(USD)</t>
  </si>
  <si>
    <t xml:space="preserve">https://eyindia.sharepoint.com/:b:/r/sites/InsuranceResearch/Shared%20Documents/Insurance%20Research/Top%2020%20UK/WTW%20Annual%20Report%202025.pdf?csf=1&amp;web=1&amp;e=qoSFDE</t>
  </si>
  <si>
    <t xml:space="preserve">AR pg - 50</t>
  </si>
  <si>
    <t xml:space="preserve">Andrew Krasner</t>
  </si>
  <si>
    <t xml:space="preserve">David Howden</t>
  </si>
  <si>
    <t xml:space="preserve">Ed Jervis</t>
  </si>
  <si>
    <t xml:space="preserve">1. Audit client 
2. Business Relationship restriction
3. GCSP Approval
4. Consultation Required
5. Firm Loan</t>
  </si>
  <si>
    <r>
      <rPr>
        <sz val="10"/>
        <color theme="1"/>
        <rFont val="EYInterstate"/>
        <family val="0"/>
        <charset val="1"/>
      </rPr>
      <t xml:space="preserve">Mar' 26 - Howden has agreed to acquire the insurance and financial services consulting team of Hymans Robertson, marking the formal launch of Howden Insurance Actuarial and Longevity. The new practice brings together the Hymans Robertson IFS specialists and Barnett Waddingham, which Howden purchased in March 2025. 
Feb' 26 - Howden has confirmed its latest fund raise to bolster funding available for future growth investments. The broker detailed that in a private offering, $690m (£509.8m) has been added to $500m of existing senior notes that run to 2032.
</t>
    </r>
    <r>
      <rPr>
        <sz val="10"/>
        <color rgb="FF00B050"/>
        <rFont val="EYInterstate"/>
        <family val="0"/>
        <charset val="1"/>
      </rPr>
      <t xml:space="preserve">May' 26 - Howden announces the acquisition of Opes Private Clients Limited (“Opes Wealth Trust”), a Dublin-based firm specialising in financial, retirement and investment planning. This acquisition strengthens Howden’s expanding Financial Advisory team in Ireland and enhances its growing Financial Advisory proposition with greater depth and technical expertise.</t>
    </r>
  </si>
  <si>
    <t xml:space="preserve">https://www.insuranceage.co.uk/insight/7958160/howden-diversifies-with-new-arm-on-back-of-acquisition
https://www.insuranceage.co.uk/insight/7957930/howden-confirms-703m-bond-raise
https://www.howdengroupholdings.com/news/howden-expands-its-financial-advisory-expertise-through-the-acquisition-of-opes-private-clients-limited</t>
  </si>
  <si>
    <t xml:space="preserve">https://www.howdengroupholdings.com/news/howden-announces-2024-full-year-results</t>
  </si>
  <si>
    <t xml:space="preserve">Susan Pankhurst</t>
  </si>
  <si>
    <t xml:space="preserve">Susan Panuccio</t>
  </si>
  <si>
    <t xml:space="preserve">Rebecca Scot</t>
  </si>
  <si>
    <t xml:space="preserve">Removed: The companies listed below were previously classified under the Top 20 but have now been removed due to acquisition</t>
  </si>
  <si>
    <t xml:space="preserve">Direct Line Insurance Group</t>
  </si>
  <si>
    <t xml:space="preserve">Adam Winslow</t>
  </si>
  <si>
    <t xml:space="preserve">Direct Line Insurance Group plc was acquired by Aviva plc on 1 July 2025.
</t>
  </si>
  <si>
    <t xml:space="preserve">https://www.directlinegroup.co.uk/en/index.html
</t>
  </si>
  <si>
    <t xml:space="preserve">https://eyindia.sharepoint.com/:b:/r/sites/InsuranceResearch/Shared%20Documents/Insurance%20Research/Top%2020%20UK/Direct%20Line%20annual-report-and-accounts-2024.pdf?csf=1&amp;web=1&amp;e=lIHGcz</t>
  </si>
  <si>
    <t xml:space="preserve">AR pg - 170</t>
  </si>
  <si>
    <t xml:space="preserve">Jane Poole</t>
  </si>
  <si>
    <t xml:space="preserve">Mark Gregory</t>
  </si>
  <si>
    <t xml:space="preserve">Churchill Insurance</t>
  </si>
  <si>
    <t xml:space="preserve">David O’Connor</t>
  </si>
  <si>
    <t xml:space="preserve">Jul' 25 - Churchill Insurance is a core retail brand within Direct Line Group, which was fully acquired by Aviva plc on 1 July 2025 following a court‑approved scheme of arrangement. Since then, Churchill operates under Aviva’s ownership alongside Direct Line and Green Flag</t>
  </si>
  <si>
    <t xml:space="preserve">https://www.aviva.com/newsroom/news-releases/2025/07/aviva-completes-acquisition-of-direct-line/</t>
  </si>
  <si>
    <t xml:space="preserve">Region</t>
  </si>
  <si>
    <t xml:space="preserve">Entity</t>
  </si>
  <si>
    <t xml:space="preserve">Key Trend</t>
  </si>
  <si>
    <t xml:space="preserve">AI, GenAI &amp; Advanced Analytics Transformation</t>
  </si>
  <si>
    <t xml:space="preserve">Physical Expansion, Multi-City Scaling &amp; Infrastructure Growth</t>
  </si>
  <si>
    <t xml:space="preserve">Leadership, Talent &amp; Organizational Evolution</t>
  </si>
  <si>
    <t xml:space="preserve">Mergers, Acquisition and Consolidation</t>
  </si>
  <si>
    <t xml:space="preserve">Reinsurance, Specialty Risk &amp; Capital Strategy</t>
  </si>
  <si>
    <t xml:space="preserve">Regulation, Compliance &amp; Market Structure Impact</t>
  </si>
  <si>
    <t xml:space="preserve">India as the Global Insurance GCC &amp; AI Nerve-Centre</t>
  </si>
  <si>
    <t xml:space="preserve">GCC</t>
  </si>
  <si>
    <t xml:space="preserve">Allianz Service Private limited (India) - GCC</t>
  </si>
  <si>
    <t xml:space="preserve">1.Allianz UK prevents record level of fraud (12 march 2026)
2.Allianz Jio Re Limited Commences Underwriting Reinsurance Immediately in India and existing facultative reinsurance portfolio from Allianz Commercial / Allianz Global Corporate &amp; Specialty (AGCS) will be transitioned to Allianz Jio Re in a phased manner
3.Allianz Commercial partners with Reel Media to boost Entertainment insurance business (5 March 2026)
4.Allianz Commercial makes senior leader appointments in large-corp Property business (10 March 2026)
5.Allianz to Merge AGCS India Business into New JV with Jio Financial Services to Meet IRDAI Norms</t>
  </si>
  <si>
    <t xml:space="preserve">1.Allstate India has appointed Shibu Mathew Zacharia as Vice President and Managing Director and Ankita Agrawal as head of human resources to spearhead its growth.
2.Allstate India Scales as a Strategic Global Capability Center Focused on AI‑Led Claims, Underwriting, and Policy Administration
Using Indian docs, lawyers &amp; engineers to serve US insurance: Allstate centres in Pune &amp; Bengaluru are becoming critical hubs.</t>
  </si>
  <si>
    <t xml:space="preserve">1.Manohar Singh Ram Singh Rawat was appointed as a Additional Director was appointed as a Additional Director on 01 Dec 2025
2. Generative AI (GenAI) has the potential to transform the insurance industry by providing underwriters with valuable insights in the areas of 1) risk controls, 2) building &amp; location details and 3) insured operations.
3.Accenture Invests in Reserv to Transform Insurance Claims Processes
4.Accenture’s strategic alliance with ANSR (announced July 2024; still actively referenced in 2025–2026) strengthens the ability to design, set up, and scale AI‑native GCCs. </t>
  </si>
  <si>
    <t xml:space="preserve">1.Leading Indian life insurer to implement Aon’s modelling platform PathWise
2. Aon expands Data Center Lifecycle Insurance Program capacity to $3.5 billion in support of Digital Infrastructure clients
3. Aon Appoints Shiney Prasad as Head of Global Capability Centers</t>
  </si>
  <si>
    <t xml:space="preserve">1.Admiral Group plc reported earnings results for the full year ended December 31, 2025. For the full year, the company reported net income was GBP 742.6 million compared to GBP 663.3 million a year ago. Basic earnings per share from continuing operations was GBP 2.474 compared to GBP 2.128 a year ago
2.Admiral Solutions India Recognised Among “Top 10 Best Places to Work in India"</t>
  </si>
  <si>
    <t xml:space="preserve">1.Arch Global Services India opened a new large technology hub in Trivandrum (with ~350 employees) as part of Arch’s expansion of its capability centre footprint.
2.Arch Global Services India, a wholly-owned subsidiary of insurer and reinsurer Arch Capital Group Ltd., has announced the opening of its new office in Hyderabad.</t>
  </si>
  <si>
    <t xml:space="preserve">1.Axa Global services celebrates 30 years of presence in India (11.02.25)
2.AXA Unveils State-of-the-Art Office Space in Pune, Expands its Global Business Services Center
3.AXA Global Business Services under CEO Michelle Rochefort is becoming a strategic arm.</t>
  </si>
  <si>
    <t xml:space="preserve">Bupa
Bupa Capability Centre – India (BCC India)</t>
  </si>
  <si>
    <t xml:space="preserve">1.Through Bupa CareConnect, the company signed 11 workplace healthcare agreements at the Global Health Exhibition 2025, reinforcing its move into preventive and employer healthcare services in the Middle East.
2.Bupa invested via the Bupa Ventures Fund, allocating ~$2.2 million to health‑tech startups focused on preventive care and digital health solutions.
3.Bupa Australia agreed to repay millions to members after inaccurately rejected claims, part of a settlement with the Australian Competition and Consumer Commission (ACCC) — highlighting regulatory and service quality risks.
Bupa Establishes India GCC as an AI‑ and Digital‑First Capability Hub to Bypass Global Talent Constraints. Formal Incorporation and Rapid Scale‑Up of Bupa Capability Centre India in Gurugram
Sidharth Gupta appointed Head – Talent Acquisition &amp; Employer Branding (APAC &amp; UK) for Bupa Global Capability Centre, based in Gurugram</t>
  </si>
  <si>
    <t xml:space="preserve">1.Cigna Healthcare Unveils Industry-Leading AI-Powered Digital Tools for a Simple and Reliable Customer Experience (12 June 2025)
2.At the ETGCCWorld GCC Growth Summit 2026, senior leaders from Evernorth.
Cigna Group Scales India as a Core Global Technology &amp; AI Hub Through Evernorth and Cigna Health Solutions. Cigna Group launches and scales Evernorth Health Services India as its largest GCC outside the US, while explicitly acknowledging CHSI (Bengaluru) as an existing centre of excellence</t>
  </si>
  <si>
    <t xml:space="preserve">Dai-ichi Life Group and Capgemini sign multi-year agreement to establish a Global Capability Center in India to drive international digital transformation (Build‑Operate‑Transfer (BOT) with Capgemini)
Dai-Ichi Life to expand India GCC to 600 employees, taps local tech talent</t>
  </si>
  <si>
    <t xml:space="preserve">Factory Mutual Insurance Company, India Branch
FM Bengaluru innovation capability centre</t>
  </si>
  <si>
    <t xml:space="preserve">1.FM Global has announced the opening of a new Centre of Excellence in Bengaluru, aiming to enhance its science and AI capabilities, improve client risk engineering services, and support regional growth. The facility will also feature a client experience centre for training and collaboration. Additionally, FM plans to open a sales office in Mumbai to strengthen its presence in India's financial capital
2. FM has integrated AI into claims workflows, achieving nearly 50% reduction in time from loss reporting to payment on smaller claims
Tools include:
FM Portal (digital platform for claims, engineering &amp; underwriting data)
AI‑assisted fast‑track claims automation (with human‑in‑the‑loop controls)
Focus is on efficiency, accuracy, and informed decision‑making, not pure automation
3.FM Expands Footprint in India with New, Innovative Centre in Bengaluru
ICC strengthens FM’s engineering‑backed risk mitigation strategy by concentrating risk consultants, data scientists, engineers, and software developers in one hub—reinforcing FM’s long‑term pivot toward science‑led insurance.</t>
  </si>
  <si>
    <t xml:space="preserve">The First American Corporation - parent Co
First American (India) Private Limited - India GCC</t>
  </si>
  <si>
    <t xml:space="preserve">1.First American’s title insurance arm has recently drawn attention for its free property title monitoring and fraud alert service for eligible customers — a strategic response to rising real-estate fraud concerns. This trend positions the company as more proactive in fraud mitigation solutions tied to its core title data and insurance assets
2.First American Title Launches AgentNet® Assist Generative AI Tool, Enhancing Productivity for Title Agents
3. India GCC-Employee count-LinkedIn link attached 4390 employees headcount First American (India) Pvt. Ltd. (FAI) employs ~1,001–5,000 professionals across Bengaluru, Hyderabad, and Salem.
4.First American (India) is a Global Capability Center (GCC) of the First American Financial Corporation (US) - a leading provider of title insurance, settlement services and risk solutions for real estate transactions since 1889. First American also provides title plant management, home warranty, and banking, trust &amp; wealth management services. With locations in Bangalore, Hyderabad and Salem, FAI delivers software development, back-office and knowledge-processing operations to support First American’s global operations in US, UK, Australia &amp; Canada.
5.India GCC (FAI) is a critical delivery engine for AI, analytics, and global operations, with expansion beyond Tier‑I cities.</t>
  </si>
  <si>
    <t xml:space="preserve">Arthur J. Gallagher &amp; Co (Parent Company)
Gallagher Service Center – GSC India (GCC)</t>
  </si>
  <si>
    <t xml:space="preserve">Gallagher announced it has acquired First Actuarial, a well-known UK pension administration and employee benefits consulting firm. This broadens Gallagher’s capability in pension and employee benefits solutions in the UK market.
Meenu Agrawal joins Gallagher Center of Excellence as Group Vice President – Talent Acquisition</t>
  </si>
  <si>
    <t xml:space="preserve">Hannover Rück SE – India Branch
Hannover Re Consulting service india private limited</t>
  </si>
  <si>
    <t xml:space="preserve">1.In March 2024, the company launched a new specialty reinsurance business unit focused on cyber and digital underwriting, effective from April 1, 2024. This strategic move aims to enhance its position as a trusted partner for insurtechs and clients seeking coverage for cyber risks
2. Hannover Re Unveils Dedicated Cyber and Digital Business Unit for Enhanced Reinsurance Expertise
3.  Hannover Re has named Prateek Maheshwari as Chief Financial Officer of its India branch, the reinsurer announced on LinkedIn on Thursday. Maheshwari joined Hannover Re in 2017 as Finance Manager for the India branch. Prior to his new appointment, he served as Financial Accountant for Hannover Life Re of Australasia. Before joining Hannover, he spent nearly four years at Munich Re.</t>
  </si>
  <si>
    <t xml:space="preserve">1. In June 2025, Markel partnered with Insurate, an insurtech firm, to leverage artificial intelligence in enhancing underwriting and risk management for workers' compensation in the middle market.
2. Mar' 26 - Markel International, a division of Markel Insurance, the insurance operations within Markel Group Inc. (NYSE:MKL), today announced the appointment of Maureen Tomlinson to Head of AI, alongside the launch of their AI Centre of Enablement. This strategic hire marks a significant milestone in Markel's continued investment in operational excellence and signals the beginning of its first formalised AI function.
Markel Insurance, the insurance operations within Markel Group Inc., has appointed Ravi Jain as Business Development and Distribution Lead for India, based in Mumbai.</t>
  </si>
  <si>
    <t xml:space="preserve">1.A new Business and Client Services (BCS) unit focused on technology, data, AI and analytics will centralize operational excellence for all units. The company’s stock ticker is expected to change to MRSH in early 2026
2.Marsh McLennan Agency announced targeted AI investments focused on quote comparison, coverage‑gap analysis, and contract review—moving from pilots to high‑impact use cases.
Marsh McLennan appointed Andrea Bono as CEO for India, Middle East &amp; Africa (IMEA), effective Jan 2026, reinforcing focus on analytics‑enabled delivery and growth across the region (with India as a core talent base).</t>
  </si>
  <si>
    <t xml:space="preserve">Mass Mutual
MassMutual’s Global Business Services India LLP</t>
  </si>
  <si>
    <t xml:space="preserve">1.MassMutual expanded its brand presence by becoming the Official Wealth Management Partner of the Formula 1 Heineken Las Vegas Grand Prix (2025). This sponsorship is part of a broader trend of aligning with high-performance sports to elevate brand visibility and connect with affluent clients.
Recent reviews rate MassMutual as a top life insurance company for 2026, highlighting its exceptional financial strength, wide range of life insurance products, and low complaint volume. The review also notes the record dividend payout as a competitive advantage.
2. The Hyderabad GCC is a major contributor to software development, QA, cloud, data science, and therefore a key execution arm for this AI‑driven SDLC.
3.These CoEs directly support life insurance operations, policy servicing, digital channels, and enterprise platforms.</t>
  </si>
  <si>
    <t xml:space="preserve">1.MetLife has rebranded its India operations as the MetLife Global Capability Center (MGCC), uniting teams in Noida and Jaipur to drive digital innovation, cybersecurity, and IT modernization, with technology associates starting in April 2025 to advance emerging tech and analytics.
2.Global insurance major MetLife has expanded its Global Capability Center (GCC) footprint in India by leasing nearly 75,000 sq. ft. of office space at Oxygen Business Park in Sector 144, Noida.
3.MetLife announced the expansion of their India operations with the creation of technology hubs in Hyderabad and Pune. This move reinforces the organization’s continued commitment to enable growth, digital innovation and excellence across MetLife’s global network</t>
  </si>
  <si>
    <t xml:space="preserve">1.Amit Kalra, MD and Head of Swiss Re GBS India, stated that India will soon host around 50% of Swiss Re’s global tech talent, boosting the company’s data, analytics, and risk modeling capabilities.
2. Swiss Re is reshaping underwriting and claims through GenAI and advanced analytics
3.India to soon have about 50% of Swiss Re's global tech talent: Amit Kalra
Global reinsurer Swiss Re has officially launched its new state-of-the-art office in Hyderabad, signaling a significant expansion of its operations in India. The newly inaugurated workspace is designed to be more than just a physical office — it embodies Swiss Re’s vision for the future: one that champions innovation, inclusion, and high-impact collaboration.</t>
  </si>
  <si>
    <t xml:space="preserve">StanCorp Financial Group, Inc. (The Standard)
StanCorp Global Services India Private Limited (The Standard India)</t>
  </si>
  <si>
    <t xml:space="preserve">The Standard has completed the acquisition of Allstate’s Employer Voluntary Benefits business for about $2 billion, significantly strengthening its workplace benefits portfolio (including voluntary benefits). The acquired business will be integrated and marketed under The Standard brand, expanding offerings in disability, life, vision, dental, and related employer‑sponsored products.
1.The Standard launched a new Global Capability Center (GCC) in India — a strategic move reflecting its growing global operations and talent expansion following the Allstate benefit acquisition. Initial staffing started with approximately 175 employees transitioning from Allstate India to The Standard India.
2.The Standard and OneDigital Expand Secure Future PEP Nationally
3.The Standard Promotes Nathan McKinstry to Senior Vice President of Employee Voluntary Benefits in IT (23 March 2026)
4.The Standard Partners With the University of Texas at Dallas to Increase Access to the Actuarial Science Program (8 April 2026)
5.The Standard Promotes Paul Freese to Assistant Vice President of Loan Operations, StanCorp Mortgage Investors (31 Dec 2025)
6.The Standard Names Elice Lee as Regional Vice President in Retirement Plans (17 March 2025)
7.The Standard Names Rob Kerscher Regional Vice President in Retirement Plans (3 November 2025) </t>
  </si>
  <si>
    <t xml:space="preserve">1.Gaurish Wagh Appointed as Global People Development Lead India at M&amp;G Global Services Private Limited
2.M&amp;G Global services sponsored the 25th Global Conference of Actuaries (GCA) 2026. As one of the leading platforms for actuarial dialogue and professional exchange, GCA brings together practitioners, industry leaders and emerging talent from across the profession.
3.M&amp;G sponsored the nasscom Technology Confluence 2025. The discussion explored how AI is transforming leadership, culture, and workforce models in an AI-driven era. Colleagues from our Mumbai and Pune offices attended as delegates, gaining insights into emerging trends and industry priorities.
 </t>
  </si>
  <si>
    <t xml:space="preserve">Chubb Limited</t>
  </si>
  <si>
    <t xml:space="preserve">1.Apr'26 - Separately from the GCC story, in April 2026, reports indicated Chubb is exploring a re‑entry into the Indian insurance market after nearly two decades, following regulatory liberalization (100% FDI)
2.Chubb is launching AI‑embedded tools and platforms globally to optimize underwriting and operations (19 November 2025). The platform uses proprietary AI models to analyze customer personas and dynamically recommend insurance products via APIs and SDKs for digital partners worldwide.
3.Chubb lays out ambitious digital transformation plans with focus on AI &amp; automation (Chubb utilizes data, technology, and processes to digitally enable workflows and drive significant expense reductions) - December 2025
4.Chubb Names Seshadri Iyer to Lead Global Operations, Technology and Digital Transformation (11 March 2026). The reorganization strengthens focus on data, AI, cloud, and platform modernization, areas where India is already Chubb’s largest execution and engineering base
5.India is now Chubb’s largest engineering center globally, ahead of Mexico and Greece, reflecting a long‑term bet on India for core insurance technology development</t>
  </si>
  <si>
    <t xml:space="preserve">Guardian Life Insurance Company
Guardian India Operations Private Limited</t>
  </si>
  <si>
    <t xml:space="preserve">1.Guardian is undertaking a major tech transformation, moving away from legacy mainframe systems to modern cloud‑enabled microservices. This enables faster product development, improved operational efficiency, and better digital experiences for brokers and employers.
2.India GCC is a microcosm of Guardian Life Insurance building tech solutions for the American market. The global capability centre of Guardian Life Insurance in India supplements and complements the parent company. Its campuses in Gurugram and Chennai are creating valuable intellectual property related to the insurance industry.
3.Karunakaran (Karun) Azhisur was appointed Country Head – India, while continuing as Chief Information Officer (CIO) of Guardian India.
Guardian India Continues Operating as a Multi‑Location GCC Across Chennai and Gurugram</t>
  </si>
  <si>
    <t xml:space="preserve">1.Enterprise GenAI platform: TIAA launched TIAA gAIt, a secure, enterprise‑wide GenAI platform enabling generative AI use cases across client servicing, content, research, asset management, and cybersecurity awareness.
2.AI Power Day was a key milestone in TIAA Global Capabilities’ journey to AI-enabled excellence. Creation of a digital library of 30+ finance‑specific AI prompts and use cases to embed AI into daily work, especially in finance and analytics roles.
3.Deepak Gupta was appointed Head of TIAA Global Capabilities, joining TIAA’s Global Leadership Team and the TIAA India Board, reporting to the Chief Operating, Information &amp; Digital Officer.
4.TIAA Global Capabilities Pvt Ltd (formerly known as TIAA Global Business Services (India) Pvt Ltd) is a Great Place To Work</t>
  </si>
  <si>
    <t xml:space="preserve">1.Sun Life Global Solutions India at 20: Driving Enterprise Impact, Innovation and transformation
2.India and the Philippines together serve all Sun Life geographies — Canada, the U.S., Asia, and Asset Management &amp; Corporate functions. Over two decades, SLGS moved from application maintenance and operations to enterprise‑wide digital transformation, AI, engineering, analytics, actuarial, finance, legal, and HR shared services.
3.In 2024–2025, SLGS developed 20+ Generative AI proofs‑of‑concept, many of which moved into production — including intelligent chatbots, workflow automation, and developer productivity tools.
4.India teams now handle complete customer and policy lifecycles, including onboarding, underwriting, servicing, and claims for multiple product lines.
5.SLGS is scaling AI-led innovation with 20+ GenAI pilots, collaborating with 20+ FinTech and InsurTech startups, and strengthening advanced analytics capabilities through academic partnerships, including IIT Indore.</t>
  </si>
  <si>
    <t xml:space="preserve">UnitedHealth Group (parent company)
Optum India (GCC)</t>
  </si>
  <si>
    <t xml:space="preserve">1.'- Optum is advancing AI-powered digital prior authorization to reshape care delivery
 - Optum uses AI to drive affordability and accelerate value-based care adoption
 - Optum Real expands with Microsoft to improve the provider experience across claims and reimbursement
 - Optum IIIT-Hyderabad to set up startup studio
 - ANSR and Optum Launch AI Platform for Healthcare's In-House Tech Hubs
 - GCCs are shaping global healthcare strategies and future leaders
2.With over two decades of presence and operations across five cities, Optum India exemplifies this evolution. The center integrates technology, data, operations and clinical expertise to deliver end-to-end healthcare solutions. “We are not just supporting global teams — we are co-creating with them,” Krishnan noted.
A key driver of this transformation is India’s vast and diverse talent pool. In India, over 1.6 million professionals are currently employed in GCCs, and that number is expected to rise to 4.2 million by 2030. Krishnan also underscored the growing inclusion of women in leadership, with 30% of future global roles expected to be held by women in India.
She called for continued investment in second-tier cities like Indore, Vizag and Kota to tap into untapped talent and reduce operational costs.</t>
  </si>
  <si>
    <t xml:space="preserve">Prudential
Prudential plc UK (Parent)
Prudential Service India (GCC) </t>
  </si>
  <si>
    <t xml:space="preserve">1.Prudential Launches Global Services Hub in Bengaluru, India. This strategic investment underscores Prudential’s commitment to the Indian market and its focus on digital transformation. It is one of only two global services hubs supporting Prudential’s operations across Asia and Africa (24 markets).
2.This strategic GCC will serve as a critical engine for innovation, supporting Prudential’s operations across Asia and Africa, and is set to hire over 400 professionals in areas such as AI, data science, software development, cybersecurity, and automated testing in the next three years.</t>
  </si>
  <si>
    <t xml:space="preserve">Principal Financial Group (USA) - Parent
Principal Global Services(GCC)</t>
  </si>
  <si>
    <t xml:space="preserve">1.Principal Financial Group has been recognized as one of the 2024 Top Employers for Tech Talent™ in India by the Everest Group. Principal Global Services ranked in the top 25 companies in the assessment conducted for India-based tech centers of more than 140 brands.
2.Principal added an AI-Generated Answer feature to its public site Search function, making the firm the first in our coverage group to implement AI within the customer-facing digital experience.</t>
  </si>
  <si>
    <t xml:space="preserve">1.Bar &amp; Bench (Dealstreet, March 6, 2025) confirms the establishment of N2G’s GCC in Pune, India, including legal and operational setup
2. Mar' 26 - TT&amp;A advised N2G Worldwide Insurance Services, LLC, a leading provider of a variety of insurance products around the world, to establish its global capability center (GCC) in India. The TT&amp;A team provided end-to-end assistance in setting up the GCC including entity incorporation, formalizing various intercompany agreements, and providing legal and regulatory advice in relation to the establishment of the GCC. </t>
  </si>
  <si>
    <t xml:space="preserve">1. German insurer Ergo will invest over €130 million over five years to build its generative AI (GenAI) infrastructure.
Mark Klein, Chief Digital Officer of Ergo Group said “We are in the process of scaling AIcross all key processes in multiple countries. The time for pilots is over. These systems now have to deliver measurable business value.” Klein added that Ergo has already deployed over 110 AI algorithms across business functions, and is focused on expanding these use cases across seven European markets. “Scaling is essential. AI doesn’t come cheap. If you don’t reuse assets and deploy solutions across markets, you will never arrive at a sustainable business case,”.
2. Aug' 25 - CamCom Technologies, an award-winning, industry-agnostic computer vision company headquartered in Bengaluru, has entered into a strategic partnership with ERGO Group AG, one of Europe's leading insurance groups. Under this collaboration, CamCom will serve as the primary technology partner for ERGO's AI-powered visual inspection solution, which is now being rolled out across multiple European markets.</t>
  </si>
  <si>
    <t xml:space="preserve">Hartford
Hartford Global Services Private ltd</t>
  </si>
  <si>
    <t xml:space="preserve">1. US-based insurance player The Hartford on Monday opened its first global technology centre in India in February 2026, spread over 1.6 lakh sq ft at Hyderabad’s Financial District, and it is expected to scale up to nearly 1,200 employees over the next few years.
Capgemini engaged to support initial setup and operational excellence of the India GCC.
2. The Chief Data, AI &amp; Operations Officer stated that India teams will apply AI and emerging technologies to elevate enterprise capabilities while maintaining regulatory and ethical standards.</t>
  </si>
  <si>
    <t xml:space="preserve">AXA XL Insurance - India Reinsurance Branch (XL)</t>
  </si>
  <si>
    <t xml:space="preserve">AXA XL Strengthens Team in India with Key Appointments (14 May 2025) </t>
  </si>
  <si>
    <t xml:space="preserve">1.Empower Insurance Brokers Private Limited is a newly incorporated on 19th September (2024) in Raipur Chhattisgarh, Indian‑owned insurance broking startup based in Raipur, operating domestically with basic advisory and intermediary services and no global, GCC, or AI‑led transformation footprint disclosed to date.
2. Empower Insurance does not have a publicly named CEO; the company is currently led by its founder‑directors Ramias Sohanlal Sharma and Vijendra Ramniwas Sharma.</t>
  </si>
  <si>
    <t xml:space="preserve">IRDAI has permitted foreign reinsurance branches, including Lloyd’s India, to repatriate up to 20% of their excess assigned capital. This move aims to attract more players and allow free movement of capital in the Indian reinsurance market.</t>
  </si>
  <si>
    <t xml:space="preserve">1.In October 2025, Munich Re, along with Gallagher Insurance Brokers and New India Assurance, launched India’s first parametric pandemic insurance for The Phoenix Mills Ltd, providing rapid coverage for business losses from epidemics using predefined triggers.
2.Munich Re integrated Sixfold AI into its REALYTIX ZERO platform
3.Foreign reinsurers now account for ~50%+ market share in India
Munich Re is a top foreign reinsurer benefiting from:
IRDAI branch regulations
Growth in specialty, cyber, climate &amp; engineering lines</t>
  </si>
  <si>
    <t xml:space="preserve">1.RGA has adopted generative AI, including Meta’s Llama 4 Scout and GPT-4.1, to streamline policy document processing, enhancing operational efficiency and compliance.
2.DigitalOwl and RGA Form Collaborative Underwriting Technology Partnership</t>
  </si>
  <si>
    <t xml:space="preserve">1.SCOR is acting as a lead insurer in a newly launched facility designed to insure AI and data center infrastructure risks—an emerging risk segment that traditional reinsurers are now targeting.
SCOR and AXA have formed a consortium at Lloyd’s of London to provide insurance for ecological restoration projects, aimed at unlocking investment for environmental resilience.
2. SCOR’s automated underwriting solutions (e.g., Velogica, VClaims) deployed across multiple regions, including APAC.</t>
  </si>
  <si>
    <t xml:space="preserve">1.Swiss Re India is actively engaged in broader governance, risk, and compliance (GRC) discussions. Swiss GRC, a Swiss software firm, recently launched in India, aiming to support local businesses in managing regulatory and compliance challenges, targeting USD 10 million in revenue for FY2025.</t>
  </si>
  <si>
    <t xml:space="preserve">WTW (Willis Towers Watson)
WTW India Insurance Brokers Pvt. Ltd</t>
  </si>
  <si>
    <t xml:space="preserve">WTW’s India Global Delivery Centre Marks Successful Growth and Expansion Through ..</t>
  </si>
  <si>
    <t xml:space="preserve">1. A 2026 industry ranking of global insurance brokers placed Lockton among the top 20 worldwide by revenue, reflecting strong competitive position in the brokerage market.
2. Apr' 26 - US-based Insurance broker Lockton is in the process of expanding into the reinsurance space in India, with a formal market entry expected in this financial year.</t>
  </si>
  <si>
    <t xml:space="preserve">Africa</t>
  </si>
  <si>
    <t xml:space="preserve">UK</t>
  </si>
  <si>
    <t xml:space="preserve">Jan' 26 - Admiral Group announces that its Chief Financial Officer ("CFO"), Geraint Jones, has decided to retire from his role and will transition to a part-time role within the Group from July 2026.
Feb' 26 - Admiral announced plans to acquire Flock, a fast‑growing digital, telemetry‑based fleet insurer. This builds on the Group’s existing expertise in telemetry in the personal lines market, allowing the business to support a broader set of customers as mobility trends change.</t>
  </si>
  <si>
    <t xml:space="preserve">Sep' 25 - Ageas has announced the successful completion of its acquisition of Esure Group (digital personal lines insurer). This is a key
milestone in Ageas UK’s strategy to become a leading personal lines insurer in the UK.
Dec'25 - Ageas UK and Saga plc announced the launch of a landmark 20‑year Affinity Partnership, bringing market‑leading Motor and Home insurance propositions to over‑50s customers. The partnership goes live for Motor new business today, with Home new business following in the first quarter of 2026.</t>
  </si>
  <si>
    <t xml:space="preserve">Feb' 26 - Allianz UK has launched a new short-term income protection policy designed to provide financial security for people facing unexpected life events.
Feb' 26 - Allianz UK scaled AI and advanced analytics across underwriting, broker engagement and service operations, supporting faster decisions and higher productivity.
At the same time, senior leaders acknowledged that scaling AI across complex legacy environments remains challenging, signalling a pragmatic, phased rollout approach.
Mar'26 - Over 34,200 insurance fraud cases, including a ghost broker pocketing more than £133,000, were identified by Allianz UK last year.</t>
  </si>
  <si>
    <t xml:space="preserve">Feb'26 - AIG announced that it has completed the acquisitions of strategic minority ownership stakes in Convex Group Limited (“Convex”), a privately held, global specialty insurer, and Onex Corporation (“Onex”) a publicly traded global asset manager. AIG began participating in a whole account quota share of Convex’s business beginning January 1, 2026, and will increase cessions in 2027 and 2028.
Mar' 26 - AIG and McGill and Partners announced a significant strategic collaboration for the subscription market that will provide clients with seamless access to exceptional insurance solutions, backed by long-term, high-quality insurance capacity and capital. As part of the initiative, AIG and McGill and Partners will leverage agentic AI capabilities to manage the deployment of capacity to clients. Relevant for AIG UK, given its registered base in London and focus on large commercial and specialty risks.</t>
  </si>
  <si>
    <t xml:space="preserve">Jul' 25 - Direct Line Insurance Group plc was acquired by Aviva plc on 1 July 2025. Jason Storah, currently the CEO of UK &amp; Ireland General Insurance at Aviva and now the CEO for the combined businesses, acknowledged the efforts of teams involved and welcomed the new employees from Direct Line.
Mar' 26 - Aviva is transitioning from pilot AI projects to large-scale deployment across key parts of its insurance operations. According to CEO Amanda Blanc, the company has moved beyond limited AI use cases such as claims summarization to broader end-to-end applications across customer service and medical underwriting.
Apr' 26 - Aviva has completed a £100 million bulk purchase annuity transaction with the Iveco Limited Pension Scheme, securing the benefits of all 225 deferred and 1,127 pensioner members. The transaction, which completed in March 2026, represents a significant milestone in the Scheme’s long-term de-risking strategy and provides members with increased security and long-term certainty for their pensions.</t>
  </si>
  <si>
    <t xml:space="preserve">Mar' 26 - AXA UK &amp; Ireland announces the creation of a new general insurance business, AXA Insurance UK, bringing together its UK Commercial and Retail business units under a single leadership structure
Apr' 26 - AXA Insurance UK has appointed Martin Milliner as Chief Claims Transformation Officer, a new role in CEO Jon Walker’s executive committee following the creation of the general insurance business AXA Insurance UK.</t>
  </si>
  <si>
    <t xml:space="preserve">Feb' 26 - Small business group scheme members will no longer receive paper policy documents by post. Instead, all policy documents will be available to view online, making it easier and quicker to access important information when they need it.
Mar'26 - Strong financial performance enable us to provide more and better healthcare for our customers, and allows us to invest in innovation. This includes reinvesting in strategic projects that align with our purpose:
We have 52 Mindplace health centres open, expanding fast with 46 launches in 2025, so more people can access high-quality mental healthcare. We have launched genomics products in Spain, UK, Poland and Australia. Through our genomics programme, we have already delivered 28,800 genomic reports providing people with valuable insights and better enabling preventive and personalised care.
Apr' 26 - Bupa and Spire Healthcare have signed a four-year strategic partnership that will see the private hospital group provide care for Bupa’s UK health insurance customers across its national network, including a growing number of specialist cancer and musculoskeletal centres.</t>
  </si>
  <si>
    <t xml:space="preserve">Oct' 15 - L&amp;G is collaborating with Microsoft to deliver an AI-powered customer service platform designed to enhance interactions for both customers and employees. The multi-year agreement sees the introduction of an AI-powered customer service platform, built using Microsoft Dynamics 365 Contact Center, to provide faster, more seamless support to L&amp;G’s 12.4 million customers.
Mar' 26 - L&amp;G and Manulife Wealth &amp; Asset Management (Manulife WAM) today announced a long-term multi-faceted strategic partnership. It spans Distribution, Investment Management, and Product Development to enhance the global distribution reach of both firms, allowing them to meet growing client demand for comprehensive wealth and retirement solutions across Europe, Asia, the U.S.A., Canada, and Bermuda.
Mar'26 - Hyde Group and L&amp;G launch partnership to deliver more affordable homes. New joint venture combines pension money in L&amp;G’s annuity portfolio and affordable housing expertise with Hyde’s national housing platform, to develop, manage and service affordable homes at scale.
Apr'26 - L&amp;G announced that its suite of liquidity funds is now available on the Calastone Tokenised Distribution (CTD) Network, marking a significant milestone in L&amp;G’s digital distribution strategy. The CTD Network—built to seamlessly connect traditional fund products with digital distribution channels - enables investors to access L&amp;G’s liquidity strategies in tokenised form via blockchain enabled infrastructure. Tokenisation provides further accessibility for new digital investor segments and supports evolving client preferences for efficient digital solutions.</t>
  </si>
  <si>
    <t xml:space="preserve">Mar' 26 - LV has proudly shared £100 million of member bonuses with eligible members - the largest bonus distribution in their history. Since 2011, they have shared £513 million.
Mar' 26 -  LV= General Insurance (GI) brand will be retired during 2026, with GI products moving fully under the Allianz UK brand. Allianz employees have been told that 650 jobs will be cut from its UK insurance arm due to ‘difficult market conditions’, less than six months after the decision to rebrand LV= General Insurance (LV=GI) to Allianz UK was classified as a ‘brand risk’.</t>
  </si>
  <si>
    <t xml:space="preserve">Nov' 25 - Aviva and NFU Mutual signed a new multi‑year protection distribution agreement in November 2025. The partnership enables NFU Mutual to distribute Aviva’s full intermediated protection suite (life, critical illness, income protection, relevant life and business life) to NFU Mutual members via its agency network and advice channels.
Jan' 26 - NFU Mutual and Guidewire (NYSE: GWRE) have announced a further strengthening of their long-term relationship, with NFU Mutual opting to migrate their on-premises deployment of Guidewire InsuranceSuite to Guidewire Cloud Platform. NFU Mutual will become the latest insurer to migrate to Guidewire Cloud Platform.</t>
  </si>
  <si>
    <t xml:space="preserve">Feb' 26 - Phoenix Group Holdings plc officially changed its name to Standard Life plc on 24 February 2026, following shareholder approval and Companies House registration.
Apr' 26 - Standard Life, which recently rebranded from Phoenix Group, has agreed to purchase rival Aegon's UK business in a substantial £2 billion deal. This strategic acquisition is set to reshape the UK's financial landscape by creating a dominant pension and savings entity.</t>
  </si>
  <si>
    <t xml:space="preserve">Jan' 26 - Prudential plc ("Prudential") announces that Sir Douglas Flint will be appointed as a Non-Executive Director and Chair-Designate to succeed Shriti Vadera as Chair of the Board following the Company's Annual General Meeting on 28 May 2026 when Shriti Vadera will retire from the Board after six years of service.
Mar'26 - S&amp;P Global Ratings upgraded the Financial Strength rating of Prudential's core entities to AA (from AA-) reflecting the Group’s robust capital position.</t>
  </si>
  <si>
    <t xml:space="preserve">RSA Insurance Group
(now Intact Insurance)</t>
  </si>
  <si>
    <t xml:space="preserve">Sep' 25 - RSA is now Intact Insurance in the UK, Ireland, and across Europe. It has appointed Tom Argentieri as chief distribution officer UK and Europe, RSA Specialty Lines.
Mar'26 - Intact Insurance is bringing its North American surety proposition to the UK as part of wider ambitions to scale its specialty lines business, hiring former Allianz Trade head of surety and guarantee David Weale to lead the expansion.
Apr'26 - Geo Underwriting has announced a new capacity partnership with Intact Insurance for its specialist marine trade proposition, with the arrangement set to take effect on May 1, 2026. The managing general agent (MGA) said the collaboration is intended to expand its trading capability in the specialist industrial marine space, offering brokers more competitive solutions as the market continues to evolve.</t>
  </si>
  <si>
    <t xml:space="preserve">Mar' 26 - Zurich Corporate Risk has launched a cancer risk assessment tool designed to help employees of group risk customers better understand and reduce their risk of developing cancer. The digital tool, which is free to access and available to all schemes automatically, is provided by Further.
Mar' 26 - Zurich Insurance Group announced it has agreed with UK specialty insurer Beazley on the terms of an all-cash offer to acquire Beazley for US$10.9 billion.
Apr'26 - Zurich is giving more than three million Life Protection customers access to Empathy at no extra cost, a pioneering human-led and digital bereavement support service, making it the first major business in the UK to offer comprehensive loss support at this scale. The move marks a significant expansion of Zurich’s customer support and a natural extension of its established empathy-led approach, moving beyond traditional insurance cover to supporting customers through life’s hardest moments.</t>
  </si>
  <si>
    <t xml:space="preserve">Feb' 26 - Hiscox, the global specialist insurer, has introduced its first technology graduate programme, aimed at attracting and developing the next generation of tech talent as the Group looks to drive digital innovation and growth. This reinforces Hiscox’s positioning as a tech‑forward specialist insurer, particularly within the UK specialty and SME markets.
Feb' 26 - Through strategic execution the company made strong progress on strategic growth and change initiatives, building on the momentum of prior years, to establish the foundations to progress at pace. The Group has set clear ambitions to accelerate Hiscox Retail's growth to double-digit and realise a P&amp;L benefit of $200 million in 2028 and onwards from change programme, while pioneering the use of cutting-edge technologies to access new markets and drive increased operating leverage. We are firmly on track to deliver against this strategy and ambition.</t>
  </si>
  <si>
    <t xml:space="preserve">Mar' 25 - Hastings Insurance Services Limited ("Hastings") successfully appealed against a HMRC decision to deny £16m of VAT recovery, with the tribunal deeming that a UK anti-avoidance provision, introduced from 1 March 2019, was incompatible with EU law.</t>
  </si>
  <si>
    <t xml:space="preserve">Nov' 25 - The specialist insurer topped the list of 46 insurers, including NFU Mutual, Bank of Scotland, TSB, Lloyds Bank, and NatWest, retaining Gold Ribbon status for another year. Fairer Finance, an independent consumer group, surveys around 20,000 UK banking and insurance customers throughout the year, asking them to rate how satisfied they are with their bank or insurance company.
Feb' 26 - Claims specialists at Ecclesiastical Insurance saved over £3million challenging fraudulent claims during 2025. Ecclesiastical Insurance’s claims team investigated over 280 cases of suspected fraudulent activity during 2025, a 20% increase on 2024.</t>
  </si>
  <si>
    <t xml:space="preserve">Feb' 26 - Convex’s partnership with Onex to a 63% equity stake and initiates its long-term strategic relationship with AIG, which has an approximately 35% equity stake.
Feb' 26 - S&amp;P Global Ratings upgraded Convex’s operating entities to ‘A’ with stable outlook, reflecting strong capitalization and underwriting discipline—supportive of Convex Insurance UK’s standing in the London market.</t>
  </si>
  <si>
    <t xml:space="preserve">Jul' 25 - Craig Peter Bundell was appointed Chief Executive Officer of Tesco Underwriting Limited in July 2025. He joined the boards of Tesco Underwriting Limited and Tesco Personal Finance Limited (Tesco Bank) at the same time.
Mar' 26 - Tesco Insurance and Money Services (Tesco IMS) has kicked off a comprehensive digital transformation programme, enabling the insurance company to establish a robust cloud-first ecosystem and create improved value for customers.</t>
  </si>
  <si>
    <t xml:space="preserve">Feb' 26 - The Financial Conduct Authority has imposed customer and capital limits on private equity-backed insurer Markerstudy, placing regulatory constraints on an acquisition-driven growth strategy supported by Pollen Street Capital and Bain Capital. The restrictions apply across Markerstudy’s regulated businesses and require the group to remain within agreed limits on policy numbers and funding while governance and financial control issues are addressed.
Mar' 26 - Glen Ward has joined Markerstudy’s senior leadership team as Group Chief Financial Officer (subject to regulatory approval) bringing with him a wealth of experience in the financial services sector, including notable tenures at Admiral Insurance as Group Finance Director and UK Insurance CFO.</t>
  </si>
  <si>
    <t xml:space="preserve">Dec' 25 - Dutch insurance and asset management giant Aegon has announced a major strategic restructuring that involves moving its legal seat to the United States, rebranding as Transamerica, and potentially selling its Edinburgh-based UK business.
Feb' 26 - Lloyds Banking Group Plc and Phoenix Group Holdings Plc are among bidders for the UK arm of Dutch insurer Aegon Ltd., people familiar with the matter said.
They’re among parties that submitted initial offers this month, the people said, asking not to be identified because the information is private. Aegon UK has also attracted early interest from Great-West Lifeco Inc.’s Canada Life unit and Royal London, according to the people. </t>
  </si>
  <si>
    <t xml:space="preserve">Dec' 25 - Beazley remained the largest specialist cyber insurer globally, but took a notably disciplined stance. Beazley has completed a new $300 million 144A cyber catastrophe bond, expanding its use of insurance-linked securities to transfer cyber risk to capital markets.
Mar' 26 - Zurich Insurance Group announced it has agreed with UK specialty insurer Beazley on the terms of an all-cash offer to acquire Beazley for US$10.9 billion.</t>
  </si>
  <si>
    <t xml:space="preserve">Mar' 26 -  Aon plc a leading global professional services firm, has announced Carl Nordling as commercial director for the UK and Nordics for its Global Benefits team.
Mar' 26 - Aon plc, a leading global professional services firm, has announced the UK launch of Health Risk Analyser, a predictive analytics solution designed to help organisations proactively manage healthcare costs and improve employee wellbeing.</t>
  </si>
  <si>
    <t xml:space="preserve">WTW launches analytical service to optimise captive insurance
WTW launches a new analytical and strategic service, Captive Fit, designed to help companies optimise their captive insurance arrangements.
Apr' 26 - Willis, a WTW business, announced the launch of Digital Infrastructure Protector, a new, end-to-end lifecycle solution for data center owners and operators. This solution combines integrated policy coverage during both the construction and operations phases with enhanced, tailored risk management to help data center owners, operators, contractors, and hyperscalers minimize risk while maximizing operational and financial resiliency.</t>
  </si>
  <si>
    <t xml:space="preserve">Mar' 26 - Howden has agreed to acquire the insurance and financial services consulting team of Hymans Robertson, marking the formal launch of Howden Insurance Actuarial and Longevity. The new practice brings together the Hymans Robertson IFS specialists and Barnett Waddingham, which Howden purchased in March 2025.
Feb' 26 - Howden has confirmed its latest fund raise to bolster funding available for future growth investments. The broker detailed that in a private offering, $690m (£509.8m) has been added to $500m of existing senior notes that run to 2032.</t>
  </si>
  <si>
    <t xml:space="preserve">Indian Companies in UK</t>
  </si>
  <si>
    <t xml:space="preserve">Life Insurance Corporation of India (LIC)</t>
  </si>
  <si>
    <t xml:space="preserve">The New India Assurance Co. Ltd</t>
  </si>
  <si>
    <t xml:space="preserve">Diligenta Limited</t>
  </si>
  <si>
    <t xml:space="preserve">HCL Insurance BPO Services Limited</t>
  </si>
  <si>
    <t xml:space="preserve">Data for Slicer View</t>
  </si>
  <si>
    <t xml:space="preserve">Regional Themes</t>
  </si>
  <si>
    <t xml:space="preserve">Key Trend Company Wise</t>
  </si>
  <si>
    <t xml:space="preserve">GCCs IN INDIA</t>
  </si>
  <si>
    <t xml:space="preserve">1. AI &amp; Digital Capability Moves</t>
  </si>
  <si>
    <r>
      <rPr>
        <sz val="9"/>
        <color rgb="FF0D0D0D"/>
        <rFont val="EYInterstate"/>
        <family val="0"/>
        <charset val="1"/>
      </rPr>
      <t xml:space="preserve">Ergo</t>
    </r>
    <r>
      <rPr>
        <sz val="7"/>
        <color rgb="FF000000"/>
        <rFont val="Segoe UI"/>
        <family val="2"/>
        <charset val="1"/>
      </rPr>
      <t xml:space="preserve"> commits </t>
    </r>
    <r>
      <rPr>
        <b val="true"/>
        <sz val="7"/>
        <color rgb="FF000000"/>
        <rFont val="Segoe UI"/>
        <family val="2"/>
        <charset val="1"/>
      </rPr>
      <t xml:space="preserve">€130m to GenAI</t>
    </r>
    <r>
      <rPr>
        <sz val="7"/>
        <color rgb="FF000000"/>
        <rFont val="Segoe UI"/>
        <family val="2"/>
        <charset val="1"/>
      </rPr>
      <t xml:space="preserve">, declaring </t>
    </r>
    <r>
      <rPr>
        <i val="true"/>
        <sz val="7"/>
        <color rgb="FF000000"/>
        <rFont val="Segoe UI"/>
        <family val="2"/>
        <charset val="1"/>
      </rPr>
      <t xml:space="preserve">“the time for pilots is over”</t>
    </r>
    <r>
      <rPr>
        <sz val="7"/>
        <color rgb="FF000000"/>
        <rFont val="Segoe UI"/>
        <family val="2"/>
        <charset val="1"/>
      </rPr>
      <t xml:space="preserve"> → formally industrialising AI across core insurance processes.</t>
    </r>
  </si>
  <si>
    <r>
      <rPr>
        <sz val="9"/>
        <color rgb="FF0D0D0D"/>
        <rFont val="EYInterstate"/>
        <family val="0"/>
        <charset val="1"/>
      </rPr>
      <t xml:space="preserve">FM Global</t>
    </r>
    <r>
      <rPr>
        <sz val="7"/>
        <color rgb="FF000000"/>
        <rFont val="Segoe UI"/>
        <family val="2"/>
        <charset val="1"/>
      </rPr>
      <t xml:space="preserve"> embeds AI into claims workflows, cutting </t>
    </r>
    <r>
      <rPr>
        <b val="true"/>
        <sz val="7"/>
        <color rgb="FF000000"/>
        <rFont val="Segoe UI"/>
        <family val="2"/>
        <charset val="1"/>
      </rPr>
      <t xml:space="preserve">time‑to‑payment by ~50%</t>
    </r>
    <r>
      <rPr>
        <sz val="7"/>
        <color rgb="FF000000"/>
        <rFont val="Segoe UI"/>
        <family val="2"/>
        <charset val="1"/>
      </rPr>
      <t xml:space="preserve"> on smaller claims → translating analytics into measurable cycle‑time gains.</t>
    </r>
  </si>
  <si>
    <r>
      <rPr>
        <sz val="9"/>
        <color rgb="FF0D0D0D"/>
        <rFont val="EYInterstate"/>
        <family val="0"/>
        <charset val="1"/>
      </rPr>
      <t xml:space="preserve">RGA</t>
    </r>
    <r>
      <rPr>
        <sz val="7"/>
        <color rgb="FF000000"/>
        <rFont val="Segoe UI"/>
        <family val="2"/>
        <charset val="1"/>
      </rPr>
      <t xml:space="preserve"> deploys </t>
    </r>
    <r>
      <rPr>
        <b val="true"/>
        <sz val="7"/>
        <color rgb="FF000000"/>
        <rFont val="Segoe UI"/>
        <family val="2"/>
        <charset val="1"/>
      </rPr>
      <t xml:space="preserve">GenAI (GPT‑4.1, Llama)</t>
    </r>
    <r>
      <rPr>
        <sz val="7"/>
        <color rgb="FF000000"/>
        <rFont val="Segoe UI"/>
        <family val="2"/>
        <charset val="1"/>
      </rPr>
      <t xml:space="preserve"> for policy document processing → shifting compliance workflows from manual review to AI‑assisted throughput.</t>
    </r>
  </si>
  <si>
    <r>
      <rPr>
        <sz val="9"/>
        <color rgb="FF0D0D0D"/>
        <rFont val="EYInterstate"/>
        <family val="0"/>
        <charset val="1"/>
      </rPr>
      <t xml:space="preserve">Markel</t>
    </r>
    <r>
      <rPr>
        <sz val="7"/>
        <color rgb="FF000000"/>
        <rFont val="Segoe UI"/>
        <family val="2"/>
        <charset val="1"/>
      </rPr>
      <t xml:space="preserve"> appoints a Head of AI and launches an AI Centre of Enablement → signalling first formal move from experimentation to structured AI governance.</t>
    </r>
  </si>
  <si>
    <r>
      <rPr>
        <sz val="9"/>
        <color rgb="FF0D0D0D"/>
        <rFont val="EYInterstate"/>
        <family val="0"/>
        <charset val="1"/>
      </rPr>
      <t xml:space="preserve">Cigna (Evernorth)</t>
    </r>
    <r>
      <rPr>
        <sz val="7"/>
        <color rgb="FF000000"/>
        <rFont val="Segoe UI"/>
        <family val="2"/>
        <charset val="1"/>
      </rPr>
      <t xml:space="preserve"> scales AI‑powered tools for digital servicing and analytics → positioning India as a core AI execution layer for US healthcare insurance.</t>
    </r>
  </si>
  <si>
    <t xml:space="preserve">2. Operating Model &amp; Scale Shifts</t>
  </si>
  <si>
    <r>
      <rPr>
        <sz val="9"/>
        <color rgb="FF0D0D0D"/>
        <rFont val="EYInterstate"/>
        <family val="0"/>
        <charset val="1"/>
      </rPr>
      <t xml:space="preserve">Swiss Re</t>
    </r>
    <r>
      <rPr>
        <sz val="7"/>
        <color rgb="FF000000"/>
        <rFont val="Segoe UI"/>
        <family val="2"/>
        <charset val="1"/>
      </rPr>
      <t xml:space="preserve"> signals India will host </t>
    </r>
    <r>
      <rPr>
        <b val="true"/>
        <sz val="7"/>
        <color rgb="FF000000"/>
        <rFont val="Segoe UI"/>
        <family val="2"/>
        <charset val="1"/>
      </rPr>
      <t xml:space="preserve">~50% of global tech talent</t>
    </r>
    <r>
      <rPr>
        <sz val="7"/>
        <color rgb="FF000000"/>
        <rFont val="Segoe UI"/>
        <family val="2"/>
        <charset val="1"/>
      </rPr>
      <t xml:space="preserve"> → repositioning India from support hub to global insurance execution backbone.</t>
    </r>
  </si>
  <si>
    <r>
      <rPr>
        <sz val="9"/>
        <color rgb="FF0D0D0D"/>
        <rFont val="EYInterstate"/>
        <family val="0"/>
        <charset val="1"/>
      </rPr>
      <t xml:space="preserve">Chubb</t>
    </r>
    <r>
      <rPr>
        <sz val="7"/>
        <color rgb="FF000000"/>
        <rFont val="Segoe UI"/>
        <family val="2"/>
        <charset val="1"/>
      </rPr>
      <t xml:space="preserve"> states India is now its </t>
    </r>
    <r>
      <rPr>
        <b val="true"/>
        <sz val="7"/>
        <color rgb="FF000000"/>
        <rFont val="Segoe UI"/>
        <family val="2"/>
        <charset val="1"/>
      </rPr>
      <t xml:space="preserve">largest engineering centre globally</t>
    </r>
    <r>
      <rPr>
        <sz val="7"/>
        <color rgb="FF000000"/>
        <rFont val="Segoe UI"/>
        <family val="2"/>
        <charset val="1"/>
      </rPr>
      <t xml:space="preserve"> → confirming long‑term relocation of core insurance technology build‑out.</t>
    </r>
  </si>
  <si>
    <r>
      <rPr>
        <sz val="9"/>
        <color rgb="FF0D0D0D"/>
        <rFont val="EYInterstate"/>
        <family val="0"/>
        <charset val="1"/>
      </rPr>
      <t xml:space="preserve">MetLife</t>
    </r>
    <r>
      <rPr>
        <sz val="7"/>
        <color rgb="FF000000"/>
        <rFont val="Segoe UI"/>
        <family val="2"/>
        <charset val="1"/>
      </rPr>
      <t xml:space="preserve"> rebrands India operations as </t>
    </r>
    <r>
      <rPr>
        <b val="true"/>
        <sz val="7"/>
        <color rgb="FF000000"/>
        <rFont val="Segoe UI"/>
        <family val="2"/>
        <charset val="1"/>
      </rPr>
      <t xml:space="preserve">MGCC</t>
    </r>
    <r>
      <rPr>
        <sz val="7"/>
        <color rgb="FF000000"/>
        <rFont val="Segoe UI"/>
        <family val="2"/>
        <charset val="1"/>
      </rPr>
      <t xml:space="preserve"> and expands across Noida, Jaipur, Hyderabad and Pune → institutionalising multi‑city global delivery.</t>
    </r>
  </si>
  <si>
    <r>
      <rPr>
        <sz val="9"/>
        <color rgb="FF0D0D0D"/>
        <rFont val="EYInterstate"/>
        <family val="0"/>
        <charset val="1"/>
      </rPr>
      <t xml:space="preserve">Dai‑ichi Life</t>
    </r>
    <r>
      <rPr>
        <sz val="7"/>
        <color rgb="FF000000"/>
        <rFont val="Segoe UI"/>
        <family val="2"/>
        <charset val="1"/>
      </rPr>
      <t xml:space="preserve"> adopts a </t>
    </r>
    <r>
      <rPr>
        <b val="true"/>
        <sz val="7"/>
        <color rgb="FF000000"/>
        <rFont val="Segoe UI"/>
        <family val="2"/>
        <charset val="1"/>
      </rPr>
      <t xml:space="preserve">BOT model with Capgemini</t>
    </r>
    <r>
      <rPr>
        <sz val="7"/>
        <color rgb="FF000000"/>
        <rFont val="Segoe UI"/>
        <family val="2"/>
        <charset val="1"/>
      </rPr>
      <t xml:space="preserve"> → prioritising speed‑to‑scale over traditional captive build.</t>
    </r>
  </si>
  <si>
    <r>
      <rPr>
        <sz val="9"/>
        <color rgb="FF0D0D0D"/>
        <rFont val="EYInterstate"/>
        <family val="0"/>
        <charset val="1"/>
      </rPr>
      <t xml:space="preserve">Hartford</t>
    </r>
    <r>
      <rPr>
        <sz val="7"/>
        <color rgb="FF000000"/>
        <rFont val="Segoe UI"/>
        <family val="2"/>
        <charset val="1"/>
      </rPr>
      <t xml:space="preserve"> opens its first India GCC in Hyderabad, targeting </t>
    </r>
    <r>
      <rPr>
        <b val="true"/>
        <sz val="7"/>
        <color rgb="FF000000"/>
        <rFont val="Segoe UI"/>
        <family val="2"/>
        <charset val="1"/>
      </rPr>
      <t xml:space="preserve">1,200 staff</t>
    </r>
  </si>
  <si>
    <t xml:space="preserve">3. Portfolio, Risk &amp; Capital Reshaping</t>
  </si>
  <si>
    <r>
      <rPr>
        <sz val="9"/>
        <color rgb="FF0D0D0D"/>
        <rFont val="EYInterstate"/>
        <family val="0"/>
        <charset val="1"/>
      </rPr>
      <t xml:space="preserve">Allianz</t>
    </r>
    <r>
      <rPr>
        <sz val="7"/>
        <color rgb="FF000000"/>
        <rFont val="Segoe UI"/>
        <family val="2"/>
        <charset val="1"/>
      </rPr>
      <t xml:space="preserve"> launches </t>
    </r>
    <r>
      <rPr>
        <b val="true"/>
        <sz val="7"/>
        <color rgb="FF000000"/>
        <rFont val="Segoe UI"/>
        <family val="2"/>
        <charset val="1"/>
      </rPr>
      <t xml:space="preserve">Allianz‑Jio Re</t>
    </r>
    <r>
      <rPr>
        <sz val="7"/>
        <color rgb="FF000000"/>
        <rFont val="Segoe UI"/>
        <family val="2"/>
        <charset val="1"/>
      </rPr>
      <t xml:space="preserve"> to localise reinsurance underwriting → aligning capital structure with IRDAI expectations.</t>
    </r>
  </si>
  <si>
    <r>
      <rPr>
        <sz val="9"/>
        <color rgb="FF0D0D0D"/>
        <rFont val="EYInterstate"/>
        <family val="0"/>
        <charset val="1"/>
      </rPr>
      <t xml:space="preserve">Munich Re</t>
    </r>
    <r>
      <rPr>
        <sz val="7"/>
        <color rgb="FF000000"/>
        <rFont val="Segoe UI"/>
        <family val="2"/>
        <charset val="1"/>
      </rPr>
      <t xml:space="preserve"> integrates Sixfold AI into underwriting platforms to sharpen specialty risk pricing → blending AI with reinsurance discipline.</t>
    </r>
  </si>
  <si>
    <r>
      <rPr>
        <sz val="9"/>
        <color rgb="FF0D0D0D"/>
        <rFont val="EYInterstate"/>
        <family val="0"/>
        <charset val="1"/>
      </rPr>
      <t xml:space="preserve">Santam</t>
    </r>
    <r>
      <rPr>
        <sz val="7"/>
        <color rgb="FF000000"/>
        <rFont val="Segoe UI"/>
        <family val="2"/>
        <charset val="1"/>
      </rPr>
      <t xml:space="preserve"> secures reinsurance licence in </t>
    </r>
    <r>
      <rPr>
        <b val="true"/>
        <sz val="7"/>
        <color rgb="FF000000"/>
        <rFont val="Segoe UI"/>
        <family val="2"/>
        <charset val="1"/>
      </rPr>
      <t xml:space="preserve">GIFT City</t>
    </r>
    <r>
      <rPr>
        <sz val="7"/>
        <color rgb="FF000000"/>
        <rFont val="Segoe UI"/>
        <family val="2"/>
        <charset val="1"/>
      </rPr>
      <t xml:space="preserve"> → accessing international capital pools via India’s IFSC.</t>
    </r>
  </si>
  <si>
    <t xml:space="preserve">4. Governance, Regulation &amp; Trust Signals</t>
  </si>
  <si>
    <r>
      <rPr>
        <sz val="9"/>
        <color rgb="FF0D0D0D"/>
        <rFont val="EYInterstate"/>
        <family val="0"/>
        <charset val="1"/>
      </rPr>
      <t xml:space="preserve">IRDAI</t>
    </r>
    <r>
      <rPr>
        <sz val="7"/>
        <color rgb="FF000000"/>
        <rFont val="Segoe UI"/>
        <family val="2"/>
        <charset val="1"/>
      </rPr>
      <t xml:space="preserve"> reforms drive global players to restructure India operations rather than exit → signalling regulatory tightening with market attractiveness intact.</t>
    </r>
  </si>
  <si>
    <r>
      <rPr>
        <sz val="9"/>
        <color rgb="FF0D0D0D"/>
        <rFont val="EYInterstate"/>
        <family val="0"/>
        <charset val="1"/>
      </rPr>
      <t xml:space="preserve">Foreign reinsurers</t>
    </r>
    <r>
      <rPr>
        <sz val="7"/>
        <color rgb="FF000000"/>
        <rFont val="Segoe UI"/>
        <family val="2"/>
        <charset val="1"/>
      </rPr>
      <t xml:space="preserve"> now account for </t>
    </r>
    <r>
      <rPr>
        <b val="true"/>
        <sz val="7"/>
        <color rgb="FF000000"/>
        <rFont val="Segoe UI"/>
        <family val="2"/>
        <charset val="1"/>
      </rPr>
      <t xml:space="preserve">50%+ market share in India</t>
    </r>
    <r>
      <rPr>
        <sz val="7"/>
        <color rgb="FF000000"/>
        <rFont val="Segoe UI"/>
        <family val="2"/>
        <charset val="1"/>
      </rPr>
      <t xml:space="preserve"> → intensifying regulatory scrutiny on capital and conduct.</t>
    </r>
  </si>
  <si>
    <t xml:space="preserve">TOP 20 AFRICA</t>
  </si>
  <si>
    <r>
      <rPr>
        <sz val="9"/>
        <color rgb="FF0D0D0D"/>
        <rFont val="EYInterstate"/>
        <family val="0"/>
        <charset val="1"/>
      </rPr>
      <t xml:space="preserve">Discovery Health</t>
    </r>
    <r>
      <rPr>
        <sz val="7"/>
        <color rgb="FF000000"/>
        <rFont val="Segoe UI"/>
        <family val="2"/>
        <charset val="1"/>
      </rPr>
      <t xml:space="preserve"> leverages AI‑based health analytics to drive record profitability → embedding analytics into core healthcare insurance economics.</t>
    </r>
  </si>
  <si>
    <r>
      <rPr>
        <sz val="9"/>
        <color rgb="FF0D0D0D"/>
        <rFont val="EYInterstate"/>
        <family val="0"/>
        <charset val="1"/>
      </rPr>
      <t xml:space="preserve">AtlantaSanad Assurance</t>
    </r>
    <r>
      <rPr>
        <sz val="7"/>
        <color rgb="FF000000"/>
        <rFont val="Segoe UI"/>
        <family val="2"/>
        <charset val="1"/>
      </rPr>
      <t xml:space="preserve"> launches Morocco’s first AI insurance assistant → using AI explicitly as a CX transformation lever.</t>
    </r>
  </si>
  <si>
    <r>
      <rPr>
        <sz val="9"/>
        <color rgb="FF0D0D0D"/>
        <rFont val="EYInterstate"/>
        <family val="0"/>
        <charset val="1"/>
      </rPr>
      <t xml:space="preserve">Metropolitan Life</t>
    </r>
    <r>
      <rPr>
        <sz val="7"/>
        <color rgb="FF000000"/>
        <rFont val="Segoe UI"/>
        <family val="2"/>
        <charset val="1"/>
      </rPr>
      <t xml:space="preserve"> enables claims settlement within hours via WhatsApp → operationalising digital service for mass‑market trust.</t>
    </r>
  </si>
  <si>
    <r>
      <rPr>
        <sz val="9"/>
        <color rgb="FF0D0D0D"/>
        <rFont val="EYInterstate"/>
        <family val="0"/>
        <charset val="1"/>
      </rPr>
      <t xml:space="preserve">SanlamAllianz</t>
    </r>
    <r>
      <rPr>
        <sz val="7"/>
        <color rgb="FF000000"/>
        <rFont val="Segoe UI"/>
        <family val="2"/>
        <charset val="1"/>
      </rPr>
      <t xml:space="preserve"> completes rollout across </t>
    </r>
    <r>
      <rPr>
        <b val="true"/>
        <sz val="7"/>
        <color rgb="FF000000"/>
        <rFont val="Segoe UI"/>
        <family val="2"/>
        <charset val="1"/>
      </rPr>
      <t xml:space="preserve">25+ African markets</t>
    </r>
    <r>
      <rPr>
        <sz val="7"/>
        <color rgb="FF000000"/>
        <rFont val="Segoe UI"/>
        <family val="2"/>
        <charset val="1"/>
      </rPr>
      <t xml:space="preserve"> → transforming fragmented national insurers into a pan‑African platform.</t>
    </r>
  </si>
  <si>
    <r>
      <rPr>
        <sz val="9"/>
        <color rgb="FF0D0D0D"/>
        <rFont val="EYInterstate"/>
        <family val="0"/>
        <charset val="1"/>
      </rPr>
      <t xml:space="preserve">AXA Afrique Atlantique</t>
    </r>
    <r>
      <rPr>
        <sz val="7"/>
        <color rgb="FF000000"/>
        <rFont val="Segoe UI"/>
        <family val="2"/>
        <charset val="1"/>
      </rPr>
      <t xml:space="preserve"> consolidates governance through Casablanca hub → centralising oversight to manage multi‑country complexity.</t>
    </r>
  </si>
  <si>
    <r>
      <rPr>
        <sz val="9"/>
        <color rgb="FF0D0D0D"/>
        <rFont val="EYInterstate"/>
        <family val="0"/>
        <charset val="1"/>
      </rPr>
      <t xml:space="preserve">Old Mutual</t>
    </r>
    <r>
      <rPr>
        <sz val="7"/>
        <color rgb="FF000000"/>
        <rFont val="Segoe UI"/>
        <family val="2"/>
        <charset val="1"/>
      </rPr>
      <t xml:space="preserve"> undertakes strategic reset under new CEO → refocusing on core African insurance economics.</t>
    </r>
  </si>
  <si>
    <r>
      <rPr>
        <sz val="9"/>
        <color rgb="FF0D0D0D"/>
        <rFont val="EYInterstate"/>
        <family val="0"/>
        <charset val="1"/>
      </rPr>
      <t xml:space="preserve">Santam</t>
    </r>
    <r>
      <rPr>
        <sz val="7"/>
        <color rgb="FF000000"/>
        <rFont val="Segoe UI"/>
        <family val="2"/>
        <charset val="1"/>
      </rPr>
      <t xml:space="preserve"> records strong underwriting profitability while expanding reinsurance capacity → balancing growth with capital discipline.</t>
    </r>
  </si>
  <si>
    <r>
      <rPr>
        <sz val="9"/>
        <color rgb="FF0D0D0D"/>
        <rFont val="EYInterstate"/>
        <family val="0"/>
        <charset val="1"/>
      </rPr>
      <t xml:space="preserve">Hannover Re Africa</t>
    </r>
    <r>
      <rPr>
        <sz val="7"/>
        <color rgb="FF000000"/>
        <rFont val="Segoe UI"/>
        <family val="2"/>
        <charset val="1"/>
      </rPr>
      <t xml:space="preserve"> maintains locally licensed model → signalling long‑term capital commitment versus branch‑only retrenchment.</t>
    </r>
  </si>
  <si>
    <r>
      <rPr>
        <sz val="9"/>
        <color rgb="FF0D0D0D"/>
        <rFont val="EYInterstate"/>
        <family val="0"/>
        <charset val="1"/>
      </rPr>
      <t xml:space="preserve">Continental Reinsurance</t>
    </r>
    <r>
      <rPr>
        <sz val="7"/>
        <color rgb="FF000000"/>
        <rFont val="Segoe UI"/>
        <family val="2"/>
        <charset val="1"/>
      </rPr>
      <t xml:space="preserve"> restructures into holding company → optimising capital allocation across volatile African markets.</t>
    </r>
  </si>
  <si>
    <r>
      <rPr>
        <sz val="9"/>
        <color rgb="FF0D0D0D"/>
        <rFont val="EYInterstate"/>
        <family val="0"/>
        <charset val="1"/>
      </rPr>
      <t xml:space="preserve">Discovery Health</t>
    </r>
    <r>
      <rPr>
        <sz val="7"/>
        <color rgb="FF000000"/>
        <rFont val="Segoe UI"/>
        <family val="2"/>
        <charset val="1"/>
      </rPr>
      <t xml:space="preserve"> reverses </t>
    </r>
    <r>
      <rPr>
        <b val="true"/>
        <sz val="7"/>
        <color rgb="FF000000"/>
        <rFont val="Segoe UI"/>
        <family val="2"/>
        <charset val="1"/>
      </rPr>
      <t xml:space="preserve">R125m billing recoveries</t>
    </r>
    <r>
      <rPr>
        <sz val="7"/>
        <color rgb="FF000000"/>
        <rFont val="Segoe UI"/>
        <family val="2"/>
        <charset val="1"/>
      </rPr>
      <t xml:space="preserve"> after regulator probe → highlighting service errors escalating into trust crises.</t>
    </r>
  </si>
  <si>
    <r>
      <rPr>
        <sz val="9"/>
        <color rgb="FF0D0D0D"/>
        <rFont val="EYInterstate"/>
        <family val="0"/>
        <charset val="1"/>
      </rPr>
      <t xml:space="preserve">Munich Re Africa</t>
    </r>
    <r>
      <rPr>
        <sz val="7"/>
        <color rgb="FF000000"/>
        <rFont val="Segoe UI"/>
        <family val="2"/>
        <charset val="1"/>
      </rPr>
      <t xml:space="preserve"> exits local licence in favour of branch model → regulatory‑driven restructuring, not market withdrawal.</t>
    </r>
  </si>
  <si>
    <t xml:space="preserve">TOP 20 UK</t>
  </si>
  <si>
    <r>
      <rPr>
        <sz val="9"/>
        <color rgb="FF0D0D0D"/>
        <rFont val="EYInterstate"/>
        <family val="0"/>
        <charset val="1"/>
      </rPr>
      <t xml:space="preserve">Aviva</t>
    </r>
    <r>
      <rPr>
        <sz val="7"/>
        <color rgb="FF000000"/>
        <rFont val="Segoe UI"/>
        <family val="2"/>
        <charset val="1"/>
      </rPr>
      <t xml:space="preserve"> shifts from AI pilots to enterprise‑wide deployment across underwriting and service → crossing the AI scale threshold.</t>
    </r>
  </si>
  <si>
    <r>
      <rPr>
        <sz val="9"/>
        <color rgb="FF0D0D0D"/>
        <rFont val="EYInterstate"/>
        <family val="0"/>
        <charset val="1"/>
      </rPr>
      <t xml:space="preserve">Allianz UK</t>
    </r>
    <r>
      <rPr>
        <sz val="7"/>
        <color rgb="FF000000"/>
        <rFont val="Segoe UI"/>
        <family val="2"/>
        <charset val="1"/>
      </rPr>
      <t xml:space="preserve"> scales AI in underwriting and fraud detection while acknowledging legacy constraints → signalling phased, risk‑controlled adoption.</t>
    </r>
  </si>
  <si>
    <r>
      <rPr>
        <sz val="9"/>
        <color rgb="FF0D0D0D"/>
        <rFont val="EYInterstate"/>
        <family val="0"/>
        <charset val="1"/>
      </rPr>
      <t xml:space="preserve">Zurich UK</t>
    </r>
    <r>
      <rPr>
        <sz val="7"/>
        <color rgb="FF000000"/>
        <rFont val="Segoe UI"/>
        <family val="2"/>
        <charset val="1"/>
      </rPr>
      <t xml:space="preserve"> launches digital cancer risk tools and empathy‑led platforms → extending AI beyond claims into prevention and support.</t>
    </r>
  </si>
  <si>
    <r>
      <rPr>
        <sz val="9"/>
        <color rgb="FF0D0D0D"/>
        <rFont val="EYInterstate"/>
        <family val="0"/>
        <charset val="1"/>
      </rPr>
      <t xml:space="preserve">NFU Mutual</t>
    </r>
    <r>
      <rPr>
        <sz val="7"/>
        <color rgb="FF000000"/>
        <rFont val="Segoe UI"/>
        <family val="2"/>
        <charset val="1"/>
      </rPr>
      <t xml:space="preserve"> migrates from on‑prem to </t>
    </r>
    <r>
      <rPr>
        <b val="true"/>
        <sz val="7"/>
        <color rgb="FF000000"/>
        <rFont val="Segoe UI"/>
        <family val="2"/>
        <charset val="1"/>
      </rPr>
      <t xml:space="preserve">Guidewire Cloud</t>
    </r>
    <r>
      <rPr>
        <sz val="7"/>
        <color rgb="FF000000"/>
        <rFont val="Segoe UI"/>
        <family val="2"/>
        <charset val="1"/>
      </rPr>
      <t xml:space="preserve"> → modernising core systems to unlock AI and efficiency.</t>
    </r>
  </si>
  <si>
    <r>
      <rPr>
        <sz val="9"/>
        <color rgb="FF0D0D0D"/>
        <rFont val="EYInterstate"/>
        <family val="0"/>
        <charset val="1"/>
      </rPr>
      <t xml:space="preserve">Tesco Insurance</t>
    </r>
    <r>
      <rPr>
        <sz val="7"/>
        <color rgb="FF000000"/>
        <rFont val="Segoe UI"/>
        <family val="2"/>
        <charset val="1"/>
      </rPr>
      <t xml:space="preserve"> launches cloud‑first transformation → rebuilding platform foundations for digital scalability.</t>
    </r>
  </si>
  <si>
    <r>
      <rPr>
        <sz val="9"/>
        <color rgb="FF0D0D0D"/>
        <rFont val="EYInterstate"/>
        <family val="0"/>
        <charset val="1"/>
      </rPr>
      <t xml:space="preserve">Beazley</t>
    </r>
    <r>
      <rPr>
        <sz val="7"/>
        <color rgb="FF000000"/>
        <rFont val="Segoe UI"/>
        <family val="2"/>
        <charset val="1"/>
      </rPr>
      <t xml:space="preserve"> remains world’s largest cyber insurer while transferring cyber risk to capital markets → redefining cyber risk financing.</t>
    </r>
  </si>
  <si>
    <r>
      <rPr>
        <sz val="9"/>
        <color rgb="FF0D0D0D"/>
        <rFont val="EYInterstate"/>
        <family val="0"/>
        <charset val="1"/>
      </rPr>
      <t xml:space="preserve">Howden</t>
    </r>
    <r>
      <rPr>
        <sz val="7"/>
        <color rgb="FF000000"/>
        <rFont val="Segoe UI"/>
        <family val="2"/>
        <charset val="1"/>
      </rPr>
      <t xml:space="preserve"> builds actuarial &amp; longevity practice via acquisitions → expanding broker role beyond placement into analytics‑led advisory.</t>
    </r>
  </si>
  <si>
    <r>
      <rPr>
        <sz val="9"/>
        <color rgb="FF0D0D0D"/>
        <rFont val="EYInterstate"/>
        <family val="0"/>
        <charset val="1"/>
      </rPr>
      <t xml:space="preserve">FCA</t>
    </r>
    <r>
      <rPr>
        <sz val="7"/>
        <color rgb="FF000000"/>
        <rFont val="Segoe UI"/>
        <family val="2"/>
        <charset val="1"/>
      </rPr>
      <t xml:space="preserve"> imposes capital and customer limits on </t>
    </r>
    <r>
      <rPr>
        <b val="true"/>
        <sz val="7"/>
        <color rgb="FF000000"/>
        <rFont val="Segoe UI"/>
        <family val="2"/>
        <charset val="1"/>
      </rPr>
      <t xml:space="preserve">Markerstudy</t>
    </r>
    <r>
      <rPr>
        <sz val="7"/>
        <color rgb="FF000000"/>
        <rFont val="Segoe UI"/>
        <family val="2"/>
        <charset val="1"/>
      </rPr>
      <t xml:space="preserve"> → reinforcing regulator intolerance for governance gaps.</t>
    </r>
  </si>
  <si>
    <r>
      <rPr>
        <sz val="9"/>
        <color rgb="FF0D0D0D"/>
        <rFont val="EYInterstate"/>
        <family val="0"/>
        <charset val="1"/>
      </rPr>
      <t xml:space="preserve">Allianz UK</t>
    </r>
    <r>
      <rPr>
        <sz val="7"/>
        <color rgb="FF000000"/>
        <rFont val="Segoe UI"/>
        <family val="2"/>
        <charset val="1"/>
      </rPr>
      <t xml:space="preserve"> identifies </t>
    </r>
    <r>
      <rPr>
        <b val="true"/>
        <sz val="7"/>
        <color rgb="FF000000"/>
        <rFont val="Segoe UI"/>
        <family val="2"/>
        <charset val="1"/>
      </rPr>
      <t xml:space="preserve">34,200 fraud cases</t>
    </r>
    <r>
      <rPr>
        <sz val="7"/>
        <color rgb="FF000000"/>
        <rFont val="Segoe UI"/>
        <family val="2"/>
        <charset val="1"/>
      </rPr>
      <t xml:space="preserve">, including ghost brokers → fraud emerges as systemic cost and trust risk.</t>
    </r>
  </si>
  <si>
    <r>
      <rPr>
        <sz val="9"/>
        <color rgb="FF0D0D0D"/>
        <rFont val="EYInterstate"/>
        <family val="0"/>
        <charset val="1"/>
      </rPr>
      <t xml:space="preserve">Ecclesiastical</t>
    </r>
    <r>
      <rPr>
        <sz val="7"/>
        <color rgb="FF000000"/>
        <rFont val="Segoe UI"/>
        <family val="2"/>
        <charset val="1"/>
      </rPr>
      <t xml:space="preserve"> saves </t>
    </r>
    <r>
      <rPr>
        <b val="true"/>
        <sz val="7"/>
        <color rgb="FF000000"/>
        <rFont val="Segoe UI"/>
        <family val="2"/>
        <charset val="1"/>
      </rPr>
      <t xml:space="preserve">£3m</t>
    </r>
    <r>
      <rPr>
        <sz val="7"/>
        <color rgb="FF000000"/>
        <rFont val="Segoe UI"/>
        <family val="2"/>
        <charset val="1"/>
      </rPr>
      <t xml:space="preserve"> by challenging fraudulent claims → validating ROI of advanced fraud controls.</t>
    </r>
  </si>
  <si>
    <t xml:space="preserve">INDIAN COMPANIES IN THE UK</t>
  </si>
  <si>
    <r>
      <rPr>
        <sz val="9"/>
        <color rgb="FF0D0D0D"/>
        <rFont val="EYInterstate"/>
        <family val="0"/>
        <charset val="1"/>
      </rPr>
      <t xml:space="preserve">TCS (Diligenta)</t>
    </r>
    <r>
      <rPr>
        <sz val="7"/>
        <color rgb="FF000000"/>
        <rFont val="Segoe UI"/>
        <family val="2"/>
        <charset val="1"/>
      </rPr>
      <t xml:space="preserve"> expands AI‑enabled policy administration for Aviva → exporting India’s insurance‑tech execution into the UK market.</t>
    </r>
  </si>
  <si>
    <r>
      <rPr>
        <sz val="9"/>
        <color rgb="FF0D0D0D"/>
        <rFont val="EYInterstate"/>
        <family val="0"/>
        <charset val="1"/>
      </rPr>
      <t xml:space="preserve">LIC UK</t>
    </r>
    <r>
      <rPr>
        <sz val="7"/>
        <color rgb="FF000000"/>
        <rFont val="Segoe UI"/>
        <family val="2"/>
        <charset val="1"/>
      </rPr>
      <t xml:space="preserve"> continues in </t>
    </r>
    <r>
      <rPr>
        <b val="true"/>
        <sz val="7"/>
        <color rgb="FF000000"/>
        <rFont val="Segoe UI"/>
        <family val="2"/>
        <charset val="1"/>
      </rPr>
      <t xml:space="preserve">closed‑to‑new‑business mode</t>
    </r>
    <r>
      <rPr>
        <sz val="7"/>
        <color rgb="FF000000"/>
        <rFont val="Segoe UI"/>
        <family val="2"/>
        <charset val="1"/>
      </rPr>
      <t xml:space="preserve"> → shifting focus from growth to servicing and run‑off management.</t>
    </r>
  </si>
  <si>
    <r>
      <rPr>
        <sz val="9"/>
        <color rgb="FF0D0D0D"/>
        <rFont val="EYInterstate"/>
        <family val="0"/>
        <charset val="1"/>
      </rPr>
      <t xml:space="preserve">New India Assurance UK</t>
    </r>
    <r>
      <rPr>
        <sz val="7"/>
        <color rgb="FF000000"/>
        <rFont val="Segoe UI"/>
        <family val="2"/>
        <charset val="1"/>
      </rPr>
      <t xml:space="preserve"> maintains stable solvency while premiums soften → prioritising resilience over expansion.</t>
    </r>
  </si>
  <si>
    <r>
      <rPr>
        <sz val="9"/>
        <color rgb="FF0D0D0D"/>
        <rFont val="EYInterstate"/>
        <family val="0"/>
        <charset val="1"/>
      </rPr>
      <t xml:space="preserve">GIC Re</t>
    </r>
    <r>
      <rPr>
        <sz val="7"/>
        <color rgb="FF000000"/>
        <rFont val="Segoe UI"/>
        <family val="2"/>
        <charset val="1"/>
      </rPr>
      <t xml:space="preserve"> sets up UK service entity and restructures Lloyd’s syndicate management → optimising capital and governance footprint in London market.</t>
    </r>
  </si>
  <si>
    <r>
      <rPr>
        <sz val="9"/>
        <color rgb="FF0D0D0D"/>
        <rFont val="EYInterstate"/>
        <family val="0"/>
        <charset val="1"/>
      </rPr>
      <t xml:space="preserve">Indian insurers in the UK</t>
    </r>
    <r>
      <rPr>
        <sz val="7"/>
        <color rgb="FF000000"/>
        <rFont val="Segoe UI"/>
        <family val="2"/>
        <charset val="1"/>
      </rPr>
      <t xml:space="preserve"> operate under strict SFCR and FCA regimes → reinforcing compliance‑first operating posture over growth ambitions.</t>
    </r>
  </si>
  <si>
    <t xml:space="preserve">Row</t>
  </si>
  <si>
    <t xml:space="preserve">Bucket</t>
  </si>
  <si>
    <t xml:space="preserve">Action</t>
  </si>
  <si>
    <t xml:space="preserve">Existing team text</t>
  </si>
  <si>
    <t xml:space="preserve">Verified / new text</t>
  </si>
  <si>
    <t xml:space="preserve">Audit</t>
  </si>
  <si>
    <t xml:space="preserve">Audit note / evidence</t>
  </si>
  <si>
    <t xml:space="preserve">4</t>
  </si>
  <si>
    <t xml:space="preserve">new bullet</t>
  </si>
  <si>
    <t xml:space="preserve">(Feb 2026) Allianz Services India ran the Allianz Innovation Marathon 2026 (16 Feb 2026, under its ASPIRE industry-readiness initiative; 120 submissions from Kerala engineering colleges) on AI in insurance; the winning team (Sree Chitra Thirunal College of Engineering) received an internship with the entity's Data and Gen AI pillar, confirming a dedicated Data/GenAI unit in Trivandrum.</t>
  </si>
  <si>
    <t xml:space="preserve">https://www.technoparktoday.com/allianz-services-india-hosts-innovation-marathon-2026-sree-chitra-thirunal-college-of-engineering-emerges-as-winner/</t>
  </si>
  <si>
    <t xml:space="preserve">amended</t>
  </si>
  <si>
    <t xml:space="preserve">Confirmed by technoparktoday extract; event date is 16 Feb 2026 under the ASPIRE initiative with 120 submissions, so month added to the date tag</t>
  </si>
  <si>
    <t xml:space="preserve">(2025-26) Allianz Services' stated mission is to modernise Allianz operations via automation, GenAI and smart services; the India delivery centre (Trivandrum, Mumbai, Pune) covers Insurance, Corporate, Advisory and Transformation Services.</t>
  </si>
  <si>
    <t xml:space="preserve">https://careers.allianz.com/global/en/allianz-services</t>
  </si>
  <si>
    <t xml:space="preserve">not_audited</t>
  </si>
  <si>
    <t xml:space="preserve">careers.allianz.com/global/en/allianz-services appeared in results but the extract did not re-surface the "automation, GenAI, smart services" quote; technopark.org confirms Trivandrum and Pune sites (Mumbai not independently confirmed). Treat as plausible company-page claim.</t>
  </si>
  <si>
    <t xml:space="preserve">researcher bullet demoted (registry financials, not a finance-function item)</t>
  </si>
  <si>
    <t xml:space="preserve">(FY2025) Allianz Services Private Limited revenue of INR 874.53 crore, 27% growth YoY (MCA-mirror data).</t>
  </si>
  <si>
    <t xml:space="preserve">https://www.thecompanycheck.com/company/allianz-services-private-limited/U72200KL2003PTC015907</t>
  </si>
  <si>
    <t xml:space="preserve">Consistency rule applied at build: revenue/net-worth figures from MCA mirrors are context, not Finance focus evidence.</t>
  </si>
  <si>
    <t xml:space="preserve">(2025-26) Allianz Services India is Allianz Services' largest centre of competence, and its Business Services line covers Finance (Financial Business Services), HR, Compliance and Design services for Allianz group entities.</t>
  </si>
  <si>
    <t xml:space="preserve">https://www.linkedin.com/showcase/allianz-services-india/</t>
  </si>
  <si>
    <t xml:space="preserve">The LinkedIn evidence quote only supports the Business Services (Finance/HR/Compliance) scope; the FY25 revenue and headcount figures are not supported by that URL and duplicate P[1]. technopark.org independently lists "Financial Business Services" among the India centre competencies. Figures moved out of this bullet.</t>
  </si>
  <si>
    <t xml:space="preserve">Insurance Operations</t>
  </si>
  <si>
    <t xml:space="preserve">(2025) Allianz Services India hosted 'Actuarial Edge 2025', an actuarial talent competition won by IAQS Mumbai, underlining its actuarial services pillar.</t>
  </si>
  <si>
    <t xml:space="preserve">https://www.technoparktoday.com/allianz-services-india-actuarial-edge-2025-iaqs-mumbai-wins/</t>
  </si>
  <si>
    <t xml:space="preserve">verified</t>
  </si>
  <si>
    <t xml:space="preserve">technoparktoday article confirmed: Actuarial Edge 2025 hosted by Allianz Services India, won by IAQS Mumbai</t>
  </si>
  <si>
    <t xml:space="preserve">(2025-26) Entity is Allianz Services' largest competence centre for Insurance Operations, Business Consulting and Expert Services (business analytics/BI and actuarial services).</t>
  </si>
  <si>
    <t xml:space="preserve">Independently confirmed by the Technopark company directory (non-LinkedIn source): largest centre of competence for Insurance Operations, Business Consulting, Business Analytics, Actuarial Services etc.</t>
  </si>
  <si>
    <t xml:space="preserve">Internal Audit (SOX/ICFR)</t>
  </si>
  <si>
    <t xml:space="preserve">none found</t>
  </si>
  <si>
    <t xml:space="preserve">No publicly verified information found on internal audit/SOX teams at Allianz Services India (searched: 'Allianz Services India internal audit finance shared services', 'Allianz Services India 2026 AI', 'Allianz Services India expansion actuarial GenAI'). Compliance services are listed as a function but no audit-specific news.</t>
  </si>
  <si>
    <t xml:space="preserve">Key Trends (col S) note</t>
  </si>
  <si>
    <t xml:space="preserve">team note: incorrect</t>
  </si>
  <si>
    <t xml:space="preserve">Allianz UK item, not about Allianz Services India; drop or move to group context</t>
  </si>
  <si>
    <t xml:space="preserve">Not reached within budget; verdict logic (UK group item, not the India GCC) is reasonable</t>
  </si>
  <si>
    <t xml:space="preserve">team note: wrong_bucket</t>
  </si>
  <si>
    <t xml:space="preserve">These concern the separate Allianz Jio Reinsurance / primary-insurance JV entities (allianz.com media release 22 Apr 2026 confirmed), not the Allianz Services India GCC; belongs on the reinsurer/JV rows, not here</t>
  </si>
  <si>
    <t xml:space="preserve">Not reached within budget; bucket logic (Allianz Jio JV entities are separate rows) is reasonable</t>
  </si>
  <si>
    <t xml:space="preserve">Global Allianz Commercial news, no India GCC link found</t>
  </si>
  <si>
    <t xml:space="preserve">Not reached within budget</t>
  </si>
  <si>
    <t xml:space="preserve">team note: confirmed</t>
  </si>
  <si>
    <t xml:space="preserve">Supported by careers.allianz.com (automation, GenAI, smart services) and the 2026 Innovation Marathon / Data &amp; Gen AI pillar</t>
  </si>
  <si>
    <t xml:space="preserve">Independent extracts confirm a "Data and Gen AI pillar" at Allianz Services India (technoparktoday, Feb 2026 Innovation Marathon) and "Automation" among the India centre competencies (technopark.org company page)</t>
  </si>
  <si>
    <t xml:space="preserve">team note: unsupported</t>
  </si>
  <si>
    <t xml:space="preserve">Group-level; not checked within budget and not India-specific</t>
  </si>
  <si>
    <t xml:space="preserve">Not reached within budget; group-level Q1 2026 results item is not India-GCC specific, so "unsupported/drop" is the right direction</t>
  </si>
  <si>
    <t xml:space="preserve">Focus summary</t>
  </si>
  <si>
    <t xml:space="preserve">summary</t>
  </si>
  <si>
    <t xml:space="preserve">Primary: Insurance Operations (insurance ops, actuarial, analytics) and Technology (Data &amp; GenAI pillar, automation); Secondary: Finance (Finance/HR/Compliance business services); Internal Audit: none public. Most col S items concern Allianz Jio Re / Allianz Commercial, not this GCC.</t>
  </si>
  <si>
    <t xml:space="preserve">medium</t>
  </si>
  <si>
    <t xml:space="preserve">5</t>
  </si>
  <si>
    <t xml:space="preserve">(Aug 2026) Allstate Corp disclosed on its Q2 2026 earnings call that it is building ALLIE (Large Language Intelligent Ecosystem), an eight-component agentic-AI architecture for customer interactions, distribution, pricing and claims; not yet fully built or deployed and no timeline given. India delivery role not publicly confirmed - group context only.</t>
  </si>
  <si>
    <t xml:space="preserve">https://www.insurancejournal.com/news/national/2026/08/07/880719.htm</t>
  </si>
  <si>
    <t xml:space="preserve">Confirmed (Insurance Journal 7 Aug 2026; CIO Dive). ALLIE stands for Large Language Intelligent Ecosystem; CEO said it is not fully built or deployed and gave no timeline. Text tightened accordingly; India role still unconfirmed.</t>
  </si>
  <si>
    <t xml:space="preserve">(Aug 2024) Allstate India describes itself as architecting infrastructure that integrates AI systems with advanced analytics for pricing and fraud detection at scale, alongside its Technology &amp; Innovation and digital platform teams.</t>
  </si>
  <si>
    <t xml:space="preserve">https://www.business-standard.com/content/press-releases-ani/reimagining-the-role-of-insurance-gccs-allstate-india-s-journey-towards-a-global-talent-center-124082600741_1.html</t>
  </si>
  <si>
    <t xml:space="preserve">The business-standard/ANI URL did not surface in the audit search; the same release (via Qorus) confirms the Aug 2024 date, RMBC and policy-admin content, but the "AI systems with advanced analytics for pricing and fraud detection" phrase was not re-surfaced. Plausible; note Aug 2024 is at the edge of the window.</t>
  </si>
  <si>
    <t xml:space="preserve">(FY2025) Allstate India Private Limited reported annual revenue of about INR 1,890 crore (FY ending Mar 2025) with ~4,300 employees; finance shared services (Enterprise Financial Services, GL reconciliations, payments) per team col E - no new finance-specific news found.</t>
  </si>
  <si>
    <t xml:space="preserve">https://tracxn.com/d/companies/allstateindia/__9hXgvLj6uzJEc20xuVzrjVJQxh1sjroMM9etIjj845E</t>
  </si>
  <si>
    <t xml:space="preserve">Tracxn figure not searched (budget). Weak as a Finance-bucket item: it is a legal-entity revenue figure, not finance-function news; the bullet already says no finance news was found. Consider demoting to a note in none_found.P.</t>
  </si>
  <si>
    <t xml:space="preserve">(Sep 2025) Shibu Mathew Zacharia, previously Director - Claims &amp; Litigation at Allstate India (4+ years with the entity), appointed Vice President &amp; Managing Director to lead strategic operations in India; Ankita Agrawal named head of HR.</t>
  </si>
  <si>
    <t xml:space="preserve">https://hrtoday.in/shibu-mathew-zacharia-appointed-as-vice-president-and-managing-director-at-allstate-india/</t>
  </si>
  <si>
    <t xml:space="preserve">hrtoday confirms the appointment and claims background; date is Sep 2025 per extract. The "AIM Top BFSI GCC Heads 2026" clause was not verified in any extract and has been removed.</t>
  </si>
  <si>
    <t xml:space="preserve">(Aug 2024) Allstate India's Risk Management Business Centre delivers end-to-end underwriting for auto and property; claims teams handle auto/property/casualty claims; Policy Administration supports 20M+ policies.</t>
  </si>
  <si>
    <t xml:space="preserve">https://www.prnewswire.com/in/news-releases/reimagining-the-role-of-insurance-gccs-allstate-indias-journey-towards-a-global-talent-center-302230355.html</t>
  </si>
  <si>
    <t xml:space="preserve">Content confirmed via Qorus re-publication of the Aug 2024 release (RMBC end-to-end underwriting; Policy Administration 20M+ policies; Bengaluru and Pune; centre set up 2012). PR Newswire URL itself did not re-surface but is the same release.</t>
  </si>
  <si>
    <t xml:space="preserve">No publicly verified information found on internal audit/SOX at Allstate India (searched: 'Allstate India finance internal audit SOX technology hiring 2025 2026').</t>
  </si>
  <si>
    <t xml:space="preserve">hrtoday.in: announced Sep 2025; previously Director - Claims &amp; Litigation, 4+ years at Allstate India. Confirmed.</t>
  </si>
  <si>
    <t xml:space="preserve">hrtoday extract states the appointment was announced in September 2025; use (Sep 2025) rather than the Sep-Nov range</t>
  </si>
  <si>
    <t xml:space="preserve">Aug 2024 ANI/Business Standard press release describes AI with analytics for pricing and fraud detection, RMBC underwriting, policy admin for 20M+ policies; note it is Aug 2024 (edge of window)</t>
  </si>
  <si>
    <t xml:space="preserve">Qorus (industry body) re-publication of the Aug 2024 release confirms RMBC end-to-end underwriting and Policy Administration for 20M+ policies; AI-for-fraud phrase not re-surfaced in extract but the core claim holds</t>
  </si>
  <si>
    <t xml:space="preserve">No source surfaced in searches; likely ET article - needs URL</t>
  </si>
  <si>
    <t xml:space="preserve">Not reached within budget; no source surfaced in the three audit searches either</t>
  </si>
  <si>
    <t xml:space="preserve">Group-level Allstate Corp item (Q2 2026 earnings call, Insurance Journal Aug 2026); no verified India delivery role. Keep only as group context in Technology with caveat</t>
  </si>
  <si>
    <t xml:space="preserve">ALLIE coverage (Insurance Journal 7 Aug 2026, CIO Dive) is purely Allstate Corp / Q2 2026 earnings-call material; no India delivery role mentioned. Keeping as group context under Technology with caveat is correct.</t>
  </si>
  <si>
    <t xml:space="preserve">Primary: Insurance Operations (claims, RMBC underwriting, policy admin; new MD from claims); Secondary: Technology (AI/analytics for pricing &amp; fraud; group ALLIE platform, India role unverified); Finance: limited (shared services, no news); Internal Audit: none public.</t>
  </si>
  <si>
    <t xml:space="preserve">6</t>
  </si>
  <si>
    <t xml:space="preserve">No publicly verified technology news for this entity in Oct 2024-Oct 2026 (searched: entity name + AIG Analytics; 'Accenture acquires AIG Analytics &amp; Services India'; 'AIG Accenture agreement 2024 2025 outsourcing India').</t>
  </si>
  <si>
    <t xml:space="preserve">No publicly verified finance news for this entity; MCA mirrors only show FY22 revenue band INR 100-500 crore (thecompanycheck/tofler).</t>
  </si>
  <si>
    <t xml:space="preserve">(Jan 2021 handover; no newer entity-specific news) Entity is the former AIG captive AIG Analytics &amp; Services Private Limited (CIN U74990KA2009PTC076432, Whitefield, Bengaluru, incorporated Oct 2009) that passed to Accenture when AIG moved ~6,000 shared-services staff (incl. India) to Accenture in January 2021; it continues as an AIG-focused insurance operations/analytics centre under Accenture.</t>
  </si>
  <si>
    <t xml:space="preserve">https://www.zaubacorp.com/company/AIG-ANALYTICS-SERVICES-PRIVATE-LIMITED/U74990KA2009PTC076432</t>
  </si>
  <si>
    <t xml:space="preserve">Audit search confirmed CIN U74990KA2009PTC076432 (AIG Analytics &amp; Services Private Limited, incorporated 27 Oct 2009, Whitefield, Bengaluru). The rename to Accenture Operations Services, the Chartis prior name and the "~995 EPFO employees" figure were NOT re-surfaced in extracts; the headcount figure has been removed and the handover date (Jan 2021, per Fortune) added.</t>
  </si>
  <si>
    <t xml:space="preserve">(Jul 2022, context) Fortune: ~6,000 AIG shared-services employees (Malaysia, India, Philippines, Sofia, Olathe) became Accenture employees in a January 2021 handover covering HR operations, claims resolution, actuarial operations and finance; Accenture later reported 17% promoted and ~76% trained on ML/automation, with some claims processed twice as fast.</t>
  </si>
  <si>
    <t xml:space="preserve">https://fortune.com/2022/07/21/aig-imploded-2008-recession-financial-crisis-turnaround-plan-6000-employees-accenture/</t>
  </si>
  <si>
    <t xml:space="preserve">Fortune article (21 Jul 2022) confirmed: 6,000 AIG shared-services employees became Accenture employees, handover January 2021, scope HR ops, claims, actuarial operations and finance; AIG locations became Accenture offices. Handover month added.</t>
  </si>
  <si>
    <t xml:space="preserve">No publicly verified internal audit/SOX information found.</t>
  </si>
  <si>
    <t xml:space="preserve">Not visible in search extracts (thecompanycheck page exists but director list not surfaced); plausible MCA item, needs direct check</t>
  </si>
  <si>
    <t xml:space="preserve">One audit search on the entity name + Manohar Singh Rawat returned no director information; "unsupported" stands (MCA record would be needed)</t>
  </si>
  <si>
    <t xml:space="preserve">Generic Accenture thought-leadership, not news about this entity</t>
  </si>
  <si>
    <t xml:space="preserve">Not searched within budget; the verdict logic (generic Accenture corporate news with no link to this Bengaluru entity) is sound</t>
  </si>
  <si>
    <t xml:space="preserve">Accenture Ventures global item, no link to this Bengaluru entity</t>
  </si>
  <si>
    <t xml:space="preserve">Accenture corporate alliance; not about this entity</t>
  </si>
  <si>
    <t xml:space="preserve">Accenture corporate item; not about this entity</t>
  </si>
  <si>
    <t xml:space="preserve">Primary: Insurance Operations (legacy AIG captive now Accenture-run BPS/analytics for AIG, ~1,000 staff); Technology: none public; Finance: none public beyond MCA filings; Internal Audit: none. All five col S items are generic Accenture corporate news and should be removed.</t>
  </si>
  <si>
    <t xml:space="preserve">low</t>
  </si>
  <si>
    <t xml:space="preserve">7</t>
  </si>
  <si>
    <t xml:space="preserve">(Jun 2026) Aon expanded its Bengaluru global capability centre with a new LEED-certified facility at The Earth Centre by Vista Spaces, Whitefield (~1.98 lakh sq ft leased over five years, ~INR 98 crore rent per property press); India centres (Bengaluru, Noida, Gurgaon) deliver analytics, technology and operations plus Risk Capital and Human Capital capabilities for Aon globally.</t>
  </si>
  <si>
    <t xml:space="preserve">https://www.aon.com/apac/in-the-press/asia-newsroom/2026/aon-reinforces-india-as-key-global-hub</t>
  </si>
  <si>
    <t xml:space="preserve">aon.com release dated 3 Jun 2026 confirmed; property-press extracts add the lease size (~1.98 lakh sq ft at Vista Earth Centre, Whitefield; ~INR 98 crore over 5 years). Note: the release frames the site as delivering Risk Capital and Human Capital capabilities plus analytics/technology/operations, i.e. a general GCC expansion, not a pure tech centre - kept in Technology but it equally supports Q.</t>
  </si>
  <si>
    <t xml:space="preserve">(Jun 2026) Reinsurance News / Insurance Business coverage of the Bengaluru expansion: the centre links talent and technology across Aon's international offices to keep service delivery consistent.</t>
  </si>
  <si>
    <t xml:space="preserve">https://www.reinsurancene.ws/aon-expands-bengalurus-global-capability-centre-with-new-facility/</t>
  </si>
  <si>
    <t xml:space="preserve">reinsurancene.ws article on the Bengaluru expansion appeared in the audit results (Jun 2026); the exact quoted phrase was not re-surfaced but the article topic/date are confirmed. Largely duplicative of O[0]; could be merged.</t>
  </si>
  <si>
    <t xml:space="preserve">No publicly verified finance-function news for Aon's India GCC in the window (searched: 'Aon India capability centre Gurugram Noida reinsurance analytics finance AI'; 'Aon India GCC finance internal audit Shiney Prasad'). Team col E lists financial reporting/internal finance but no source news.</t>
  </si>
  <si>
    <t xml:space="preserve">(Mar 2026) Shiney Prasad joined Aon as Head of Global Capability Centers, with 30+ years across insurance, shared services and GCC management; Aon also named Nayana Mitter to lead GCC strategy and programme management.</t>
  </si>
  <si>
    <t xml:space="preserve">https://hrtoday.in/shiney-prasad-embarks-on-new-journey-with-aon-as-head-of-global-capability-centers/</t>
  </si>
  <si>
    <t xml:space="preserve">hrtoday extract confirms March 2026 start and the 30+ years / GCC-management background. Bucket note: a GCC-head appointment is general leadership rather than insurance operations; acceptable in Q given no general bucket, but flag.</t>
  </si>
  <si>
    <t xml:space="preserve">(2026, month unconfirmed) Reinsurance Asia headline: Aon taps Nayana Mitter to lead Global Capability Centres strategy and programme management. Weak (headline-only) evidence.</t>
  </si>
  <si>
    <t xml:space="preserve">https://reinasia.com/aon-taps-nayana-mitter-to-lead-global-capability-centres-strategy-and-programme-management/</t>
  </si>
  <si>
    <t xml:space="preserve">reinasia.com article with this title surfaced in the Bengaluru-expansion search results, but a dedicated search did not return any extract about Nayana Mitter; only the headline is confirmed. Month unknown; trade source. Text tightened to what the headline supports.</t>
  </si>
  <si>
    <t xml:space="preserve">Aon client/product news (India market), not about the Aon India GCC; move to market context or drop</t>
  </si>
  <si>
    <t xml:space="preserve">Not searched within budget; logic (client/product news, not GCC) is sound</t>
  </si>
  <si>
    <t xml:space="preserve">Global Aon product news, unrelated to India GCC</t>
  </si>
  <si>
    <t xml:space="preserve">Not searched within budget; logic (global product capacity news) is sound</t>
  </si>
  <si>
    <t xml:space="preserve">hrtoday.in: joined Aon Mar 2026 as head of global capability centres; also quoted in Jun 2026 aon.com release</t>
  </si>
  <si>
    <t xml:space="preserve">hrtoday confirms Shiney Prasad joined Aon as Head of Global Capability Centers in March 2026; prior roles at Sun Life, Genpact and Guardian (Country Head India)</t>
  </si>
  <si>
    <t xml:space="preserve">Global Aon product launch; no India GCC delivery evidence found</t>
  </si>
  <si>
    <t xml:space="preserve">Not searched within budget; logic (global product launch) is sound</t>
  </si>
  <si>
    <t xml:space="preserve">Primary: Technology/Analytics (Bengaluru GCC expansion Jun 2026; analytics-technology-operations delivery); Secondary: Insurance/Broking Operations (new GCC leadership Mar 2026, Risk Capital &amp; Human Capital support); Finance: limited; Internal Audit: none public. Col S items 1, 2, 4 are global product news, not GCC items.</t>
  </si>
  <si>
    <t xml:space="preserve">8</t>
  </si>
  <si>
    <t xml:space="preserve">(2025-26) Admiral India (legal entity Inspop Technologies India Pvt Ltd; captive technology &amp; operations centre set up 2021 at International Tech Park Gurugram SEZ, separate from Admiral Solutions) provides IT and technology support - infrastructure, cloud, security and IT operations - to Admiral Group operations globally and is hiring engineering-management roles.</t>
  </si>
  <si>
    <t xml:space="preserve">https://www.admiralindia.com/</t>
  </si>
  <si>
    <t xml:space="preserve">Confirmed that Admiral India is a captive technology &amp; operations centre established in 2021 at International Tech Park Gurugram (SEZ); the Indian legal entity is Inspop Technologies India Pvt Ltd, set up to provide IT/technology support to Admiral Group operations globally. The "cloud, security, IT operations" quote was not re-surfaced but the IT-support mandate is confirmed; group-level Google Cloud partnership (Feb 2024) is context only.</t>
  </si>
  <si>
    <t xml:space="preserve">(2025-26) Admiral India careers page shows active Gurgaon hiring for Senior Engineering Manager and Module Lead positions.</t>
  </si>
  <si>
    <t xml:space="preserve">https://www.admiralindia.com/current-jobs/</t>
  </si>
  <si>
    <t xml:space="preserve">Careers page not searched within budget; low-value duplicate of O[0] hiring clause</t>
  </si>
  <si>
    <t xml:space="preserve">No publicly verified finance-function information found for Admiral Solutions India / Admiral India (searched: 'Admiral Solutions India Bengaluru GCC 2026', 'Admiral Solutions Admiral India Gurugram AI cloud data hiring', 'Admiral India Gurugram news Flock expansion'). Note: entity is in Gurugram, not Bengaluru.</t>
  </si>
  <si>
    <t xml:space="preserve">(2026) Admiral Solutions (Gurgaon captive BPO set up Apr 2012 to support Admiral's UK car-insurance operations; Infospace SEZ, Dundahera) continues to hire Customer Care Specialist/Representative and operations roles supporting UK customer service.</t>
  </si>
  <si>
    <t xml:space="preserve">https://career.admiralsolutions.in/vacancies/</t>
  </si>
  <si>
    <t xml:space="preserve">Hiring of customer-care roles confirmed via a third-party posting (instahyre: Customer Care Representative at Admiral Solutions, Gurgaon), but the "closing dates Oct-Nov 2026" detail was not verified and the date tag was non-standard; retagged to (2026).</t>
  </si>
  <si>
    <t xml:space="preserve">(2025-26) Admiral Solutions is Admiral Group's ITeS/BPO GIC in Gurgaon supporting UK car insurance operations; grown from 16 staff in 2012 to a 2,000+ strong operation per the company's own profile.</t>
  </si>
  <si>
    <t xml:space="preserve">https://www.admiralsolutions.in/</t>
  </si>
  <si>
    <t xml:space="preserve">Confirmed: captive BPO launched April 2012 to support UK car insurance operations of Admiral Group; GPTW India lists 2,676 employees (IT &amp; IT-BPM 2025) and "grown from 16 people to 2,600+".</t>
  </si>
  <si>
    <t xml:space="preserve">Group financials (results published 5 Mar 2026), not India entity news</t>
  </si>
  <si>
    <t xml:space="preserve">Not searched within budget; logic (group results, not India entity) is sound</t>
  </si>
  <si>
    <t xml:space="preserve">Partly supported: GPTW India - Top 10 Best Workplaces for Women; Top 25 IT &amp; IT-BPM 2025; 35th in Top 100 Best Companies. Reword to the exact list. Source: greatplacetowork.in/great/company/admiral-solutions</t>
  </si>
  <si>
    <t xml:space="preserve">GPTW India extracts confirm Admiral Solutions (Gurgaon) is ranked in the Top 10 of India's Best Workplaces for Women, Top 25 in IT &amp; IT-BPM 2025, and 35th in India's Best Companies to Work For (Top 100), certified 8 years running. The team's "Top 10 Best Places to Work in India" is imprecise (Top 10 applies to the Women list) but has a credible basis.</t>
  </si>
  <si>
    <t xml:space="preserve">UK group M&amp;A (announced Feb 2026, Reinsurance News); no India GCC link found</t>
  </si>
  <si>
    <t xml:space="preserve">Not searched within budget; logic (UK group M&amp;A) is sound</t>
  </si>
  <si>
    <t xml:space="preserve">Primary: Insurance Operations (Admiral Solutions: UK motor customer service/back office); Secondary: Technology (sister entity Admiral India: cloud, security, IT ops, engineering hiring); Finance: none public; Internal Audit: none public. All col S items are UK group items.</t>
  </si>
  <si>
    <t xml:space="preserve">9</t>
  </si>
  <si>
    <t xml:space="preserve">Arch Global Services India</t>
  </si>
  <si>
    <t xml:space="preserve">(Oct 2025) Arch Global Services India opened a technology hub in Hyderabad's Financial District (~100 employees, room to expand) delivering technology-driven services across Arch affiliates; led by Technology Head Raju Chiluvuri.</t>
  </si>
  <si>
    <t xml:space="preserve">https://www.businesswire.com/news/home/20251027224074/en/Arch-Global-Services-India-Opens-Technology-Hub-in-Hyderabad-to-Accelerate-Innovation</t>
  </si>
  <si>
    <t xml:space="preserve">Confirmed by archgroup.com (28 Oct 2025) and Business Wire/stocktitan mirrors; ~100 employees, Financial District, technology-driven services, led by Raju Chiluvuri</t>
  </si>
  <si>
    <t xml:space="preserve">(Oct 2025) Reinsurance News and Bermuda:Re+ILS covered the Hyderabad hub as Arch extending its India footprint for digital transformation; India support areas include Information Technology alongside billing, claims, risk engineering and underwriting ops.</t>
  </si>
  <si>
    <t xml:space="preserve">https://www.reinsurancene.ws/arch-global-services-india-opens-technology-hub-in-hyderabad/</t>
  </si>
  <si>
    <t xml:space="preserve">reinsurancene.ws and bermudareinsurancemagazine.com articles on the Hyderabad hub both surfaced in audit results (Oct 2025)</t>
  </si>
  <si>
    <t xml:space="preserve">(Oct 2025) The Trivandrum office (largest in India, 26,000 sq ft expandable by 17,000, ~350 employees) provides business services including finance and risk operations for Arch's insurance, reinsurance and mortgage divisions.</t>
  </si>
  <si>
    <t xml:space="preserve">https://www.archgroup.com/arch-global-services-india-opens-new-office-in-trivandrum-to-drive-innovation/</t>
  </si>
  <si>
    <t xml:space="preserve">Confirmed by archgroup.com release dated 30 Oct 2025: Trivandrum provides business services including finance and risk operations; 26,000 sq ft expandable by 17,000; ~350 staff</t>
  </si>
  <si>
    <t xml:space="preserve">(Oct 2025) Trivandrum Technopark office opened to deliver underwriting, claims, finance and risk operations; support areas listed include Billing Operations, Claims Processing, Risk Engineering and Underwriting Operations.</t>
  </si>
  <si>
    <t xml:space="preserve">https://www.businesswire.com/news/home/20251029203215/en/arch-global-services-india-opens-new-office-in-trivandrum-to-drive-innovation/</t>
  </si>
  <si>
    <t xml:space="preserve">Trivandrum opening (30 Oct 2025, Technopark, Niagara building) confirmed via archgroup.com and reinsurancene.ws; the itemised support-areas list was not re-surfaced in the extract but the underwriting/claims scope is confirmed</t>
  </si>
  <si>
    <t xml:space="preserve">(Jul 2025) Arch Capital Group announced global capabilities centres in Trivandrum and Pune with Hyderabad to follow, set up with ANSR and sponsored by Deputy COO Prashant Nema, to support its Insurance, Reinsurance and Mortgage segments; 350+ staff initially, tapping analytics, technology and operations talent.</t>
  </si>
  <si>
    <t xml:space="preserve">https://www.archgroup.com/arch-capital-group-opens-global-capabilities-centers-in-india/</t>
  </si>
  <si>
    <t xml:space="preserve">Confirmed (archgroup.com and Business Wire, 31 Jul 2025): Trivandrum and Pune centres, Hyderabad to follow, 350+ employees, Insurance/Reinsurance/Mortgage segments, analytics/technology/operations talent. Added that the centres were set up with ANSR and sponsored by Deputy COO Prashant Nema.</t>
  </si>
  <si>
    <t xml:space="preserve">No publicly verified internal audit/SOX information found (searched: 'Arch Global Services India 2026 Trivandrum Hyderabad Pune technology hub', 'Arch Global Services India Pune Hyderabad AI underwriting claims finance', 'Arch Global Services India Hyderabad technology hub opens 2025').</t>
  </si>
  <si>
    <t xml:space="preserve">Trivandrum (Oct 2025, ~350 staff, 26,000 sq ft) is the business-services office (underwriting, claims, finance, risk ops); the technology hub is Hyderabad (~100 staff). Headcount right, label wrong</t>
  </si>
  <si>
    <t xml:space="preserve">Arch release (30 Oct 2025) confirms Trivandrum (~350 staff, 26,000 sq ft +17,000) is the business-services office for underwriting, claims, finance and risk operations; the 28 Oct 2025 release confirms Hyderabad (~100 staff) is the technology hub. Team label is wrong, as the researcher said.</t>
  </si>
  <si>
    <t xml:space="preserve">Business Wire 27/28 Oct 2025; technology-focused, ~100 employees, led by Technology Head Raju Chiluvuri</t>
  </si>
  <si>
    <t xml:space="preserve">Confirmed: Hyderabad Financial District office, ~100 employees, technology-driven services, managed by Technology Head Raju Chiluvuri (archgroup.com 28 Oct 2025; Business Wire; Reinsurance News)</t>
  </si>
  <si>
    <t xml:space="preserve">Group quarterly results, not India GCC news; drop</t>
  </si>
  <si>
    <t xml:space="preserve">Not searched within budget; logic (group quarterly results) is sound</t>
  </si>
  <si>
    <t xml:space="preserve">Primary: Insurance Operations (Trivandrum: underwriting, claims, billing, risk ops - largest site) and Technology (Hyderabad tech hub Oct 2025); Secondary: Finance (finance &amp; risk operations in Trivandrum); Internal Audit: none public. Correction: Trivandrum is business services, Hyderabad is the tech hub.</t>
  </si>
  <si>
    <t xml:space="preserve">high</t>
  </si>
  <si>
    <t xml:space="preserve">10</t>
  </si>
  <si>
    <t xml:space="preserve">(Feb 2025) Marking 30 years in India, AXA GBS (4,000+ staff across Bengaluru, Pune, UK, Morocco; 35+ AXA entities in 14 countries) said it is moving to a high-value, output-based model built on technology, automation and AI; CEO Michele Rochefort flagged growth in technology, data, AI, automation and consulting.</t>
  </si>
  <si>
    <t xml:space="preserve">https://www.business-standard.com/content/press-releases-ani/axa-global-business-services-embarks-on-a-new-era-of-transformation-as-it-celebrates-30-years-in-india-125021300860_1.html</t>
  </si>
  <si>
    <t xml:space="preserve">Confirmed by cxotoday/apacnewsnetwork/axagbs.com (Feb 2025): technology services (application development &amp; maintenance, data analytics, AI, industrial automation) plus BPS; intelligent automation and digitalisation programme</t>
  </si>
  <si>
    <t xml:space="preserve">(Feb 2025) AXA GBS says it is deliberately cannibalising its traditional BPS model through a programme of intelligent automation and digitalisation, building technology services (application development &amp; maintenance, data analytics, AI, industrial automation) for 35+ AXA entities.</t>
  </si>
  <si>
    <t xml:space="preserve">https://cxotoday.com/press-release/axa-global-business-services-embarks-on-a-new-era-of-transformation-as-it-celebrates-30-years-in-india/</t>
  </si>
  <si>
    <t xml:space="preserve">Tracxn job-listing evidence is weak and was not re-surfaced; replaced the source with the Feb 2025 release language on technology/data/AI services and the automation programme, which is company-attested. Cloud data-engineering hiring detail dropped as unverified.</t>
  </si>
  <si>
    <t xml:space="preserve">(Oct 2024) AXA opened a 160,000 sq ft, four-floor facility in Kharadi, Pune to expand the GBS centre for service delivery and innovation.</t>
  </si>
  <si>
    <t xml:space="preserve">https://www.prnewswire.com/in/news-releases/axa-unveils-state-of-the-art-office-space-in-pune-expands-its-global-business-services-center-302271407.html</t>
  </si>
  <si>
    <t xml:space="preserve">Pune Kharadi facility confirmed (axagbs.com press release; cxotoday media coverage): 160,000+ sq ft, 4 floors, for the 4,000-strong India team, positioning AXA GBS as end-to-end managed services provider. Month (Oct 2024) not stated in extract.</t>
  </si>
  <si>
    <t xml:space="preserve">(FY2025) AXA Global Business Services Private Limited revenue in the INR 500-1,000 crore band for FY ending Mar 2025 (1-yr revenue CAGR 23%, EBITDA CAGR 34%); corporate-function operations (incl. finance) are a stated CoE domain but no finance-specific news found.</t>
  </si>
  <si>
    <t xml:space="preserve">https://tracxn.com/d/legal-entities/india/axa-global-business-services-private-limited/__YU7KMI_cCEU4d_R8dX_1H3gmvZ32z1HhrCxNpWhXrV0</t>
  </si>
  <si>
    <t xml:space="preserve">(Feb 2025) AXA GBS's Centres of Excellence deliver insurance operations and corporate-function operations alongside tech/data for 35+ AXA entities; the 30-year release frames the shift from BPS to output-based services.</t>
  </si>
  <si>
    <t xml:space="preserve">https://www.tribuneindia.com/news/business/axa-global-business-services-embarks-on-a-new-era-of-transformation-as-it-celebrates-30-years-in-india/</t>
  </si>
  <si>
    <t xml:space="preserve">Release content confirmed via cxotoday/apacnewsnetwork: traditional business process services (incl. language support) alongside tech services for 35+ AXA entities in 14 countries; exact CoE phrase not re-surfaced but tribuneindia carries the same ANI release</t>
  </si>
  <si>
    <t xml:space="preserve">No publicly verified internal audit/SOX information found (searched: 'AXA GBS India finance actuarial claims internal audit SOX 2025 2026'; 'AXA Global Business Services GenAI data engineering finance shared services audit').</t>
  </si>
  <si>
    <t xml:space="preserve">Business Standard/ANI release dated 13 Feb 2025; PR Newswire 302375701. Good</t>
  </si>
  <si>
    <t xml:space="preserve">Feb 2025 30-year release confirmed on axagbs.com, cxotoday and apacnewsnetwork (Feb 2025); 4,000+ staff across Bangalore, Pune, UK, Morocco; 35+ AXA entities in 14 countries</t>
  </si>
  <si>
    <t xml:space="preserve">PR Newswire 302271407 (c. Oct 2024): 160,000 sq ft across four floors in Kharadi, Pune - at the edge of the window</t>
  </si>
  <si>
    <t xml:space="preserve">axagbs.com press release confirms 160,000+ sq ft across 4 floors in Kharadi, Pune for the 4,000-strong India team; exact month not in extract (researcher's c. Oct 2024 relies on the PR Newswire ID)</t>
  </si>
  <si>
    <t xml:space="preserve">CEO Michele Rochefort quoted on technology, data, AI, automation, consulting focus (Tribune/BS Feb 2025)</t>
  </si>
  <si>
    <t xml:space="preserve">CEO is Michele Rochefort (team note misspells "Michelle"); leads ~3,600 staff across India and Morocco per SSON speaker bio; release cites technology, data, AI, automation and consulting growth</t>
  </si>
  <si>
    <t xml:space="preserve">Group governance item, not India GCC</t>
  </si>
  <si>
    <t xml:space="preserve">Not searched within budget; logic (group governance) is sound</t>
  </si>
  <si>
    <t xml:space="preserve">Consistent with Feb 2025 release but no ET GCC URL surfaced; attach source</t>
  </si>
  <si>
    <t xml:space="preserve">Not searched within budget</t>
  </si>
  <si>
    <t xml:space="preserve">Primary: Technology (AI, data engineering, automation; Pune 160k sq ft expansion; output-based model); Secondary: Insurance Operations (insurance ops CoEs for 35+ AXA entities); Finance: limited (corporate-function ops, financials only); Internal Audit: none public. Also: Top Employer India 2026.</t>
  </si>
  <si>
    <t xml:space="preserve">11</t>
  </si>
  <si>
    <t xml:space="preserve">(May 2025) Bupa Capability Centre Private Limited was incorporated in Gurugram (CIN U70200HR2025FTC131860, registered office 12th Floor, Good Earth Trade Tower, Sector 62) as Bupa's India GCC.</t>
  </si>
  <si>
    <t xml:space="preserve">https://www.instafinancials.com/company/bupa-capability-centre-private-limited-U70200HR2025FTC131860</t>
  </si>
  <si>
    <t xml:space="preserve">Two audit searches (entity name + CIN) did not surface instafinancials or any MCA mirror; incorporation date and CIN not independently reproduced. Sector 62 Gurugram office is confirmed by careers.bupa.co.uk. Source quality downgraded from 'regulator' to 'trade (MCA data mirror)'; keep but verify CIN on MCA before publishing.</t>
  </si>
  <si>
    <t xml:space="preserve">(2025-26) BCC India is positioned as a technology/digital hub: it brings together engineering, product, data and operations teams for the UK, India and APAC, building digital health solutions using AI, machine learning and cloud computing.</t>
  </si>
  <si>
    <t xml:space="preserve">https://careers.bupa.co.uk/bupa-capability-centre-india</t>
  </si>
  <si>
    <t xml:space="preserve">careers.bupa.co.uk extract confirms engineering/product/data/operations teams across UK, India and APAC and focus areas Digital, Engineering, Product, Data and Analytics, Operations.</t>
  </si>
  <si>
    <t xml:space="preserve">(2025-26) Bupa says the Gurugram GCC was established to create a world-class experience for customers and employees, re-engineering processes with automation and AI, and is actively hiring senior engineering roles (e.g. Engineering Manager, Gurugram).</t>
  </si>
  <si>
    <t xml:space="preserve">https://careers.bupa.co.uk/bupa-capability-centre</t>
  </si>
  <si>
    <t xml:space="preserve">Page confirmed; audit extract shows 'established to help create a world-class experience for customers and employees' but the automation/AI quote was not visible in the audit extract (kept on researcher's quote). Hiring evidence: talentmate listing of a Bupa Engineering Manager role in Gurugram.</t>
  </si>
  <si>
    <t xml:space="preserve">(2025-26) BCC India is hiring finance roles for group accounting: a Finance Specialist 2 posting in Gurugram covers month-, quarter- and year-end close under IFRS/local GAAP and preparation of Group reporting packages (P&amp;L, balance sheet, cash flow, management reports).</t>
  </si>
  <si>
    <t xml:space="preserve">https://careers.bupa.co.uk/search-jobs/bupa-capability-centre-india/gurugram/finance-specialist-2/R1225113</t>
  </si>
  <si>
    <t xml:space="preserve">added_by_auditor</t>
  </si>
  <si>
    <t xml:space="preserve">Found in audit search; contradicts researcher's none_found for P. Posting date not visible; dated 2025-26 (entity incorporated 2025).</t>
  </si>
  <si>
    <t xml:space="preserve">(2025-26) Beyond engineering, BCC India houses operations teams that support Bupa colleagues and customers across the UK, India and APAC (operations / global service delivery); no specific claims or customer-service programme has been publicly detailed.</t>
  </si>
  <si>
    <t xml:space="preserve">Extract confirms 'operations' as a named team/focus area; no insurance-specific detail.</t>
  </si>
  <si>
    <t xml:space="preserve">No publicly verified information found (auditor searched: Bupa Capability Centre India finance / internal audit / accounting roles Gurugram 2026 - no internal audit role surfaced).</t>
  </si>
  <si>
    <t xml:space="preserve">researcher bullet removed by audit</t>
  </si>
  <si>
    <t xml:space="preserve">(2025) Tech press reported that AI-talent shortages are pushing companies including Bupa to set up in India's tech hubs ...</t>
  </si>
  <si>
    <t xml:space="preserve">https://www.techspot.com/news/108762-ai-hiring-woes-pushing-companies-like-mcdonald-bupa.html</t>
  </si>
  <si>
    <t xml:space="preserve">rejected</t>
  </si>
  <si>
    <t xml:space="preserve">Generic third-party commentary not specific to BCC India; did not surface in audit searches; adds no verifiable entity-level fact.</t>
  </si>
  <si>
    <t xml:space="preserve">Primary: Technology (digital engineering, product, data, AI/ML, cloud; new 2025 Gurugram entity). Secondary: Finance - emerging (group accounting close / Group reporting roles being hired) and Insurance Operations (operations teams, undetailed). Internal Audit: none public.</t>
  </si>
  <si>
    <t xml:space="preserve">12</t>
  </si>
  <si>
    <t xml:space="preserve">Cigna Health Solutions India - GCC</t>
  </si>
  <si>
    <t xml:space="preserve">(Nov 2024) Evernorth opened its Hyderabad GCC (Evernorth Health Services India), its first and largest innovation hub outside the US, with floors focused on emerging-technology roles such as data analytics, AI, cybersecurity and DevOps; headcount was ~700 with a target of 1,000 by April 2025.</t>
  </si>
  <si>
    <t xml:space="preserve">https://www.projectstoday.com/News/Evernorth-Health-Services-expands-presence-in-Hyderabad-GCC-inaugurated</t>
  </si>
  <si>
    <t xml:space="preserve">Inauguration (Sridhar Babu + Cigna CIO Noelle Eder), 1,000+ target, two floors live with third by Jan 2025 and fourth by Apr 2025 confirmed via digitalhealthnews.com; the ~700 current headcount figure was not visible in audit extracts.</t>
  </si>
  <si>
    <t xml:space="preserve">(2025) The Hyderabad hub continues to recruit AI/ML and engineering talent (e.g. Machine Learning Analyst and Software Engineering Lead Analyst postings for 'HIH - Evernorth'), alongside software engineering, data analytics and US-healthcare expertise.</t>
  </si>
  <si>
    <t xml:space="preserve">https://builtin.com/job/machine-learning-analyst-hih-evernorth/6849277</t>
  </si>
  <si>
    <t xml:space="preserve">Audit search surfaced further HIH AI/ML postings (builtin.com 'Infrastructure Engineering Advisor - AI ML Engineer - HIH').</t>
  </si>
  <si>
    <t xml:space="preserve">(2024-25) Evernorth's HR leadership describes the Hyderabad GCC as a workforce-of-the-future site, recruiting for software engineering, data analytics and US healthcare systems and partnering with local educational institutions.</t>
  </si>
  <si>
    <t xml:space="preserve">https://www.hrkatha.com/features/how-evernorth-is-building-a-workforce-for-the-future-at-its-hyderabad-gcc/</t>
  </si>
  <si>
    <t xml:space="preserve">Only the hrkatha.com/tag/evernorth page surfaced; article extract not reproduced within budget.</t>
  </si>
  <si>
    <t xml:space="preserve">(2025-26) The Hyderabad Innovation Hub hosts finance roles: postings include 'HIH - Financial Analysis Lead Analyst' (modelling, trending and forecasting; Tableau), 'Business Finance Lead Analyst - Finance Data Ops' and 'HIH - Accounting Advisor', indicating a finance/FP&amp;A and accounting footprint at the GCC.</t>
  </si>
  <si>
    <t xml:space="preserve">https://www.talentmate.com/jobs/india/greater-hyderabad-area/hih-financial-analysis-lead-analyst/2607-2340-174</t>
  </si>
  <si>
    <t xml:space="preserve">Found in audit search; contradicts researcher's none_found for P and supports team's col E (Financial Analysis / Accounting / Reporting). Corroborated by builtinhyderabad.in 'Business Finance Lead Analyst - Finance Data Ops' and quintedge listing. Posting dates not visible.</t>
  </si>
  <si>
    <t xml:space="preserve">(Nov 2024) The Hyderabad GCC supports Evernorth's pharmacy benefits management (PBM), care and benefits operations in addition to technology; it was inaugurated by Telangana IT Minister Sridhar Babu on 19 Nov 2024.</t>
  </si>
  <si>
    <t xml:space="preserve">https://www.digitalhealthnews.com/cigna-s-evernorth-launches-first-global-innovation-hub-in-hyderabad</t>
  </si>
  <si>
    <t xml:space="preserve">digitalhealthnews.com extract confirms inauguration by Sridhar Babu and 1,000+ target; PBM/care/benefits support is from Evernorth's business description ('creates pharmacy, care and benefit solutions').</t>
  </si>
  <si>
    <t xml:space="preserve">(Jul 2026) Prashanti Bodugum, Head of Evernorth Health Services India, spoke at GCCX Hyderabad 2026 on leadership and transformation of the GCC (weak source: LinkedIn post).</t>
  </si>
  <si>
    <t xml:space="preserve">https://www.linkedin.com/in/ashwani-agarwal-0214976/</t>
  </si>
  <si>
    <t xml:space="preserve">Not re-verified within budget. URL is a personal LinkedIn profile, not a durable article; source_quality downgraded. Recommend replacing with an event/press URL or dropping; it is a leadership/event item rather than an insurance-operations trend.</t>
  </si>
  <si>
    <t xml:space="preserve">No publicly verified information found (researcher searched: Evernorth India GCC 2026 news; Evernorth Hyderabad expansion finance operations; auditor's finance search surfaced no internal audit/SOX roles).</t>
  </si>
  <si>
    <t xml:space="preserve">Primary: Technology (AI/ML, data analytics, cybersecurity, DevOps hiring at Hyderabad hub). Secondary: Insurance Operations (PBM, care and benefits support) and Finance (financial analysis, finance data ops and accounting roles at the hub). Internal Audit: none public.</t>
  </si>
  <si>
    <t xml:space="preserve">13</t>
  </si>
  <si>
    <t xml:space="preserve">(Jun 2025) Dai-ichi Life Holdings and Capgemini signed a multi-year agreement to establish a GCC in India under a Build-Operate-Transfer model, covering advanced software development, infrastructure modernisation, AI &amp; data solutions and cybersecurity, initially serving Japan, the US and Australia.</t>
  </si>
  <si>
    <t xml:space="preserve">https://www.capgemini.com/news/press-releases/dai-ichi-life-group-and-capgemini-sign-multi-year-agreement-to-establish-a-global-capability-center-in-india-to-drive-international-digital-transformation/</t>
  </si>
  <si>
    <t xml:space="preserve">Capgemini press release dated 10 June 2025 confirmed (capgemini.com PDF and multiple regional mirrors).</t>
  </si>
  <si>
    <t xml:space="preserve">(2025) The GCC launched in Hyderabad in 2025 as Dai-ichi Life's first GCC outside Japan, operated initially by Capgemini under the BOT model; a trade blog (gccrise.com) reports a plan to scale from ~50-60 to ~600 technology employees by 2027 (single-source figure, not independently confirmed). Group CIO/CDO Stephen Barnham leads the digital agenda.</t>
  </si>
  <si>
    <t xml:space="preserve">https://gccrise.com/dai-ichi-life-to-expand-india-gcc-to-600-employees-partners-with-capgemini-to-bridge-cultures/</t>
  </si>
  <si>
    <t xml:space="preserve">Two audit searches did not reproduce the 600-by-2027 figure (gccrise.com did not surface). Hyderabad location and 2025 launch corroborated only by a staffing-firm blog (v3staffing.in). Barnham's role (Senior Managing Executive Officer, CIO &amp; CDO, Dai-ichi Life Holdings) confirmed. Date changed from Jul 2025 to 2025 and headcount flagged.</t>
  </si>
  <si>
    <t xml:space="preserve">(Jun 2025) Trade and business press characterise the centre as Dai-ichi Life's global tech hub to strengthen in-house digital capabilities and technology platforms.</t>
  </si>
  <si>
    <t xml:space="preserve">https://www.insurancebusinessmag.com/asia/news/technology/daiichi-life-sets-up-global-tech-hub-in-india-538626.aspx</t>
  </si>
  <si>
    <t xml:space="preserve">insurancebusinessmag.com 'Dai-ichi Life sets up global tech hub in India' surfaced with matching extract.</t>
  </si>
  <si>
    <t xml:space="preserve">No publicly verified information found (auditor searched: Dai-ichi Life global capability center India 2026 customer experience OR underwriting OR finance - only the Capgemini release returned).</t>
  </si>
  <si>
    <t xml:space="preserve">No publicly verified information found; team's col E claims (Customer Experience, Underwriting Support) not located by researcher or auditor; all sources describe an IT/digital-only mandate.</t>
  </si>
  <si>
    <t xml:space="preserve">No publicly verified information found (researcher and auditor searches).</t>
  </si>
  <si>
    <t xml:space="preserve">Primary: Technology (BOT GCC with Capgemini, Hyderabad; software, infra modernisation, AI/data, cybersecurity; ~600-person target by 2027 per single trade source). Insurance Operations: unverified. Finance: none public. Internal Audit: none public.</t>
  </si>
  <si>
    <t xml:space="preserve">14</t>
  </si>
  <si>
    <t xml:space="preserve">existing bullet: confirmed</t>
  </si>
  <si>
    <t xml:space="preserve">1. FM leased approximately 220,000 sq. ft. at Bhartiya Centre for Information Technology in Bengaluru and was reportedly exploring a similar-sized future commitment (Aug 2026).</t>
  </si>
  <si>
    <t xml:space="preserve">https://economictimes.indiatimes.com/industry/services/property-/-cstruction/fm-leases-220000-sq-ft-office-space-at-bhartiya-centre-in-bengaluru/articleshow/133145325.cms</t>
  </si>
  <si>
    <t xml:space="preserve">constrofacilitator.com (Aug 2026) and propnewstime.com both surfaced in audit with the 2.2 lakh sq ft / BCIT / similar-space-in-discussion facts.</t>
  </si>
  <si>
    <t xml:space="preserve">2. The Bengaluru Centre of Excellence was established to expand FM’s artificial intelligence, scientific research and data-driven risk-management capabilities (Jul 2025)</t>
  </si>
  <si>
    <t xml:space="preserve">https://www.fm.com/Newsroom/news/2025/fm-expands-footprint-in-india-with-new-innovative-centre-in-bengaluru</t>
  </si>
  <si>
    <t xml:space="preserve">fm.com 17 Jul 2025 release extract reproduced.</t>
  </si>
  <si>
    <t xml:space="preserve">(Jan 2026) FM described its recently opened Bengaluru global capability centre as a hub for research, analytics and engineering excellence when announcing its new Mumbai office.</t>
  </si>
  <si>
    <t xml:space="preserve">https://www.fm.com/newsroom/news/2026/fm-strengthens-india-commitment-with-opening-of-mumbai-office</t>
  </si>
  <si>
    <t xml:space="preserve">fm.com 19 Jan 2026 release surfaced with matching extract.</t>
  </si>
  <si>
    <t xml:space="preserve">(Aug 2026) FM signed a ~2.2 lakh sq ft lease at Bhartiya Centre for Information Technology, north Bengaluru, and is in discussions for a similar quantum of additional space for future expansion.</t>
  </si>
  <si>
    <t xml:space="preserve">https://constrofacilitator.com/fm-signs-2-2-lakh-sq-ft-office-lease-in-bengaluru/</t>
  </si>
  <si>
    <t xml:space="preserve">Article dated Wednesday 12 Aug 2026; corroborated by propnewstime.com.</t>
  </si>
  <si>
    <t xml:space="preserve">(Jul 2025) FM announced (17 Jul 2025) a Bengaluru centre of excellence - billed in trade press as its biggest innovation centre outside the US - to augment science and AI capabilities, with operations anticipated to commence October 2025; by Jan 2026 FM described it as 'recently opened'.</t>
  </si>
  <si>
    <t xml:space="preserve">https://www.fm.com/newsroom/news/2025/fm-expands-footprint-in-india-with-new-innovative-centre-in-bengaluru</t>
  </si>
  <si>
    <t xml:space="preserve">Moved from Q to O (the centre is a science/AI/engineering hub) and re-dated to the Jul 2025 announcement; the newsbytesapp.com URL did not surface in audit, replaced by fm.com release. 'Commenced operations around Oct 2025' is inferred from the Jan 2026 'recently opened' statement. Also covered by insurancebusinessmag 'FM bets big on Bengaluru for insurance innovation hub'.</t>
  </si>
  <si>
    <t xml:space="preserve">No publicly verified info available</t>
  </si>
  <si>
    <t xml:space="preserve">No finance-function news surfaced in three audit searches on FM India.</t>
  </si>
  <si>
    <t xml:space="preserve">none found (re-checked)</t>
  </si>
  <si>
    <t xml:space="preserve">No publicly verified information found (researcher + auditor: FM Bengaluru centre 2026; FM Bhartiya lease; FM Mumbai office; FM Bengaluru CoE AI).</t>
  </si>
  <si>
    <t xml:space="preserve">1. The Bengaluru centre was created to enhance client risk-engineering services and develop science-based solutions supporting risk mitigation and business resilience (Jul 2025)</t>
  </si>
  <si>
    <t xml:space="preserve">Reproduced in fm.com Jul 2025 extract.</t>
  </si>
  <si>
    <t xml:space="preserve">2. FM announced a Bengaluru Client Experience Centre for training and demonstrations of its research, risk-mitigation and loss-prevention capabilities (Jul 2025)</t>
  </si>
  <si>
    <t xml:space="preserve">(Jan 2026) FM opened a reinsurance sales office in Mumbai (FMIC Mumbai; ribbon-cutting 16 Jan, announced 19 Jan 2026), complementing the Bengaluru centre, to work with brokers, partners and clients in India's financial capital.</t>
  </si>
  <si>
    <t xml:space="preserve">URL changed from newsroom.fmglobal.com (did not surface) to the fm.com release that did; text adds 'reinsurance sales office' per extract.</t>
  </si>
  <si>
    <t xml:space="preserve">(Jan 2026) FM appointed Srini Krishnamurthy as Senior Vice President, FM India (Bengaluru-based, reporting to COO Randy Hodge) to execute FM India's multi-year vision, with plans to increase Indian headcount across a variety of roles.</t>
  </si>
  <si>
    <t xml:space="preserve">India leadership appointment found in the Jan 2026 release; placed in Q as it governs the India business/operations build-out (not a tech-specific role).</t>
  </si>
  <si>
    <t xml:space="preserve">Nothing surfaced in audit.</t>
  </si>
  <si>
    <t xml:space="preserve">No publicly verified information found (same).</t>
  </si>
  <si>
    <t xml:space="preserve">(Oct 2025) The Bengaluru centre of excellence, billed as FM's biggest innovation centre outside the US, commenced operations around October 2025 ...</t>
  </si>
  <si>
    <t xml:space="preserve">https://www.newsbytesapp.com/news/business/fm-global-to-open-innovation-center-in-bengaluru/tldr</t>
  </si>
  <si>
    <t xml:space="preserve">Replaced (not lost): re-dated, re-sourced to fm.com and moved to O as the third O bullet; newsbytesapp URL did not surface in audit.</t>
  </si>
  <si>
    <t xml:space="preserve">Primary: Technology (science/AI/analytics/engineering GCC announced Jul 2025, open by Jan 2026; 2.2 lakh sq ft lease Aug 2026). Secondary: Insurance Operations (client risk engineering, client experience centre, Mumbai reinsurance sales office and SVP FM India, Jan 2026). Finance: none public. Internal Audit: none public.</t>
  </si>
  <si>
    <t xml:space="preserve">15</t>
  </si>
  <si>
    <t xml:space="preserve">1. First American (India) appointed Gautam Mukherjee as Chief Technology Officer, India, to lead technology strategy, enterprise innovation and the GCC’s transformation agenda (Jul 2026)</t>
  </si>
  <si>
    <t xml:space="preserve">https://gcc.economictimes.indiatimes.com/news/people-culture/first-american-india-appoints-gautam-mukherjee-as-chief-technology-officer/132679022</t>
  </si>
  <si>
    <t xml:space="preserve">cxodigitalpulse.com and digitalterminal.in both surfaced; appointment, prior SVP Technology role and cloud/AI expertise confirmed. Month still not visible in extracts.</t>
  </si>
  <si>
    <t xml:space="preserve">(2026) Gautam Mukherjee, previously SVP Technology at First American India, was elevated to CTO India to lead technology vision, enterprise innovation, engineering/product and digital capabilities for the GCC; his background spans platform engineering, cloud and AI.</t>
  </si>
  <si>
    <t xml:space="preserve">https://www.cxodigitalpulse.com/first-american-india-appoints-gautam-mukherjee-as-chief-technology-officer/</t>
  </si>
  <si>
    <t xml:space="preserve">Extract reproduced; prior roles at Avalara and NextGen Healthcare also noted. Exact month not visible (team says Jul 2026).</t>
  </si>
  <si>
    <t xml:space="preserve">(2025-26) FAI positions itself as delivering software development, IT infrastructure and data &amp; analytics from Bengaluru, Hyderabad and Salem for First American's US, UK, Australia and Canada operations.</t>
  </si>
  <si>
    <t xml:space="preserve">https://in.linkedin.com/company/first-american-india-pvt-ltd</t>
  </si>
  <si>
    <t xml:space="preserve">Identical statement on greatplacetowork.in profile (campuses in Bangalore, Hyderabad and Salem; US, UK, Australia &amp; Canada).</t>
  </si>
  <si>
    <t xml:space="preserve">No publicly verified information found (researcher searched: First American India 2026 news; First American India GCC Bengaluru Hyderabad Salem AI). Auditor did not run a dedicated finance search (budget) - not_audited.</t>
  </si>
  <si>
    <t xml:space="preserve">1. First American (India) combines data and analytics capabilities with software, infrastructure and business operations supporting global title-insurance and mortgage processes.</t>
  </si>
  <si>
    <t xml:space="preserve">https://www.firstam.co.in/</t>
  </si>
  <si>
    <t xml:space="preserve">Same capability statement reproduced on greatplacetowork.in company profile.</t>
  </si>
  <si>
    <t xml:space="preserve">(2025-26) FAI delivers back-office and knowledge-processing operations (title/settlement support) alongside technology; its Great Place to Work profile lists 5,043 India-based employees (GPTW-certified since 2018), up from ~3,948 recorded by Tracxn for Feb 2024.</t>
  </si>
  <si>
    <t xml:space="preserve">https://www.greatplacetowork.in/great/company/first-american-india-pvt-ltd</t>
  </si>
  <si>
    <t xml:space="preserve">Tracxn URL did not surface in audit; replaced primary source with greatplacetowork.in (surfaced) and updated headcount to 5,043 (more recent than Tracxn's Feb 2024 figure). Tracxn revenue band (INR 500-1,000 Cr FY25) dropped as unverified.</t>
  </si>
  <si>
    <t xml:space="preserve">existing bullet: unsupported</t>
  </si>
  <si>
    <t xml:space="preserve">1. The India software-services function states that its enterprise implementations support standardisation, audit compliance and required controls across global operations.</t>
  </si>
  <si>
    <t xml:space="preserve">Not found in any search result. Even if the page says this, it describes software features, not an internal audit / SOX / ICFR function in India; recommend replacing with 'No publicly verified information found'.</t>
  </si>
  <si>
    <t xml:space="preserve">https://www.firstam.co.in/software-services/</t>
  </si>
  <si>
    <t xml:space="preserve">Nothing in audit extracts supports an internal audit/SOX function at FAI; agree the claim is a software-feature description and not an R item.</t>
  </si>
  <si>
    <t xml:space="preserve">Primary: Technology (CTO India appointment; software, infra, data &amp; analytics). Secondary: Insurance Operations (back-office/knowledge-processing for title insurance; ~5,000 staff). Finance: none public. Internal Audit: none public (existing bullet unsupported).</t>
  </si>
  <si>
    <t xml:space="preserve">16</t>
  </si>
  <si>
    <t xml:space="preserve">Automation remains a formal global capability delivered from GCoE India (2026)</t>
  </si>
  <si>
    <t xml:space="preserve">The ajg.com GCoE extract lists underwriting, brokerage, claims, market research, analytics, finance and accounting; 'automation' was not visible in any extract. The careers page mentions 'technology' and 'innovation' generally. Undated and generic; replace with the technology/analytics wording below.</t>
  </si>
  <si>
    <t xml:space="preserve">https://www.ajg.com/in/about-us/gallagher-center-of-excellence/</t>
  </si>
  <si>
    <t xml:space="preserve">Audit extract of ajg.com GCoE page again lists UW/brokerage/claims/market research/analytics/F&amp;A and 'fuse expert knowledge and technology'; no 'automation' capability stated.</t>
  </si>
  <si>
    <t xml:space="preserve">(2025-26) GCoE India teams across Bengaluru, Pune, Mumbai, Shimoga, Kolhapur, Chandigarh and Kochi support functions 'from operations and analytics to technology and back-office services', with GCoE globally exceeding 18,000 colleagues.</t>
  </si>
  <si>
    <t xml:space="preserve">https://ajg.jibeapply.com/gcoe-home</t>
  </si>
  <si>
    <t xml:space="preserve">jibeapply careers page did not surface in audit; ajg.com page (5 locations, 10,000 professionals) partially conflicts on location count/headcount - the two pages likely differ in vintage. Technology mention on ajg.com is only 'fuse expert knowledge and technology'. Keep with caveat; generic, undated.</t>
  </si>
  <si>
    <t xml:space="preserve">Finance &amp; Accounting remains a core service line within GCoE India (2026)</t>
  </si>
  <si>
    <t xml:space="preserve">Reproduced in audit extract.</t>
  </si>
  <si>
    <t xml:space="preserve">(2025-26) Finance and accounting remains one of GCoE's named service lines for Gallagher divisions globally, delivered from ~10,000 professionals in five India locations (Bengaluru, Kolhapur, Mumbai, Pune, Shimoga).</t>
  </si>
  <si>
    <t xml:space="preserve">Reproduced in audit extract. Static page, undated.</t>
  </si>
  <si>
    <t xml:space="preserve">1. GCoE continues supporting underwriting, brokerage and claims operations globally (2026)</t>
  </si>
  <si>
    <t xml:space="preserve">Reproduced in audit extract; GCoE formed 2006, 10,000 professionals, five locations.</t>
  </si>
  <si>
    <t xml:space="preserve">2. Ajit Horra appointed CEO of Gallagher India broking business (Jan 2025).</t>
  </si>
  <si>
    <t xml:space="preserve">Not surfaced in 3 searches; also relates to Gallagher Insurance Brokers India (broking entity), not the GCoE shared-services entity. Keep only if verified separately; asiainsurancepost is a credible trade source.</t>
  </si>
  <si>
    <t xml:space="preserve">https://asiainsurancepost.com/archives/61452</t>
  </si>
  <si>
    <t xml:space="preserve">No dedicated audit search within budget. Note: a reinasia.com headline 'Gallagher India expands senior leadership bench with four key appointments' surfaced (undated, broking entity) - may corroborate broking-side leadership changes; still not GCoE news.</t>
  </si>
  <si>
    <t xml:space="preserve">existing bullet: wrong_bucket</t>
  </si>
  <si>
    <t xml:space="preserve">3. Gallagher’s India leadership structure includes a dedicated Head of Reinsurance alongside aviation, strategy, finance, compliance and technology leadership roles (2026).</t>
  </si>
  <si>
    <t xml:space="preserve">Describes the Gallagher India broking/reinsurance leadership team, not the GCoE GCC; undated. If kept, mark as broking-entity context, not a GCC trend.</t>
  </si>
  <si>
    <t xml:space="preserve">https://www.ajg.com/in/about-us/executive-team/</t>
  </si>
  <si>
    <t xml:space="preserve">Agree: broking-entity leadership is not a GCoE focus-area trend; context only.</t>
  </si>
  <si>
    <t xml:space="preserve">(2025-26) GCoE India provides underwriting, brokerage and claims support plus market research and analytics to Gallagher's broking and risk-management divisions, having expanded from simple back-office/administrative work to knowledge-intensive and specialised services.</t>
  </si>
  <si>
    <t xml:space="preserve">Reproduced; added the 'expanded from back office to knowledge-intensive services' phrase from the extract. Legal entity confirmed as Gallagher Service Center LLP (greatplacetowork.in listing).</t>
  </si>
  <si>
    <t xml:space="preserve">(Sep 2025) Meenu Agrawal joined GCoE (Bengaluru) as Group Vice President - Talent Acquisition to drive global TA strategy and enterprise-wide hiring supporting Gallagher's growth and transformation (HR/leadership item; kept here as scaling context).</t>
  </si>
  <si>
    <t xml:space="preserve">https://hrtoday.in/meenu-agrawal-joins-gallagher-center-of-excellence-as-group-vice-president-talent-acquisition/</t>
  </si>
  <si>
    <t xml:space="preserve">Appointment confirmed by hrtoday.in and thepeoplesboard.com; month (Sep 2025) rests on researcher's extract. It is a talent-acquisition appointment, not an insurance-operations item - bucket is a judgement call; flagged as context.</t>
  </si>
  <si>
    <t xml:space="preserve">1. Gallagher identifies Enterprise Risk Management as a dedicated capability delivered through GCoE India (2026)</t>
  </si>
  <si>
    <t xml:space="preserve">ERM not visible in any search extract of the GCoE page; and ERM support is a risk/consulting service line, not internal audit/SOX/ICFR. Recommend 'No publicly verified information found'.</t>
  </si>
  <si>
    <t xml:space="preserve">ERM absent from audit extract of the GCoE page; bucket logic agreed.</t>
  </si>
  <si>
    <t xml:space="preserve">existing bullet: incorrect</t>
  </si>
  <si>
    <t xml:space="preserve">2. Gallagher India maintains a dedicated Chief Compliance Officer role as part of its leadership team (2026)</t>
  </si>
  <si>
    <t xml:space="preserve">A compliance officer role in the India broking entity's leadership (IRDAI requirement for brokers) is not evidence of an internal-audit/SOX function in the GCC. Not verified in search; recommend removal.</t>
  </si>
  <si>
    <t xml:space="preserve">Agree; nothing in audit supports an internal audit/SOX function at GCoE.</t>
  </si>
  <si>
    <t xml:space="preserve">Primary: Insurance Operations (underwriting, brokerage, claims, analytics support; ~10,000 India staff). Secondary: Finance (F&amp;A service line). Technology: generic (technology/analytics teams, no dated news). Internal Audit: none public; existing R bullets unsupported.</t>
  </si>
  <si>
    <t xml:space="preserve">17</t>
  </si>
  <si>
    <t xml:space="preserve">Signals growing convergence of actuarial science, analytics and technology within India operations.</t>
  </si>
  <si>
    <t xml:space="preserve">No URL; no search extract supports a technology/analytics convergence trend. Open roles found were Head of Business Acquisition &amp; Development and Associate Underwriter P&amp;C (insurance ops, not tech). Recommend 'No publicly verified information found'.</t>
  </si>
  <si>
    <t xml:space="preserve">Audit search on the India branch surfaced only UW/business roles and reinsurance product pages; no technology/analytics item.</t>
  </si>
  <si>
    <t xml:space="preserve">existing bullet: not individually reviewed</t>
  </si>
  <si>
    <t xml:space="preserve">(Specific job posts on official website and Naukri.com)</t>
  </si>
  <si>
    <t xml:space="preserve">Hannover Re India continues offering tailored financial solutions to help insurers meet capital and financial objectives (2025-26)</t>
  </si>
  <si>
    <t xml:space="preserve">'Tailor-made financial solutions' is a reinsurance product offering (financial/structured reinsurance for clients), not a finance function of the India entity. Move to Q. Replace in P with the Jan 2026 CFO appointment.</t>
  </si>
  <si>
    <t xml:space="preserve">https://www.hannover-re.com/en/local-offices/asia/india/life-and-health/</t>
  </si>
  <si>
    <t xml:space="preserve">hannover-re.com India page lists tailor-made financial solutions as a client service alongside know-your-portfolio; agree it is a product line (Q).</t>
  </si>
  <si>
    <t xml:space="preserve">(Jan 2026) Hannover Re appointed Prateek Maheshwari as Chief Financial Officer of its India Branch, responsible for the branch's financial operations and governance; he joined in 2017 as Finance Manager for the India Branch (earlier Financial Accountant at Hannover Life Re of Australasia) and is a Chartered Accountant with 20+ years in accounting, taxation and regulatory compliance.</t>
  </si>
  <si>
    <t xml:space="preserve">https://www.reinsurancene.ws/hannover-re-appoints-prateek-maheshwari-as-cfo-india-branch/</t>
  </si>
  <si>
    <t xml:space="preserve">Confirmed by reinsurancene.ws, reinasia.com and Asia Insurance Review (eDaily 29 Jan 2026). Added 'financial operations and governance' responsibility from extract.</t>
  </si>
  <si>
    <t xml:space="preserve">(Jan 2026) Regional trade press (ReinAsia, Asia Insurance Review) also covered the CFO appointment, noting Maheshwari's accounting, taxation and regulatory-compliance background, implying an India finance/regulatory-reporting function at the branch.</t>
  </si>
  <si>
    <t xml:space="preserve">https://reinasia.com/hannover-re-appoints-prateek-maheshwari-as-cfo-for-india-branch/</t>
  </si>
  <si>
    <t xml:space="preserve">The insuranceasianews.com article URL did not surface in audit (only its Hannover Re company page); URL swapped to reinasia.com article which did, with Asia Insurance Review (29 Jan 2026) as corroboration.</t>
  </si>
  <si>
    <t xml:space="preserve">Hannover Re India continues expanding innovative Life &amp; Health reinsurance product offerings for Indian insurers (2025-26) such as critical illness and disability products.</t>
  </si>
  <si>
    <t xml:space="preserve">https://www.hannover-re.com/en/local-offices/asia/india/life-and-health/#product-design</t>
  </si>
  <si>
    <t xml:space="preserve">Reproduced in audit extract; still static/undated.</t>
  </si>
  <si>
    <t xml:space="preserve">(Mar 2026) At its 2025 results (Mar 2026) Hannover Re reported that abundant capacity drove an average risk-adjusted price decline of 3.2% at the 1 Jan 2026 renewals; trade coverage describes India's renewal as one of the most competitive in years, with loss-free XoL reductions of over 20% amplified by strong domestic reinsurer capacity.</t>
  </si>
  <si>
    <t xml:space="preserve">https://www.captive.com/news/asia-india-reinsurance-renewals-show-continued-softening</t>
  </si>
  <si>
    <t xml:space="preserve">The researcher's India sentence attributed to Hannover Re's own 2025-results release ('reinsurance market in India was notable for abundant capacity and rate reductions in 2026') was not reproduced in two audit searches and the hannover-re.com 2026 results URL did not surface. Re-based on verified facts: Hannover Re 1 Jan 2026 renewals (-3.2% risk-adjusted, abundant capacity; insurance-edge.net 12 Mar 2026 / insurancebusinessmag) plus India-specific softening from captive.com. Hannover Re's own India-position claim dropped.</t>
  </si>
  <si>
    <t xml:space="preserve">(2025-26) The Mumbai branch (IRDAI R3 licence Dec 2016, operational since 1 Feb 2017) writes P&amp;C including agricultural risks and life &amp; health reinsurance with a team of 30+ experts, offers 'know-your-portfolio' and tailor-made financial-solutions reinsurance, and is hiring P&amp;C underwriters and a Head of Business Acquisition &amp; Development.</t>
  </si>
  <si>
    <t xml:space="preserve">https://jobs.hannover-re.com/job/Mumbai-Associate-Underwriter-P&amp;C-Base-MH-400-099/1165499555</t>
  </si>
  <si>
    <t xml:space="preserve">Job posting surfaced; branch facts (R3 approval Dec 2016, operations 1 Feb 2017, P&amp;C incl. agricultural and L&amp;H) reproduced from hannover-re.com India pages. '30+ experts' and the Head of Business Acquisition role rest on researcher's extracts.</t>
  </si>
  <si>
    <t xml:space="preserve">(2025-26) Hannover Re India page: branch offers innovative products and solutions in both P&amp;C and L&amp;H reinsurance, know-your-portfolio services and tailor-made financial solutions for Indian clients.</t>
  </si>
  <si>
    <t xml:space="preserve">Primary: Insurance Operations (P&amp;C incl. agriculture and L&amp;H reinsurance underwriting, KYP/financial-solutions products; soft 2026 India renewals). Secondary: Finance (India Branch CFO appointed Jan 2026, financial operations and governance). Technology: none public. Internal Audit: none public.</t>
  </si>
  <si>
    <t xml:space="preserve">18</t>
  </si>
  <si>
    <t xml:space="preserve">1. In June 2025, Markel partnered with Insurate, an insurtech firm, to leverage artificial intelligence in enhancing underwriting and risk management for workers' compensation in the middle market.</t>
  </si>
  <si>
    <t xml:space="preserve">AUDIT: verdict changed from 'unsupported' to 'confirmed'. Markel.com press release (5 Jun 2025) and Reinsurance News confirm the Insurate collaboration. It is a US Markel Insurance middle-market workers' comp item with no India link; keep only if tagged group-level/US.</t>
  </si>
  <si>
    <t xml:space="preserve">Markel partners with Insurate for AI-driven workers’ com By Investing.com</t>
  </si>
  <si>
    <t xml:space="preserve">2. Mar' 26 - Markel International, a division of Markel Insurance, the insurance operations within Markel Group Inc. (NYSE:MKL), today announced the appointment of Maureen Tomlinson to Head of AI, alongside the launch of their AI Centre of Enablement. This strategic hire marks a significant mileston</t>
  </si>
  <si>
    <t xml:space="preserve">https://www.prnewswire.com/news-releases/markel-international-launches-ai-centre-of-enablement-with-appointment-of-head-of-ai-302711437.html</t>
  </si>
  <si>
    <t xml:space="preserve">markel.com and PR Newswire (12 Mar 2026) confirm; Tomlinson is SVP Operations Canada, CoE sits in International Portfolio Analytics (group-level).</t>
  </si>
  <si>
    <t xml:space="preserve">(Mar 2026) Markel International launched an AI Centre of Enablement and named Maureen Tomlinson Head of AI, its first formalised AI function, sitting within International Portfolio Analytics; group-level (Toronto), not an India team.</t>
  </si>
  <si>
    <t xml:space="preserve">https://www.markel.com/international/news-and-insights/markel-international-launches-ai-centre-of-enablement-with-appointment-of-head-of-ai</t>
  </si>
  <si>
    <t xml:space="preserve">Supported by markel.com and multiple syndications; group-level caveat correct.</t>
  </si>
  <si>
    <t xml:space="preserve">(Jun 2025) Markel Insurance (US) announced a collaboration with insurtech Insurate to enter middle-market workers' compensation using AI-driven safety scoring; group/US-level item with no India-entity involvement.</t>
  </si>
  <si>
    <t xml:space="preserve">https://www.markel.com/about-us/news-and-press/markel-announces-collaboration-with-insurate-to-advance-middle-market-workers-compensation-through-ai-and-innovative-safety-scoring-122847</t>
  </si>
  <si>
    <t xml:space="preserve">Restores the team's Insurate bullet with a verified source and a group-level caveat.</t>
  </si>
  <si>
    <t xml:space="preserve">No material publicly disclosed Finance Transformation info is available</t>
  </si>
  <si>
    <t xml:space="preserve">No India finance item surfaced in three Markel searches.</t>
  </si>
  <si>
    <t xml:space="preserve">1. Ravi Jain was appointed Business Development and Distribution Lead for India (Mar'26)</t>
  </si>
  <si>
    <t xml:space="preserve">https://www.reinsurancene.ws/markel-international-adds-jain-as-indias-business-development-distribution-lead/</t>
  </si>
  <si>
    <t xml:space="preserve">Now directly sourced: markel.com release and reinsurancene.ws/reinasia confirm appointment effective 4 Mar 2026, Mumbai-based, reporting to Deepika Mathur.</t>
  </si>
  <si>
    <t xml:space="preserve">2. Shubhi Nigam became Markel’s first dedicated Warranty &amp; Indemnity underwriter in India (Mar 2026).</t>
  </si>
  <si>
    <t xml:space="preserve">https://www.markel.com/international/news-and-insights/markel-launches-asia-pacific-warranty-and-indemnity-capability-in-hong-kong-and-india</t>
  </si>
  <si>
    <t xml:space="preserve">markel.com APAC W&amp;I release; Asia Insurance Review eDaily dated 26 Mar 2026 supports the Mar 2026 date.</t>
  </si>
  <si>
    <t xml:space="preserve">3. Sarika Sagar Gadekar was appointed as a Mumbai-based Marine Claims Adjuster (Jul 2026)</t>
  </si>
  <si>
    <t xml:space="preserve">https://www.markel.com/international/news-and-insights/markel-invests-in-local-claims-talent-with-dedicated-india-hire</t>
  </si>
  <si>
    <t xml:space="preserve">Insurance Business Asia and reinasia confirm the hire; month still not visible in extracts (date unverified, 2026).</t>
  </si>
  <si>
    <t xml:space="preserve">(2026) Markel completed a sequential build of locally based staff across all three core commercial functions in India: a distribution/business development lead, a dedicated W&amp;I underwriter and a Mumbai marine claims adjuster (Sarika Sagar Gadekar) overseeing transport, logistics, cargo and specie claims.</t>
  </si>
  <si>
    <t xml:space="preserve">https://www.insurancebusinessmag.com/asia/news/marine/markel-adds-local-marine-claims-expertise-in-india-582194.aspx</t>
  </si>
  <si>
    <t xml:space="preserve">IB Asia article surfaced; claims remit matches. Year-only date acceptable (month not in extract).</t>
  </si>
  <si>
    <t xml:space="preserve">(Mar 2026) Markel appointed Shubhi Nigam (Mumbai) as its first dedicated Warranty &amp; Indemnity underwriter for India, moving from selective engagement to a dedicated, scalable local W&amp;I proposition.</t>
  </si>
  <si>
    <t xml:space="preserve">markel.com release surfaced; reports to Priyesh Pradhan (Senior Underwriter PFR &amp; Cyber).</t>
  </si>
  <si>
    <t xml:space="preserve">(Apr 2024, background) Priyanka Gautama (ex-HDFC ERGO) was appointed Chief Underwriting Officer for India, reporting to MD Deepika Mathur, with a mandate to build a new casualty portfolio; still the current underwriting set-up.</t>
  </si>
  <si>
    <t xml:space="preserve">https://www.markel.com/about-us/news-and-press/markel-announces-priyanka-gautama-as-chief-underwriting-officer-for-india</t>
  </si>
  <si>
    <t xml:space="preserve">Budget exhausted; Gautama release not independently surfaced (only Deepika Mathur as India MD surfaced).</t>
  </si>
  <si>
    <t xml:space="preserve">(Mar 2026) Markel appointed Ravi Jain (ex-HDFC ERGO, IndusInd General) as Business Development and Distribution Lead - India, Mumbai-based, reporting to MD Deepika Mathur, to expand broker distribution across India.</t>
  </si>
  <si>
    <t xml:space="preserve">https://www.markel.com/international/news-and-insights/markel-appoints-ravi-jain-business-development-distribution-lead-india</t>
  </si>
  <si>
    <t xml:space="preserve">Based in Mumbai, Jain will partner closely with brokers ... reports to Deepika Mathur, Managing Director - Markel India</t>
  </si>
  <si>
    <t xml:space="preserve">No internal audit/SOX item surfaced for Markel India.</t>
  </si>
  <si>
    <t xml:space="preserve">Primary: Insurance Operations (Mumbai build-out 2024-26: CUO, distribution lead, first W&amp;I underwriter, marine claims adjuster). Secondary: Technology at group level only (AI Centre of Enablement Mar 2026; Insurate AI partnership Jun 2025, US). Finance: none public. Internal Audit: none public.</t>
  </si>
  <si>
    <t xml:space="preserve">19</t>
  </si>
  <si>
    <t xml:space="preserve">1. MMGS highlighted AI, cybersecurity, engineering and digital fluency as critical future capabilities (Sep 2026)</t>
  </si>
  <si>
    <t xml:space="preserve">The ET GCC 'Built to scale' article did not surface in three searches; URL format is plausible but claim could not be verified.</t>
  </si>
  <si>
    <t xml:space="preserve">https://gcc.economictimes.indiatimes.com/news/talent-strategy/built-to-scale-marsh-india-on-building-talent-for-impact/134386318</t>
  </si>
  <si>
    <t xml:space="preserve">Independent search for the ET GCC 'Built to scale' article also failed; only a SSON speaker listing for Pushparanjan Malajure (Senior Director, Technology &amp; Operations, MMGS, Apr 2026) surfaced. Verdict 'unsupported' stands.</t>
  </si>
  <si>
    <t xml:space="preserve">(Apr 2026) On the Q1 2026 earnings call Marsh McLennan said it is investing in AI across growth, productivity and efficiency pillars (Ada, Sentrisk, Euclid, GC QuoteBox), citing document ingestion efficiency gains of ~20%; group-level programme the India GCC's technology/data teams support.</t>
  </si>
  <si>
    <t xml:space="preserve">https://www.marketbeat.com/earnings/reports/2026-4-16-marsh-mclennan-companies-inc-stock/</t>
  </si>
  <si>
    <t xml:space="preserve">Budget exhausted. Caution: marketbeat.com is a low-quality earnings transcript aggregator and the India-GCC link is the researcher's inference; recommend re-sourcing from an MMC newsroom/transcript before use.</t>
  </si>
  <si>
    <t xml:space="preserve">(2026) MMGS positions the India GCC as supporting Business and Client Services across the enterprise through operations, technology, consulting &amp; advisory and corporate services, with roughly 11,000 colleagues across Mumbai, Pune, Gurugram, Bengaluru and Chennai.</t>
  </si>
  <si>
    <t xml:space="preserve">https://careers.marshmclennan.com/global/en/india</t>
  </si>
  <si>
    <t xml:space="preserve">careers.marshmclennan.com/global/en/india surfaced with the quoted text. Note: a general capability statement (ops/tech/advisory/corporate services), not a technology-specific news item.</t>
  </si>
  <si>
    <t xml:space="preserve">Existing Finance, Operations and Knowledge Services capabilities are likely to receive further investment basis existing model</t>
  </si>
  <si>
    <t xml:space="preserve">Speculative statement, no source, no date; replace with sourced bullet or 'none found'.</t>
  </si>
  <si>
    <t xml:space="preserve">Unsourced, speculative; agree.</t>
  </si>
  <si>
    <t xml:space="preserve">1. Marsh highlighted increasing ownership of end-to-end business outcomes and specialized capabilities within GCCs (Sep 2026)</t>
  </si>
  <si>
    <t xml:space="preserve">Same unverified ET GCC article.</t>
  </si>
  <si>
    <t xml:space="preserve">Same unverified ET GCC article; agree.</t>
  </si>
  <si>
    <t xml:space="preserve">2. Andrea Bono was appointed CEO, India, Middle East and Africa, effective January 2026 (Nov 2025 announcement). Supports continued expansion of integrated risk, insurance, consulting and analytics capabilities across the region.</t>
  </si>
  <si>
    <t xml:space="preserve">https://economictimes.indiatimes.com/news/company/corporate-trends/marsh-mclennan-appoints-andrea-bono-as-ceo-india-middle-east-and-africa/articleshow/125052621.cms</t>
  </si>
  <si>
    <t xml:space="preserve">People Matters / IB Asia / Asia Insurance Review (4 Nov 2025) confirm; Dubai-based, reports to Flavio Piccolomini. Indirect relevance to MMGS.</t>
  </si>
  <si>
    <t xml:space="preserve">(2025-26) Leadership transition at the India GCC: Dinesh Deo, CEO of the Marsh McLennan India GCC 2018-2025, stepped down; Andrea Bono became CEO India, Middle East &amp; Africa (commercial business) effective Jan 2026. General leadership item, not bucket-specific.</t>
  </si>
  <si>
    <t xml:space="preserve">https://www.peoplematters.in/news/appointments/marsh-mclennan-appoints-andrea-bono-as-ceo-of-india-middle-east-and-africa-47072</t>
  </si>
  <si>
    <t xml:space="preserve">Bono appointment confirmed; Deo tenure (CEO India GCC 2018-2025) surfaced via gcc.icai.org speaker listing. Not an insurance-operations item; keep tagged as general leadership.</t>
  </si>
  <si>
    <t xml:space="preserve">MMGS publicly identifies Legal &amp; Compliance as a core capability in India (Jan 2024).</t>
  </si>
  <si>
    <t xml:space="preserve">Legal &amp; Compliance is not Internal Audit/SOX, and Jan 2024 is outside the window. Replace with the SOX/financial-controls evidence below.</t>
  </si>
  <si>
    <t xml:space="preserve">https://economictimes.indiatimes.com/news/india/growing-global-focus-on-digitisation-and-innovation-will-further-drive-interest-in-india-dinesh-deo-marsh-mclennan-global-services-india/articleshow/107009850.cms</t>
  </si>
  <si>
    <t xml:space="preserve">Agree with bucket logic: Legal &amp; Compliance is not IA/SOX.</t>
  </si>
  <si>
    <t xml:space="preserve">(2025-26, job posting, date unverified) A Marsh McLennan Director, Financial Controls &amp; Governance (New York) posting states the SOX programme is run with Financial Controls teams in New York, Urbandale and Ireland plus an OUTSOURCED SOX compliance team/vendor in India, i.e. India SOX testing is vendor-delivered, not an in-house MMGS internal audit team.</t>
  </si>
  <si>
    <t xml:space="preserve">https://scoutify.com/companies/marsh-mclennan/jobs/1102984/</t>
  </si>
  <si>
    <t xml:space="preserve">Scoutify posting (and jobs.fwa.org mirror) surfaced, but the extract says the India SOX team is OUTSOURCED to a vendor ('partnering with Marsh's outsourced SOX compliance vendor'). It is not evidence of an MMGS in-house internal audit/SOX team. Text amended; source is a NY-based job post of unverified date.</t>
  </si>
  <si>
    <t xml:space="preserve">(2025-26, job posting, date unverified) Marsh McLennan has advertised a 'Manager - Risk Control Testing - Pension Domain' role in Gurgaon, indicating some controls-testing capacity in the India GCC (Mercer pension domain); weak, title-only evidence.</t>
  </si>
  <si>
    <t xml:space="preserve">https://apna.co/job/gurgaon/manager-risk-control-testing-pension-domain-1244513274</t>
  </si>
  <si>
    <t xml:space="preserve">Title-only extract from a job aggregator; treat as weak.</t>
  </si>
  <si>
    <t xml:space="preserve">Primary: Technology (group AI programme; ~11,000-person GCC spanning tech/ops/advisory, per careers site). Insurance Operations: leadership change only (Bono IMEA CEO Jan 2026; Deo exit). Internal Audit: weak/indirect (India SOX testing outsourced to a vendor; one risk-control-testing job post). Finance: live functions but no verified 2024-26 news.</t>
  </si>
  <si>
    <t xml:space="preserve">20</t>
  </si>
  <si>
    <t xml:space="preserve">existing bullet: outdated</t>
  </si>
  <si>
    <t xml:space="preserve">The Hyderabad GCC is a major contributor to software development, QA, cloud, data science, and therefore a key execution arm for this AI‑driven SDLC.</t>
  </si>
  <si>
    <t xml:space="preserve">Cited ToI article is Dec 2023 (outside window) and does not mention an 'AI-driven SDLC'; that clause is team inference. Replace with 2025-26 hiring evidence.</t>
  </si>
  <si>
    <t xml:space="preserve">https://timesofindia.indiatimes.com/business/india-business/massmutual-gcc-in-hyderabad-grows-to-1700-in-3-years/articleshow/106141332.cms</t>
  </si>
  <si>
    <t xml:space="preserve">No 'AI-driven SDLC' language surfaced; the underlying capability list (full-stack, DevOps, QA, security &amp; cloud engineering, data science) is confirmed by the builtin company profile but undated.</t>
  </si>
  <si>
    <t xml:space="preserve">(2026) MassMutual India is hiring AI engineering roles in Hyderabad (e.g. CorpTech Senior Python AI Developer), consistent with its stated digital-enablement positioning.</t>
  </si>
  <si>
    <t xml:space="preserve">https://builtin.com/job/corptech-im-sr-python-ai-developer/6470821</t>
  </si>
  <si>
    <t xml:space="preserve">Job search did not surface the 'Sr. Python AI Developer' posting (a 'Senior Analyst - Data' Hyderabad posting did). Could not confirm within budget.</t>
  </si>
  <si>
    <t xml:space="preserve">(date unverified; likely 2021-22, not 2025-26) Telangana Today reported a plan to increase Hyderabad headcount and set up more domain-specific centres of excellence; the only dated expansion news found is the earlier plan to double the GCC from ~450 to 1,000 staff. Treat as background until dated.</t>
  </si>
  <si>
    <t xml:space="preserve">https://telanganatoday.com/tag/global-capability-center-gcc</t>
  </si>
  <si>
    <t xml:space="preserve">Telangana Today tag page carries the headline, but the article date is not visible and the only dated headcount news surfaced is the ~2021 'double headcount from 450 to 1,000' story (People Matters id 29180, hrkatha). High risk this is a 2021-22 item, not 2025-26. Text amended to flag; do not present as current news without a dated source.</t>
  </si>
  <si>
    <t xml:space="preserve">1. MassMutual India expanded beyond technology into Wealth Management Operations and business-support functions.</t>
  </si>
  <si>
    <t xml:space="preserve">Wealth management operations is an operations item, not finance.</t>
  </si>
  <si>
    <t xml:space="preserve">Agree: Wealth Management Operations is an operations function -&gt; Q.</t>
  </si>
  <si>
    <t xml:space="preserve">2. Global Procurement was identified among the business functions scaled within MassMutual India.</t>
  </si>
  <si>
    <t xml:space="preserve">builtin company profile lists Global Procurement among grown teams.</t>
  </si>
  <si>
    <t xml:space="preserve">(2025-26, job postings) Finance-adjacent hiring in the Hyderabad GCC includes Private Equity Fund Accounting &amp; Operations (Assistant Manager and Team Member) roles, and the company profile lists Global Procurement among scaled teams, indicating investment-accounting and procurement functions continue to operate from India.</t>
  </si>
  <si>
    <t xml:space="preserve">https://builtin.com/job/private-equity-fund-accounting-operations-assistant-manager/7869950</t>
  </si>
  <si>
    <t xml:space="preserve">'UK Real Estate Fund Accountant' posting did not surface; builtin.com shows 'Private Equity Fund Accounting &amp; Operations - Assistant Manager' and '- Team Member' roles for MassMutual India. URL and text amended. Dates of postings not visible; keep '(2025-26)'.</t>
  </si>
  <si>
    <t xml:space="preserve">1. MassMutual India expanded into Insurance Operations alongside technology delivery.</t>
  </si>
  <si>
    <t xml:space="preserve">Dec 2023 source; still broadly true (2026 insurance-ops job posts) but needs a newer citation.</t>
  </si>
  <si>
    <t xml:space="preserve">Insurance Operations appears in the (undated) company profile; still needs a dated citation.</t>
  </si>
  <si>
    <t xml:space="preserve">2. MassMutual India added Digital Operations as part of its operating model evolution.</t>
  </si>
  <si>
    <t xml:space="preserve">AUDIT: verdict changed from 'unsupported' to 'confirmed' (undated company profile). The MassMutual India company profile on builtin explicitly lists 'Digital Operations' and 'Partner Services' among grown teams. No 2024-26 dated source, so tag as background.</t>
  </si>
  <si>
    <t xml:space="preserve">3. The Hyderabad GCC expanded from technology into operations, procurement, wealth, legal and compliance functions.</t>
  </si>
  <si>
    <t xml:space="preserve">Corroborated by company profile but dated Dec 2023.</t>
  </si>
  <si>
    <t xml:space="preserve">Corroborated by company profile; dated source is Dec 2023. Agree 'outdated'.</t>
  </si>
  <si>
    <t xml:space="preserve">(2025-26, job postings) Insurance/wealth operations hiring in Hyderabad spans Pension Risk Transfer operations (Senior Analyst and Analyst roles, 2025), New Business Underwriting senior analyst operations, and wealth-management operations analysts processing paperwork and resolving customer issues.</t>
  </si>
  <si>
    <t xml:space="preserve">https://builtin.com/job/senior-analyst-operations-pension-risk-transfer/7013935</t>
  </si>
  <si>
    <t xml:space="preserve">builtin.com/job/7013935 surfaced but the posting was REMOVED on 5 Sep 2025 (and an Operations Analyst PRT posting was removed Apr 2025), so the date is 2025, not 2026. Additional live 2025-26 operations roles surfaced: Senior Analyst - Operations (wealth-management paperwork), New Business Underwriting Senior Analyst Operations, Analyst Operations. Text/date amended.</t>
  </si>
  <si>
    <t xml:space="preserve">1. MassMutual India added Legal, Risk and Compliance support functions as part of its capability expansion.</t>
  </si>
  <si>
    <t xml:space="preserve">Legal/Risk/Compliance is not Internal Audit or SOX/ICFR; no India internal-audit evidence found. At most keep a compliance-hiring note flagged as compliance, not IA.</t>
  </si>
  <si>
    <t xml:space="preserve">Agree: Legal/Risk/Compliance is not IA/SOX.</t>
  </si>
  <si>
    <t xml:space="preserve">(Apr 2026) Compliance hiring (Compliance | GCC | 4-6 yrs | Hyderabad, Michael Page ref JN-042026) shows a risk &amp; compliance team in the GCC; no internal audit / SOX testing team evidenced.</t>
  </si>
  <si>
    <t xml:space="preserve">https://www.michaelpage.co.in/job-detail/compliance-gcc-4-6-yrs-hyderabad/ref/jn-042026-6997546</t>
  </si>
  <si>
    <t xml:space="preserve">Budget exhausted; Michael Page compliance post not independently checked. Correctly flagged as compliance, not IA.</t>
  </si>
  <si>
    <t xml:space="preserve">Primary: Technology (full-stack, cloud, data science capability; AI hiring unconfirmed). Secondary: Insurance Operations (PRT, new-business underwriting, wealth ops roles 2025-26). Finance: procurement and PE fund-accounting roles, moderate. Internal Audit: none; compliance only. Dated 2024-26 newsroom items are absent; evidence is job-board/profile based.</t>
  </si>
  <si>
    <t xml:space="preserve">21</t>
  </si>
  <si>
    <t xml:space="preserve">1. MetLife launched technology hubs in Hyderabad and Pune (May 2025)</t>
  </si>
  <si>
    <t xml:space="preserve">https://www.thehansindia.com/business/metlife-opens-new-gccs-in-hyd-pune-971831</t>
  </si>
  <si>
    <t xml:space="preserve">Hans India and YourStory URLs did not surface. Hyderabad hub is corroborated by multiple Hyderabad job posts (actuarial, FP&amp;A, process excellence), but a Mar 2026 SSF Global item says MGCC 'operates from Noida, Jaipur, Hyderabad, and soon Pune', implying Pune was not yet live as of Mar 2026. Verdict kept 'confirmed' for Hyderabad; Pune launch and the 'May 2025' date are unverified.</t>
  </si>
  <si>
    <t xml:space="preserve">2. MGCC is deploying AI-powered solutions to simplify the insurance claims lifecycle.</t>
  </si>
  <si>
    <t xml:space="preserve">metlifecareers page not surfaced; claim unverified.</t>
  </si>
  <si>
    <t xml:space="preserve">https://www.metlifecareers.com/en_US/ml/in</t>
  </si>
  <si>
    <t xml:space="preserve">metlifecareers AI-claims page did not surface in audit search either.</t>
  </si>
  <si>
    <t xml:space="preserve">3. Basis hiring actgivity Pune is building cloud-data engineering capability</t>
  </si>
  <si>
    <t xml:space="preserve">Inference from unspecified job posts; no URL.</t>
  </si>
  <si>
    <t xml:space="preserve">No URL; agree.</t>
  </si>
  <si>
    <t xml:space="preserve">(Mar 2026) MetLife expanded its India GCC by leasing ~75,000 sq ft (Tower 3, Oxygen Business Park, Sector 144 Noida; Rs 41.84 lakh/month, 5-year term) on top of ~291,000 sq ft already occupied in Tower 2, to scale technology development, analytics, digital transformation, finance and business operations (general expansion spanning O/P/Q).</t>
  </si>
  <si>
    <t xml:space="preserve">https://ssfglobal.in/?p=40139</t>
  </si>
  <si>
    <t xml:space="preserve">Lease confirmed by SSF Global and dwello (announced 12 Mar 2026; Tower 3 floors 12-13; Rs 41.84 lakh/month; 5-year term). Per FOCUS_BRIEF a lease is Technology only if it is a tech centre; this one houses technology, analytics, finance and business operations, so it is general expansion. Kept in O with cross-reference to P/Q; text amended to add context.</t>
  </si>
  <si>
    <t xml:space="preserve">(2026) MGCC (est. 2007) operates from Noida, Jaipur and Hyderabad with a Pune technology hub announced/upcoming as of Mar 2026; the Hyderabad hub added integrated technology, data and actuarial capabilities alongside operations and shared services (services span operations, finance, technology, data and AI).</t>
  </si>
  <si>
    <t xml:space="preserve">https://yourstory.com/2026/04/tdelivery-hubs-decisions-centres-indias-gccs-reshape-global-enterprisehe-ys</t>
  </si>
  <si>
    <t xml:space="preserve">YourStory article did not surface in two searches. The only dated independent description (SSF Global, Mar 2026) lists Noida, Jaipur, Hyderabad 'and soon Pune'. Text amended to reflect that Pune is announced/upcoming; retain YourStory URL as the researcher's source but treat the four-live-centre claim as unverified.</t>
  </si>
  <si>
    <t xml:space="preserve">Regular hiring for Finance and supply-chain technology capability expanding including P2P, R2R, AR etc, which Signals active investment in finance-platform modernization and enterprise process integration.</t>
  </si>
  <si>
    <t xml:space="preserve">No URL; partially corroborated by MetLife India job posts for FP&amp;A and revenue/billing/expense reporting, but P2P/R2R/AR specifics unverified.</t>
  </si>
  <si>
    <t xml:space="preserve">Senior Manager FP&amp;A posting confirms finance consolidation/reporting for India Technology Centers and US GBS; P2P/R2R/AR specifics still unverified.</t>
  </si>
  <si>
    <t xml:space="preserve">(2025-26) Finance roles are being hired in the India GCC (Senior Manager FP&amp;A, Hyderabad) and teams handle revenue management, billing consolidation, expense management and monthly variance reporting.</t>
  </si>
  <si>
    <t xml:space="preserve">https://builtinhyderabad.in/job/senior-manager-fp/4491047</t>
  </si>
  <si>
    <t xml:space="preserve">builtinhyderabad.in/job/senior-manager-fp/4491047 surfaced; role supports India Technology Centers, US GBS departments and corporate submissions, reporting to the GOSC FP&amp;A head.</t>
  </si>
  <si>
    <t xml:space="preserve">MetLife's India operations expanded with new Hyderabad and Pune hubs that will support advanced analytics and customer-experience enhancement initiatives.</t>
  </si>
  <si>
    <t xml:space="preserve">This is the same technology-hub item; it belongs in Technology, not Insurance Operations.</t>
  </si>
  <si>
    <t xml:space="preserve">Agree -&gt; O (same technology-hub item).</t>
  </si>
  <si>
    <t xml:space="preserve">(2025-26, job postings) Actuarial and operations roles posted in Hyderabad/Noida include Actuarial Services EMEA (senior analysts building models and experience studies for EMEA reporting), a Senior Actuarial Manager - Asia Valuation, and process-excellence/operations managers, indicating continued actuarial and operations support from India.</t>
  </si>
  <si>
    <t xml:space="preserve">https://builtinhyderabad.in/job/actuarial-services-emea/4238923</t>
  </si>
  <si>
    <t xml:space="preserve">Actuarial Services EMEA postings surfaced (several Hyderabad IDs) plus a GG12 Senior Actuarial Manager - Asia Valuation role; text amended to add valuation/modelling scope.</t>
  </si>
  <si>
    <t xml:space="preserve">Not publicly verified but some hiring description includes, information security, risk mitigation and technology governance capabilities</t>
  </si>
  <si>
    <t xml:space="preserve">InfoSec/tech governance is Technology, not Internal Audit; no IA/SOX evidence found.</t>
  </si>
  <si>
    <t xml:space="preserve">Agree; InfoSec/governance is Technology, no IA/SOX evidence.</t>
  </si>
  <si>
    <t xml:space="preserve">Primary: Technology (Hyderabad tech hub, Pune hub announced, data &amp; AI; Noida expansion Mar 2026 is multi-function). Secondary: Finance (FP&amp;A, consolidation/reporting roles) and Insurance Operations (actuarial EMEA/Asia valuation, operations roles). Internal Audit: none public. (CHRO appointment claim unverified; removed.)</t>
  </si>
  <si>
    <t xml:space="preserve">22</t>
  </si>
  <si>
    <t xml:space="preserve">Swiss Re expanded its Hyderabad center to strengthen digital, data and technology capabilities (2025)</t>
  </si>
  <si>
    <t xml:space="preserve">beinsure URL exists, but the Hyderabad innovation-hub expansion it describes was announced May 2022 (swissre.com PR); the 2025 date is wrong.</t>
  </si>
  <si>
    <t xml:space="preserve">https://beinsure.com/news/swiss-re-global-business-solutions-india-expands-innovation-hub/</t>
  </si>
  <si>
    <t xml:space="preserve">swissre.com PR dated 10 May 2022 (centre launched Sep 2022) confirms the beinsure item is 2022 news; 'outdated' correct.</t>
  </si>
  <si>
    <t xml:space="preserve">(2026) Swiss Re's Global Business Solutions division operates groupwide capability hubs in India (Bangalore and Hyderabad) and Slovakia, with Hyderabad positioned as the analytical/innovation hub for digital, data and technology.</t>
  </si>
  <si>
    <t xml:space="preserve">https://www.swissre.com/profile/Amit_Kalra/ip_f2cb75</t>
  </si>
  <si>
    <t xml:space="preserve">swissre.com Kalra profile URL surfaced. Note the profile belongs to a departing executive (left Jun 2026) and may be taken down; the Bangalore/Hyderabad hub description is also on the 2022 PR.</t>
  </si>
  <si>
    <t xml:space="preserve">Nothing surfaced.</t>
  </si>
  <si>
    <t xml:space="preserve">Swiss Re India evolved from a shared-services operation into a fully integrated business center supporting global reinsurance operations (2025).
The India GCC now spans underwriting, actuarial, operations, business functions and innovation activities (2025).</t>
  </si>
  <si>
    <t xml:space="preserve">ET GCC podcast URL did not surface; claim unverified though consistent with swissre.com description of GBS as groupwide capability hubs.</t>
  </si>
  <si>
    <t xml:space="preserve">https://gcc.economictimes.indiatimes.com/podcast/podcast/the-gcc-show/ai-talent-ownership-inside-swiss-res-india-playbook/125403479</t>
  </si>
  <si>
    <t xml:space="preserve">ET GCC podcast did not surface in audit search. A businessofgcc.com profile describes actuarial/cat-modelling depth but mislocates GBS India in 'Gurugram', so it is unreliable.</t>
  </si>
  <si>
    <t xml:space="preserve">(Apr 2026) Amit Kalra, Head of Global Business Solutions (incl. the India GCC) after 19+ years at Swiss Re, leaves to head Zurich Capability Centres from 1 Jul 2026; no Swiss Re GBS India successor surfaced. General leadership item.</t>
  </si>
  <si>
    <t xml:space="preserve">https://reinasia.com/zurich-taps-amit-kalra-to-lead-new-global-capability-centre-in-india/</t>
  </si>
  <si>
    <t xml:space="preserve">reinasia and reinsurancene.ws confirm: head of Zurich Capability Centres from 1 Jul 2026, after 19+ years at Swiss Re, most recently head of Global Business Solutions.</t>
  </si>
  <si>
    <t xml:space="preserve">Finance-control automation and internal-control design activities are embedded within risk-governance functions and Swiss Re continues strengthening digital-risk governance, controls monitoring and audit coordination capabilities.</t>
  </si>
  <si>
    <t xml:space="preserve">No source; inferred from unnamed job roles. Remove or mark 'none found'.</t>
  </si>
  <si>
    <t xml:space="preserve">No source; agree.</t>
  </si>
  <si>
    <t xml:space="preserve">Several Job roles of official pages have requirment of resources with given experiances in risk and control framework</t>
  </si>
  <si>
    <t xml:space="preserve">Primary: Technology (Bangalore/Hyderabad data, digital and tech hubs; team's 2025 items are mostly 2022-23 news re-dated). Secondary: Insurance Operations (re/insurance ops support; 2026 leadership exit of Amit Kalra). Finance: none. Internal Audit: none. 2025-26 verifiable news is thin.</t>
  </si>
  <si>
    <t xml:space="preserve">23</t>
  </si>
  <si>
    <t xml:space="preserve">The Standard established India GCC operations to accelerate technology transformation and innovation (Nov 2025).</t>
  </si>
  <si>
    <t xml:space="preserve">People Matters (id 51594, Aug 2026) confirms.</t>
  </si>
  <si>
    <t xml:space="preserve">The Standard identified AI, data, analytics and software engineering as core growth capabilities for India (Aug 2026)</t>
  </si>
  <si>
    <t xml:space="preserve">https://www.thehindubusinessline.com/info-tech/the-standard-expands-india-gcc-targets-nearly-400-employees-by-year-end/article71370099.ece</t>
  </si>
  <si>
    <t xml:space="preserve">(Apr 2026) The Standard inaugurated its permanent Bengaluru GCC at Embassy Tech Village on 21 Apr 2026, focused on AI engineering, cloud platform development, data &amp; analytics and digital transformation, and on moving select technology work from vendors to in-house engineering teams.</t>
  </si>
  <si>
    <t xml:space="preserve">https://www.thepeoplesboard.com/?p=17616</t>
  </si>
  <si>
    <t xml:space="preserve">thepeoplesboard, ssfglobal and hrkatha confirm inauguration at Embassy Tech Village on 21 Apr 2026 by Karnataka IT-BT Minister Priyank Kharge; Pune centre came with the Allstate acquisition.</t>
  </si>
  <si>
    <t xml:space="preserve">(Aug 2026) The Standard plans to nearly double its India GCC to ~400 employees by end-2026 (from ~175), strengthening AI, data and analytics, software engineering, customer experience and business transformation capabilities.</t>
  </si>
  <si>
    <t xml:space="preserve">https://www.peoplematters.in/news/business/the-standard-grows-india-gcc-to-400-positioning-bengaluru-at-the-centre-of-its-innovation-strategy-51594</t>
  </si>
  <si>
    <t xml:space="preserve">People Matters id 51594 surfaced with the ~400 by end-2026 figure.</t>
  </si>
  <si>
    <t xml:space="preserve">(2026, after the Apr 2026 Bengaluru launch) The Standard India appointed new HR, talent acquisition and technology heads to strengthen its local leadership team (month not visible in extract; between Apr and Aug 2026).</t>
  </si>
  <si>
    <t xml:space="preserve">https://www.peoplematters.in/news/leadership/the-standard-india-appoints-new-hr-talent-acquisition-and-technology-heads-51147</t>
  </si>
  <si>
    <t xml:space="preserve">Headline-level evidence only (People Matters id 51147; cxotoday mirror); names of appointees not in extract.</t>
  </si>
  <si>
    <t xml:space="preserve">Mohua Sengupta was given responsibility for financial, regulatory and compliance oversight across India operations (Nov 2025). Which indicates Finance governance is embedded into India leadership from inception.</t>
  </si>
  <si>
    <t xml:space="preserve">https://gcc.economictimes.indiatimes.com/news/the-standard-expands-global-footprint-with-new-office-and-mohua-sengupta-as-country-head-in-india/125379556</t>
  </si>
  <si>
    <t xml:space="preserve">People Matters: Sengupta responsible for Bengaluru and Pune sites 'including financial, compliance, and regulatory matters'. Country-head remit caveat correct.</t>
  </si>
  <si>
    <t xml:space="preserve">(Aug 2026) Local leadership is being built out across finance, HR, talent acquisition, IT, administration and communications; Country Head Mohua Sengupta oversees financial, compliance and regulatory matters for the Bengaluru and Pune sites.</t>
  </si>
  <si>
    <t xml:space="preserve">Quoted sentence surfaced verbatim (thepeoplesboard/People Matters).</t>
  </si>
  <si>
    <t xml:space="preserve">1. The Standard entered India following its acquisition of Allstate’s Employer Voluntary Benefits business (Apr 2025).</t>
  </si>
  <si>
    <t xml:space="preserve">People Matters/hrkatha: ~175 employees inherited via the Allstate Employer Voluntary Benefits acquisition.</t>
  </si>
  <si>
    <t xml:space="preserve">Provides immediate domain capability in workplace benefits and insurance operations.</t>
  </si>
  <si>
    <t xml:space="preserve">https://timesofindia.indiatimes.com/business/india-business/us-insurer-the-standard-expands-india-footprint-with-new-capability-center/articleshow/125431239.cms</t>
  </si>
  <si>
    <t xml:space="preserve">2. Leadership stated that the GCC is being built as a business transformation and customer-experience center rather than a traditional offshore delivery unit (Aug 2026)</t>
  </si>
  <si>
    <t xml:space="preserve">Customer experience and business transformation named as capability areas; 'rather than offshore' is paraphrase.</t>
  </si>
  <si>
    <t xml:space="preserve">(Nov 2025) The GCC (Bengaluru and Pune) supports insurance operations alongside technology, staffed initially by 175 former Allstate India employees inherited with the Employer Voluntary Benefits acquisition (1 Apr 2025).</t>
  </si>
  <si>
    <t xml:space="preserve">https://yourstory.com/enterprise-story/2025/11/us-financial-services-firm-the-standard-opens-new-gcc-in-india</t>
  </si>
  <si>
    <t xml:space="preserve">YourStory (Nov 2025) URL surfaced; insurance operations named among capability areas; Allstate deal closed 1 Apr 2025 (date per researcher, not contradicted).</t>
  </si>
  <si>
    <t xml:space="preserve">Primary: Technology (AI engineering, cloud, data; in-housing vendor tech work; ~400 staff by end-2026). Secondary: Insurance Operations (voluntary-benefits operations inherited from Allstate India). Finance: local finance leadership only. Internal Audit: none public.</t>
  </si>
  <si>
    <t xml:space="preserve">24</t>
  </si>
  <si>
    <t xml:space="preserve">1. India is becoming a key global delivery hub for AI-enabled and technology-led transformation</t>
  </si>
  <si>
    <t xml:space="preserve">The 27 Apr 2026 M&amp;G press release did not surface in searches; wording is generic. Replace with the company's own M&amp;G India description.</t>
  </si>
  <si>
    <t xml:space="preserve">https://group.mandg.com/news-and-insights/press-releases/2026/27-04-2026</t>
  </si>
  <si>
    <t xml:space="preserve">Audit search for an Apr 2026 M&amp;G press release on India also returned nothing; 'unsupported' stands.</t>
  </si>
  <si>
    <t xml:space="preserve">2. AI-enabled tools, automation and scalable enterprise solutions are becoming central to the India mandate.</t>
  </si>
  <si>
    <t xml:space="preserve">publicnow mirror not surfaced; claim consistent with M&amp;G India self-description but unverified.</t>
  </si>
  <si>
    <t xml:space="preserve">https://www.publicnow.com/view/5CFE145CA5940CC91ACA913478AD5A8C34F9790F</t>
  </si>
  <si>
    <t xml:space="preserve">publicnow mirror not surfaced; wording matches the generic M&amp;G India boilerplate ('leveraging technology, AI, automation, and process excellence').</t>
  </si>
  <si>
    <t xml:space="preserve">(2026) M&amp;G India (Mumbai and Pune, est. 2003) is described as M&amp;G's strategic innovation and digital hub, leveraging technology, AI, automation and process excellence to drive transformation across the group.</t>
  </si>
  <si>
    <t xml:space="preserve">https://www.efinancialcareers.com/jobs-India-Mumbai-Senior_Manager_Income_Accounting.id24535075</t>
  </si>
  <si>
    <t xml:space="preserve">'About M&amp;G India' boilerplate surfaced on efinancialcareers postings (and the Mumbai/Pune, est. 2003 detail). Source is company text carried on a job board; quality relabelled.</t>
  </si>
  <si>
    <t xml:space="preserve">M&amp;G plc Full Year 2025 Results</t>
  </si>
  <si>
    <t xml:space="preserve">Group results announcement is not a finance-function item for the India entity. Replace with India finance-hiring evidence.</t>
  </si>
  <si>
    <t xml:space="preserve">https://group.mandg.com/news-and-insights/press-releases/2026/12-03-2026</t>
  </si>
  <si>
    <t xml:space="preserve">Agree: group results are not an India finance-function item.</t>
  </si>
  <si>
    <t xml:space="preserve">(2026) Active finance hiring in Mumbai across Income Accounting (Manager/Senior Manager/VP: trading income, fee and performance-fee accounting, client invoicing), AVP Revenue &amp; Expense Accountant and AVP Financial Performance roles, indicating an expanding finance/accounting delivery team at M&amp;G Global Services.</t>
  </si>
  <si>
    <t xml:space="preserve">Finance roles confirmed: Manager - Income Accounting (posted ~Oct 2026 per 'posted 4 days ago'), AVP Revenue &amp; Expense Accountant (controllerscouncil/mocpa career centres), VP Income Accounting (resumegeni mirror). The 'March 2026' dating could not be verified; date widened to 2026.</t>
  </si>
  <si>
    <t xml:space="preserve">1: India is supporting enterprise-scale operational transformation</t>
  </si>
  <si>
    <t xml:space="preserve">Press release not surfaced; vague.</t>
  </si>
  <si>
    <t xml:space="preserve">Not surfaced; agree.</t>
  </si>
  <si>
    <t xml:space="preserve">2: India’s expanded role aligns with a broader group transformation agenda</t>
  </si>
  <si>
    <t xml:space="preserve">Press release not surfaced; vague and not insurance-operations specific.</t>
  </si>
  <si>
    <t xml:space="preserve">https://group.mandg.com/news-and-insights/press-releases/2025/10-12-2025</t>
  </si>
  <si>
    <t xml:space="preserve">(2026) Actuarial roles (Manager Actuarial; Actuarial Data Scientist and Actuarial Technician Managers, AMVC) are posted for Mumbai; M&amp;G Global Services describes its offerings as spanning Digital Services (AI, RPA, analytics), Finance, Actuarial, Quants, Research, Customer Service, Risk &amp; Compliance and Audit.</t>
  </si>
  <si>
    <t xml:space="preserve">https://www.efinancialcareers.com/jobs-India-Mumbai-Manager_Actuarial.id24464288</t>
  </si>
  <si>
    <t xml:space="preserve">Actuarial roles confirmed (Manager Actuarial id24464288; Actuarial Data Scientist - Manager AMVC id24487466; Actuarial Technician Manager AMVC), and the service-offerings list surfaced. The original URL (a builtinbengaluru internal-audit posting) was a poor fit for an actuarial claim; replaced with the efinancialcareers actuarial posting.</t>
  </si>
  <si>
    <t xml:space="preserve">1: Internal audit’s group mandate is moving toward broader risk-based assurance, insight and foresight</t>
  </si>
  <si>
    <t xml:space="preserve">Group IA charter, not an India item. Replace with evidence of IA roles in Mumbai (below).</t>
  </si>
  <si>
    <t xml:space="preserve">https://group.mandg.com/~/media/Files/M/mandg-corp/corp/documents/about-us/governance/mgp-internal-audit-charter.pdf</t>
  </si>
  <si>
    <t xml:space="preserve">Agree with bucket logic (group IA charter).</t>
  </si>
  <si>
    <t xml:space="preserve">(2026) M&amp;G is hiring internal audit roles in Mumbai (Manager - Internal Audit - Senior Auditor; Senior Manager - IA Operations Auditor / QA Practices), with IA described as an independent assurance function covering internal control, risk and governance frameworks.</t>
  </si>
  <si>
    <t xml:space="preserve">https://www.efinancialcareers.com/jobs-India-Mumbai-Senior_Manager_-_IA_Operations_Auditor_Ops__QA_Practices_Community.id24592434</t>
  </si>
  <si>
    <t xml:space="preserve">efinancialcareers 'Senior Manager - IA Operations Auditor (Ops &amp; QA Practices Community)' Mumbai posting surfaced, and 'Audit' is listed among M&amp;G Global Services' offerings; the quoted sentence itself was not visible in the audit extract but the posting title/location support the claim.</t>
  </si>
  <si>
    <t xml:space="preserve">Primary: Finance (sustained Mumbai income/revenue-accounting hiring 2026) and Technology (self-described innovation and digital hub: AI, RPA, analytics). Secondary: Insurance Operations (actuarial AMVC, customer service). Internal Audit: present (IA auditor roles hired in Mumbai 2026). No dated newsroom items verified; evidence is job-board based.</t>
  </si>
  <si>
    <t xml:space="preserve">25</t>
  </si>
  <si>
    <t xml:space="preserve">1: India is moving from technology delivery to global engineering leadership and enterprise transformation</t>
  </si>
  <si>
    <t xml:space="preserve">https://gcc.economictimes.indiatimes.com/news/people-culture/chubb-leverages-indias-engineering-talent-for-global-technology-advancement/132459953</t>
  </si>
  <si>
    <t xml:space="preserve">about.chubb.com extract retrieved independently: 'CECI is the largest engineering center in Chubb's global network ... teams based in technology hubs across Hyderabad, Bengaluru, and Bhubaneswar'.</t>
  </si>
  <si>
    <t xml:space="preserve">2. Chubb is building an AI-first, insurance-domain-led talent and engineering model in India</t>
  </si>
  <si>
    <t xml:space="preserve">ET GCC URL (131012546) not retrievable via search. Direction is only corroborated by a trade profile (businessofgcc.com). Keep but downgrade source to trade or re-verify ET link.</t>
  </si>
  <si>
    <t xml:space="preserve">https://gcc.economictimes.indiatimes.com/news/talent-strategy/chubb-india-revolutionizes-engineering-with-ai-first-approach/131012546</t>
  </si>
  <si>
    <t xml:space="preserve">Budget did not allow a dedicated search for the ET GCC article; verdict logic (trade-only corroboration) is reasonable.</t>
  </si>
  <si>
    <t xml:space="preserve">(Jul 2026) Chubb signed an MoU with Guidance Tamil Nadu on 30 July 2026 to set up its first Chennai GCC (~220 high-skilled jobs) for advanced analytics, engineering and global business capabilities, alongside Hyderabad and Bengaluru; signed by Rohin Govindarajan, Global Head of Chubb Engineering Centers.</t>
  </si>
  <si>
    <t xml:space="preserve">https://ssfglobal.in/industry_action/chubb-launches-first-chennai-gcc-to-expand-global-analytics-and-engineering-capabilities/</t>
  </si>
  <si>
    <t xml:space="preserve">Independently confirmed: ssfglobal.in, dtnext.in and tribuneindia.com (tier-1 regional press) all report the 30 Jul 2026 MoU and ~220 jobs. Signatory name not re-quoted in extracts.</t>
  </si>
  <si>
    <t xml:space="preserve">(Jul 2026) Same Chennai GCC/MoU reported by HR Katha and DT Next (investment announced before Tamil Nadu CM; part of four global firms creating 2,900+ jobs).</t>
  </si>
  <si>
    <t xml:space="preserve">https://www.hrkatha.com/news/chubb-and-nordex-to-drive-job-creation-with-chennai-gcc-and-rd-expansion/</t>
  </si>
  <si>
    <t xml:space="preserve">Substance verified (dtnext.in 'Global firms line up investments in TN; to generate over 2,900 jobs'; tribuneindia.com). Suggest citing https://www.dtnext.in/news/business/global-firms-line-up-investments-in-tn-to-generate-over-2900-jobs or https://www.tribuneindia.com/news/business/global-giants-chubb-nordex-to-establish-maiden-chennai-centres-as-tamil-nadu-expands-industrial-base/ as the stronger press URL; hrkatha URL did not surface in audit search.</t>
  </si>
  <si>
    <t xml:space="preserve">(2026) Chubb Engineering Center India (CECI) is described by Chubb as the largest engineering centre in its global network, with teams in Hyderabad, Bengaluru and Bhubaneswar.</t>
  </si>
  <si>
    <t xml:space="preserve">https://about.chubb.com/careers/engineering-centers/india-engineering-center.html</t>
  </si>
  <si>
    <t xml:space="preserve">about.chubb.com extract confirms wording and the three cities; page lists application development, data engineering, infrastructure, digital architecture and cybersecurity roles. Undated page - '(2026)' acceptable as 'current'.</t>
  </si>
  <si>
    <t xml:space="preserve">(2026) Trade profile: Chubb India targets ~3,000 employees by 2027 with growth in AI, underwriting technology and digital platforms; AI underwriting tools and ML claims-analytics platforms being built in India (weaker source).</t>
  </si>
  <si>
    <t xml:space="preserve">https://www.businessofgcc.com/gcc-data/companies/chubb-india</t>
  </si>
  <si>
    <t xml:space="preserve">No budget for a dedicated search; businessofgcc.com is a trade aggregator - keep flagged as weak.</t>
  </si>
  <si>
    <t xml:space="preserve">1: Chubb Business Services India reached a reported FY2025 revenue range of ₹500 crore to ₹1,000 crore,</t>
  </si>
  <si>
    <t xml:space="preserve">A Tracxn revenue band for the legal entity is corporate financial data, not evidence of a Finance function in India. Remove from P.</t>
  </si>
  <si>
    <t xml:space="preserve">https://tracxn.com/d/legal-entities/india/chubb-business-services-india-private-limited/__QSsU0LOlpIz91kPfcQCZTC19-s_aEfZSzPEwcIQSix0</t>
  </si>
  <si>
    <t xml:space="preserve">Bucket logic agreed: entity revenue is not a finance-function trend. Search for Chubb India finance shared services found no F&amp;A hub news.</t>
  </si>
  <si>
    <t xml:space="preserve">1: India engineering teams are increasingly supporting core underwriting, risk-pricing and claims processes</t>
  </si>
  <si>
    <t xml:space="preserve">Same unretrievable ET GCC URL. Partially corroborated by businessofgcc.com trade profile. Downgrade source quality.</t>
  </si>
  <si>
    <t xml:space="preserve">Verdict stands as 'unsupported' for the ET link, but note that Chubb's own 2019 launch release (news.chubb.com, 12 Sep 2019) lists catastrophe modelling and risk management among the centre's functions, so the underlying claim that India supports underwriting/risk work is plausible and company-sourced (older item).</t>
  </si>
  <si>
    <t xml:space="preserve">2. The proposed Chennai GCC expands India’s analytics and engineering network</t>
  </si>
  <si>
    <t xml:space="preserve">Chennai GCC MoU (30 Jul 2026, ~220 jobs) confirmed by ssfglobal.in, hrkatha.com and dtnext.in. The centre is for 'advanced analytics, engineering and global business capabilities' -&gt; primarily Technology.</t>
  </si>
  <si>
    <t xml:space="preserve">https://www.business-standard.com/india-news/chubb-nordex-gcc-rd-centres-chennai-tamil-nadu-investments-126073000468_1.html</t>
  </si>
  <si>
    <t xml:space="preserve">MoU with Guidance Tamil Nadu on 30 Jul 2026 and ~220 jobs confirmed (ssfglobal.in, dtnext.in, tribuneindia.com). Centre purpose is engineering/analytics -&gt; Technology bucket agreed.</t>
  </si>
  <si>
    <t xml:space="preserve">(Aug 2026) Chubb is actively hiring catastrophe-modelling analysts (Analyst I/II, Senior Analyst - CAT Modelling) in Hyderabad, confirming a live cat-modelling/actuarial support function in India.</t>
  </si>
  <si>
    <t xml:space="preserve">https://jobs.anitab.org/companies/chubb/jobs/90305101-analyst-i-cat-modelling</t>
  </si>
  <si>
    <t xml:space="preserve">Specific Aug 2026 posting did not resurface in audit search, but cat modelling as a CBSI function is company-confirmed since launch (news.chubb.com 2019 release) and an Apr 2025 'CBSI Hiring Advertisement' on actuariesindia.org surfaced (actuarial hiring). Source quality amended to 'trade' (job-board mirror, not chubb.com).</t>
  </si>
  <si>
    <t xml:space="preserve">(2026) Trade profile indicates India engineering teams build AI underwriting tools for commercial underwriters and ML claims-analytics platforms to predict claim severity and detect fraud (weaker source).</t>
  </si>
  <si>
    <t xml:space="preserve">Not independently searched; keep flagged weak.</t>
  </si>
  <si>
    <t xml:space="preserve">AMENDED BY AUDIT: there IS India-based SOX/controls evidence. Chubb is recruiting 'Global IT SOX Compliance Lead' roles in Bangalore (jobs.anitab.org id 90305173; hirist.tech) to run its Technology SOX compliance programme (ITGC/ITAC/SDLC controls, annual SOX IT assessment, partnering Internal and External Audit). The news.chubb.com Jan 2025 global leadership release remains irrelevant to India and can be dropped.</t>
  </si>
  <si>
    <t xml:space="preserve">Researcher's 'confirmed none' verdict changed to 'incorrect': job-posting evidence of an IT SOX compliance function in Bangalore. Original verdict was 'confirmed'.</t>
  </si>
  <si>
    <t xml:space="preserve">Global underwriting audit strategy strengthened, but not attributed to India</t>
  </si>
  <si>
    <t xml:space="preserve">https://news.chubb.com/2025-01-27-Chubb-Announces-Key-Leadership-Appointments-in-Overseas-General-Insurance</t>
  </si>
  <si>
    <t xml:space="preserve">(2026) Chubb is recruiting Global IT SOX Compliance Leads in Bangalore to run its Technology SOX compliance programme (ITGC/ITAC/SDLC control design, annual SOX IT assessment) as partner to Internal Audit and External Audit - evidence of an India-based SOX/controls assurance function (job-board evidence).</t>
  </si>
  <si>
    <t xml:space="preserve">https://jobs.anitab.org/companies/chubb/jobs/90305173-global-it-sox-compliance-lead</t>
  </si>
  <si>
    <t xml:space="preserve">ADDED BY AUDIT (none_found R check). Corroborated by hirist.tech listing 'chubb it sox compliance lead'. Month not stated in extract; posting id series matches Aug 2026 postings.</t>
  </si>
  <si>
    <t xml:space="preserve">Primary: Technology (largest Chubb engineering centre; Chennai GCC MoU Jul 2026; AI/engineering growth). Secondary: Insurance Operations (cat modelling/actuarial hiring, AI underwriting/claims analytics - trade-level). Internal Audit: limited - IT SOX compliance roles in Bangalore (job postings). Finance: none public (remove revenue stat).</t>
  </si>
  <si>
    <t xml:space="preserve">26</t>
  </si>
  <si>
    <t xml:space="preserve">1: The India technology model is shifting from a captive GCC to a dedicated strategic business unit</t>
  </si>
  <si>
    <t xml:space="preserve">https://www.etnownews.com/companies/hcltech-completes-acquisition-of-a-100-stake-in-guardian-india-operations-article-155226640</t>
  </si>
  <si>
    <t xml:space="preserve">Business Today, People Matters, Outlook Business and sahi.com all confirm ~2,000 employees, dedicated SBU, Azhisur leading, completion 31 Jul 2026, US$10.5m cash for 100%.</t>
  </si>
  <si>
    <t xml:space="preserve">2: AI-led modernisation is becoming the core technology mandate of the dedicated India unit</t>
  </si>
  <si>
    <t xml:space="preserve">https://www.hcltech.com/press-releases/hcltech-and-guardian-sign-new-expanded-partnership-ai-powered-modernization-across</t>
  </si>
  <si>
    <t xml:space="preserve">(Jul 2026) HCLTech agreed to acquire Guardian India Operations for US$10.5 million under a new seven-year partnership; ~2,000 engineers from Guardian's Chennai and Gurugram GCC transition into a dedicated HCLTech Strategic Business Unit led by Karunakaran Azhisur (former Guardian India Country Head).</t>
  </si>
  <si>
    <t xml:space="preserve">https://www.businesstoday.in/amp/technology/story/hcltech-to-acquire-guardian-india-nearly-2000-employees-to-join-the-it-giant-543486-2026-07-16</t>
  </si>
  <si>
    <t xml:space="preserve">Approximately 2,000 highly specialized engineers from Guardian's Chennai and Gurugram GCC will transition into a new, dedicated Strategic Business Unit</t>
  </si>
  <si>
    <t xml:space="preserve">(Jul 2026) HCLTech will expand use of its 'AI Force' service-transformation platform to build and deploy agentic AI capabilities for Guardian across data, applications and engineering functions.</t>
  </si>
  <si>
    <t xml:space="preserve">https://kyodonewsprwire.jp/release/202607162705</t>
  </si>
  <si>
    <t xml:space="preserve">AI Force / agentic AI wording confirmed via Business Today and People Matters coverage of the HCLTech release.</t>
  </si>
  <si>
    <t xml:space="preserve">(Aug 2026) Transaction completed 31 July 2026 (11:59 PM IST); the former captive is now integrated into HCLTech (aggregator report; HR Katha also reports staff onboarding).</t>
  </si>
  <si>
    <t xml:space="preserve">https://www.hrkatha.com/news/merger-acquisition/hcltech-brings-guardian-india-operations-staff-on-board/</t>
  </si>
  <si>
    <t xml:space="preserve">Completion on 31 Jul 2026 confirmed (sahi.com 'HCL Technologies Completes Full Purchase of Guardian India Operations on July 31, 2026'). Date tag amended to '(Jul 2026)' since the event occurred 31 Jul; hrkatha URL not resurfaced.</t>
  </si>
  <si>
    <t xml:space="preserve">1: Guardian India returned to strong revenue growth in FY2026 after a decline in FY2025</t>
  </si>
  <si>
    <t xml:space="preserve">Only a weak aggregator cites FY26 revenue; entity revenue is not evidence of a Finance function. Remove from P.</t>
  </si>
  <si>
    <t xml:space="preserve">https://www.moneycontrol.com/news/business/information-technology/hcltech-expands-partnership-with-guardian-acquires-us-based-insurer-s-india-gcc-for-10-5-million-13975958.html</t>
  </si>
  <si>
    <t xml:space="preserve">Bucket logic agreed; no F&amp;A function news found in audit search.</t>
  </si>
  <si>
    <t xml:space="preserve">2: The GCC moved from captive ownership to a long-term managed-service commercial model</t>
  </si>
  <si>
    <t xml:space="preserve">No URL given. The ownership/commercial change is a corporate/technology-delivery model shift, not a finance function trend.</t>
  </si>
  <si>
    <t xml:space="preserve">Agree: ownership change is corporate/technology-delivery (O). Credible citation now available: Business Today 16 Jul 2026.</t>
  </si>
  <si>
    <t xml:space="preserve">Review HCLTech’s stock-exchange notice confirming completion of the 100% acquisition</t>
  </si>
  <si>
    <t xml:space="preserve">1: The India delivery mandate is expanding across four major business areas</t>
  </si>
  <si>
    <t xml:space="preserve">https://estrade.in/finance/hcltech-guardian-partnership/</t>
  </si>
  <si>
    <t xml:space="preserve">Outlook Business URL surfaced in audit search; four-area scope wording not re-quoted in extract but consistent with researcher's citation.</t>
  </si>
  <si>
    <t xml:space="preserve">2: Insurance operations are moving toward AI-enabled, product-aligned delivery</t>
  </si>
  <si>
    <t xml:space="preserve">(Jul 2026) Scope of the HCLTech-run unit covers technology and operations support linked to Guardian's group benefits, individual protection, retirement and wealth management businesses.</t>
  </si>
  <si>
    <t xml:space="preserve">https://www.outlookbusiness.com/corporate/hcltech-to-acquire-guardian-india-for-105-million-2000-employees-to-transition</t>
  </si>
  <si>
    <t xml:space="preserve">Outlook Business article surfaced (amp URL); 'technology and operations transformation' scope confirmed; business-line list not re-quoted in extract.</t>
  </si>
  <si>
    <t xml:space="preserve">Audit search (Guardian India Operations Gurugram Chennai finance shared services internal audit SOX) returned only generic listings and a GPTW profile (IT/ITES services, ~1,917 employees); nothing on internal audit.</t>
  </si>
  <si>
    <t xml:space="preserve">Primary: Technology (HCLTech acquisition Jul 2026, AI Force agentic modernisation, ~2,000 engineers into SBU). Secondary: Insurance Operations (ops support for group benefits, protection, retirement, wealth). Finance: none public. Internal Audit: none public. Flag: entity ceased to be a Guardian captive on 31 Jul 2026.</t>
  </si>
  <si>
    <t xml:space="preserve">27</t>
  </si>
  <si>
    <t xml:space="preserve">1: TIAA Global Capabilities is scaling as an AI-powered GCC supporting enterprise technology transformation</t>
  </si>
  <si>
    <t xml:space="preserve">https://www.business-standard.com/industry/news/tiaa-global-capabilities-leases-2-56-lakh-sq-ft-in-pune-for-320-crore-126082800968_1.html</t>
  </si>
  <si>
    <t xml:space="preserve">Lease extract confirmed. Additional support: hrtoday.in notes new GC head Deepak Gupta launched 'TIAA's AI Center of Excellence in India'.</t>
  </si>
  <si>
    <t xml:space="preserve">2: India’s GCC role is expanding from technology support into broader technology, data, risk and client-experience delivery</t>
  </si>
  <si>
    <t xml:space="preserve">https://themainstream.co.in/tiaa-expands-pune-gcc/</t>
  </si>
  <si>
    <t xml:space="preserve">(Aug 2026) TIAA Global Capabilities leased 255,713 sq ft at Panchshil Vantage, Wagholi, Pune on a 10-year term (Rs320 crore contractual rent; occupancy Dec 2026 and Jun 2027) to consolidate teams and support AI, data &amp; analytics, risk management and client-experience capabilities.</t>
  </si>
  <si>
    <t xml:space="preserve">https://www.constructionworld.in/policy-updates-and-economic-news/tiaa-global-capabilities-leases-255713-square-feet-in-pune/96764</t>
  </si>
  <si>
    <t xml:space="preserve">support capabilities across artificial intelligence, data and analytics, risk management and client experience as operations evolve</t>
  </si>
  <si>
    <t xml:space="preserve">(Apr 2026) Deepak Gupta appointed Head of TIAA Global Capabilities and member of the TIAA India Board of Directors; he previously launched TIAA's AI Center of Excellence in India and scaled its technology shared services.</t>
  </si>
  <si>
    <t xml:space="preserve">https://hrtoday.in/deepak-gupta-appointed-as-head-of-tiaa-global-capabilities-and-member-of-the-tiaa-india-board-of-directors/</t>
  </si>
  <si>
    <t xml:space="preserve">Appointment and month verified; text expanded with the AI CoE detail from the same source. He is also listed as a speaker at the NASSCOM GCC Summit 2026.</t>
  </si>
  <si>
    <t xml:space="preserve">(2026) TIAA careers pages describe TIAA Global Capabilities (est. 2016) as focused on technology, operations and expanding into shared services, insourcing key platforms and processes to reduce risk.</t>
  </si>
  <si>
    <t xml:space="preserve">https://careers.tiaa.org/analyst-onboarding-client-assignment/job/CE18DAD11D2B59AA57CE07977DBB34B8</t>
  </si>
  <si>
    <t xml:space="preserve">focus on technology, operations and expanding into the shared services business space</t>
  </si>
  <si>
    <t xml:space="preserve">1: The India entity recorded significant FY2025 revenue growth and profitability</t>
  </si>
  <si>
    <t xml:space="preserve">Corporate registry financials are not evidence of a Finance function in India. Remove from P.</t>
  </si>
  <si>
    <t xml:space="preserve">https://www.thecompanycheck.com/company/tiaa-global-capabilities-private-limited/U72901MH2016FTC279876</t>
  </si>
  <si>
    <t xml:space="preserve">Logic agreed. Note: audit found real finance-function evidence to replace it (see new P bullet).</t>
  </si>
  <si>
    <t xml:space="preserve">2: Profit, EBITDA, net worth and total assets increased during FY2025</t>
  </si>
  <si>
    <t xml:space="preserve">Tofler financial data, not a finance-function trend. Remove.</t>
  </si>
  <si>
    <t xml:space="preserve">https://www.tofler.in/tiaa-global-capabilities-private-limited/company/U72901MH2016FTC279876</t>
  </si>
  <si>
    <t xml:space="preserve">(2026) TIAA is hiring 'Analyst - Finance Control' roles in Pune/Mumbai whose duties are SOX-mandated continual testing of internal finance controls, remediation of gaps and working with external auditors - evidence of a finance-controls/ICFR function inside the India GCC (job-posting evidence).</t>
  </si>
  <si>
    <t xml:space="preserve">https://careers.tiaa.org/analyst-finance-control/job/31A93F863B6F1182CFCC849708C5E845</t>
  </si>
  <si>
    <t xml:space="preserve">ADDED BY AUDIT (none_found P check). Pune location confirmed via dejobs.org mirror path 'pune-ind/analyst-finance-control'.</t>
  </si>
  <si>
    <t xml:space="preserve">1: The India centre is expanding its capacity for global technology, operations and shared services</t>
  </si>
  <si>
    <t xml:space="preserve">Duplicate of O1 (same Pune lease). Keep one lease bullet in O.</t>
  </si>
  <si>
    <t xml:space="preserve">Agree - lease is general expansion mainly for AI/data/risk/CX; consolidate under O.</t>
  </si>
  <si>
    <t xml:space="preserve">2: TIAA is making a substantial long-term investment in its Pune delivery footprint</t>
  </si>
  <si>
    <t xml:space="preserve">Third repetition of the same lease. Consolidate into O.</t>
  </si>
  <si>
    <t xml:space="preserve">https://gcc-pulse.com/news-updates/tiaa-expands-global-capability-operations-in-pune-with-2-55-lakh-sq-ft-lease/</t>
  </si>
  <si>
    <t xml:space="preserve">(2026) TIAA is hiring client-operations roles in India (Analyst / Associate - Onboarding &amp; Client Assignment; Associate - Client Services, Pune), indicating live retirement-plan operations and client-servicing work in the GCC.</t>
  </si>
  <si>
    <t xml:space="preserve">https://careers.tiaa.org/analyst-associate-onboarding-client-assignment/job/73A80F1434BAEF873D854491623A81A7</t>
  </si>
  <si>
    <t xml:space="preserve">Not re-searched within budget; careers.tiaa.org domain credible.</t>
  </si>
  <si>
    <t xml:space="preserve">(Aug 2026) The new Pune premises are earmarked in part for risk management and client-experience teams.</t>
  </si>
  <si>
    <t xml:space="preserve">risk management and client experience as operations evolve</t>
  </si>
  <si>
    <t xml:space="preserve">A separate corporate database reports that TIAA Global Capabilities Private Limited generated more than ₹1,000 crore in revenue for FY2025 and had 2,693 employees as of 1 March 2026. It describes the entity’s principal business activity as administrative and support services.</t>
  </si>
  <si>
    <t xml:space="preserve">Tracxn revenue/headcount data has nothing to do with Internal Audit. Replace with 'No India internal audit trends found'.</t>
  </si>
  <si>
    <t xml:space="preserve">https://tracxn.com/d/legal-entities/india/tiaa-global-capabilities-private-limited/__FuT_ZIBWUoOVOE5O8hGvZLUxcIxSxxO0_FduMbAp1H0#about</t>
  </si>
  <si>
    <t xml:space="preserve">Verdict 'incorrect' stands, but replacement text should NOT say 'none found': TIAA careers lists India finance-control roles that perform SOX testing of internal finance controls and audit coordination (see new R bullet).</t>
  </si>
  <si>
    <t xml:space="preserve">(2026) TIAA GC India finance-control analysts perform SOX control testing and audit coordination with external auditors (same posting as P) - adjacent evidence of SOX/ICFR testing work in India; no separate internal-audit department disclosed.</t>
  </si>
  <si>
    <t xml:space="preserve">ADDED BY AUDIT (none_found R check). Job-posting evidence only.</t>
  </si>
  <si>
    <t xml:space="preserve">Primary: Technology (Pune lease Aug 2026 for AI/data/analytics; new GC head Apr 2026 who built India AI CoE). Secondary: Operations (client onboarding/servicing, risk management) - TIAA is retirement/annuities, not P&amp;C. Finance / Internal Audit: limited - SOX finance-control testing roles in Pune/Mumbai (job postings); team's revenue stats must be removed from P and R.</t>
  </si>
  <si>
    <t xml:space="preserve">28</t>
  </si>
  <si>
    <t xml:space="preserve">1: SLGS India is scaling GenAI from experimentation toward global deployment</t>
  </si>
  <si>
    <t xml:space="preserve">https://www.cxodigitalpulse.com/sun-life-global-solutions-india-at-20-driving-enterprise-impact-innovation-and-transformation/</t>
  </si>
  <si>
    <t xml:space="preserve">2: AI is becoming part of SLGS India’s enterprise value-creation model, with governance remaining central</t>
  </si>
  <si>
    <t xml:space="preserve">ET GCC 'Power Talks' video URL not retrievable via search; governance claim unverified.</t>
  </si>
  <si>
    <t xml:space="preserve">https://gcc.economictimes.indiatimes.com/videos/power-talks/gccs-as-growth-engines-inside-sun-life-global-solutions-ai-journey/126136910</t>
  </si>
  <si>
    <t xml:space="preserve">No budget for a dedicated ET GCC search; verdict logic reasonable.</t>
  </si>
  <si>
    <t xml:space="preserve">(Feb 2026) Marking 20 years in India, SLGS reported supporting 20+ GenAI innovation pilots for global deployment, with offices in Gurugram and Bengaluru serving all Sun Life pillars (Canada, Asia, US, Asset Management and Corporate functions).</t>
  </si>
  <si>
    <t xml:space="preserve">https://www.sunlife.com/slgs/en/newsroom/press-releases/2026/sun-life-global-solutions-india-at-20/</t>
  </si>
  <si>
    <t xml:space="preserve">SLGS has supported the development of 20+ Gen AI innovation pilots for global deployment</t>
  </si>
  <si>
    <t xml:space="preserve">(Feb 2026) SLGS leadership frames the 20-year milestone as a launchpad to 'accelerate AI-led innovation' and build a workforce skilled in emerging technologies.</t>
  </si>
  <si>
    <t xml:space="preserve">https://www.cxodigitalpulse.com/?p=45758</t>
  </si>
  <si>
    <t xml:space="preserve">cxodigitalpulse article surfaced (same release also on itvoice.in, indiacsr.in); exact quote not re-shown in extract but release content matches.</t>
  </si>
  <si>
    <t xml:space="preserve">(Nov 2024) SLGS partnered with IIT Indore (announced 29 Nov 2024) to apply AI/ML, data analytics and GenAI to insurance problems such as risk appraisal, claims settlement and customer segmentation; the partnership is cited again in the Feb 2026 'India at 20' release.</t>
  </si>
  <si>
    <t xml:space="preserve">https://www.sunlife.com/slgs/en/newsroom/press-releases/2024/sun-life-global-solutions-partners-with-IIT-Indore-to-foster-innovation/</t>
  </si>
  <si>
    <t xml:space="preserve">DATE CORRECTED from '(2026)' to '(Nov 2024)' and URL upgraded from fintech.global (trade) to the sunlife.com 2024 release; corroborated by insurtechinsights.com and cxotoday.com. Still within the 2-year window and re-cited in Feb 2026.</t>
  </si>
  <si>
    <t xml:space="preserve">(May 2026) New MD Bianca Ilibasic previously shaped Sun Life Asia's AI roadmap and straight-through processing as Asia COO; her SLGS mandate is to scale the centre as an enterprise capability across 28 markets.</t>
  </si>
  <si>
    <t xml:space="preserve">https://www.sunlife.com/slgs/en/newsroom/press-releases/2026/sun-life-appoints-bianca-ilibasic-as-managing-director-sun-life/</t>
  </si>
  <si>
    <t xml:space="preserve">Release confirmed; also reported by reinasia.com, hrtoday.in, outsourceaccelerator. Month (May 2026) not shown in extract but consistent with researcher's dating; the hrtoday id series (75548) post-dates Apr 2026 items.</t>
  </si>
  <si>
    <t xml:space="preserve">1: SLGS India delivered strong FY2025 revenue growth and remained profitable</t>
  </si>
  <si>
    <t xml:space="preserve">Registry financials are not evidence of a Finance function. Remove.</t>
  </si>
  <si>
    <t xml:space="preserve">https://www.thecompanycheck.com/company/sun-life-global-solutions-private-limited/U74140HR2006FTC036049</t>
  </si>
  <si>
    <t xml:space="preserve">2: Finance, investment operations and actuarial capabilities are becoming part of an integrated enterprise hub</t>
  </si>
  <si>
    <t xml:space="preserve">https://gcc.economictimes.indiatimes.com/news/people-culture/behind-the-strategic-reset-at-sun-life-global-solutions/126248822</t>
  </si>
  <si>
    <t xml:space="preserve">(May 2026) Finance is one of the multi-functional teams under the new SLGS Managing Director (Technology, Operations, Analytics, Actuarial, HR, Finance, Risk &amp; Compliance), confirming a live finance shared-services function in India/Philippines.</t>
  </si>
  <si>
    <t xml:space="preserve">multi-functional teams spanning Technology, Operations, Analytics, Actuarial, HR, Finance, and Risk &amp; Compliance</t>
  </si>
  <si>
    <t xml:space="preserve">1: SLGS India has evolved from an operations and application-maintenance centre into an integrated insurance and asset-management capability hub</t>
  </si>
  <si>
    <t xml:space="preserve">https://www.thehansindia.com/business/sun-life-global-solutions-india-at-20-driving-enterprise-impact-innovation-and-transformation-1050637</t>
  </si>
  <si>
    <t xml:space="preserve">2: SLGS India is moving toward accountability for upstream business and client outcomes</t>
  </si>
  <si>
    <t xml:space="preserve">ET GCC 'strategic reset' URL not retrievable; claim not independently verified.</t>
  </si>
  <si>
    <t xml:space="preserve">3: Insurance-operations development: Client care and process efficiency are being integrated with digital modernisation</t>
  </si>
  <si>
    <t xml:space="preserve">Same unretrievable ET GCC URL; generic claim.</t>
  </si>
  <si>
    <t xml:space="preserve">(May 2026) Sun Life appointed Bianca Ilibasic (ex-VP &amp; COO, Sun Life Asia) as SLGS Managing Director, leading India and Philippines teams including Operations, Actuarial and Risk &amp; Compliance supporting Sun Life across 28 markets.</t>
  </si>
  <si>
    <t xml:space="preserve">leads SLGS across India and the Philippines, providing strategic direction to multi-functional teams spanning Technology, Operations, Analytics, Actuarial</t>
  </si>
  <si>
    <t xml:space="preserve">(Feb 2026) SLGS says it has evolved from a 2006 operations and application-maintenance delivery centre into an integrated global capability hub enabling 'scaled operations' and process innovation for all Sun Life business groups; it also works with 20+ FinTech/InsurTech start-ups on modernisation.</t>
  </si>
  <si>
    <t xml:space="preserve">Verified; added the 20+ FinTech/InsurTech start-up detail from the same release.</t>
  </si>
  <si>
    <t xml:space="preserve">1: AI governance and responsible innovation are visible</t>
  </si>
  <si>
    <t xml:space="preserve">AI governance is a technology/risk theme, not internal audit/SOX; ET video URL unverified.</t>
  </si>
  <si>
    <t xml:space="preserve">Bucket logic agreed.</t>
  </si>
  <si>
    <t xml:space="preserve">2: Sun Life released its 2025 Annual Report, Sustainability Report and Public Accountability Statement in March 2026. The group report discusses responsible AI guided by trust, privacy and responsible innovation and states that more than 50 strategic GenAI tools were deployed during 2025.</t>
  </si>
  <si>
    <t xml:space="preserve">Group-level (Canada) annual report content; not India internal audit.</t>
  </si>
  <si>
    <t xml:space="preserve">https://sunlife.mediaroom.com/2026-03-24-Sun-Life-releases-2025-Annual-Reports</t>
  </si>
  <si>
    <t xml:space="preserve">Bucket logic agreed; group-level, low India relevance.</t>
  </si>
  <si>
    <t xml:space="preserve">(May 2026) SLGS houses Risk &amp; Compliance teams under the MD's remit (no internal-audit/SOX team disclosed specifically; treat as adjacent evidence only).</t>
  </si>
  <si>
    <t xml:space="preserve">Technology, Operations, Analytics, Actuarial, HR, Finance, and Risk &amp; Compliance</t>
  </si>
  <si>
    <t xml:space="preserve">Primary: Technology (20+ GenAI pilots Feb 2026, IIT Indore AI partnership Nov 2024, AI-roadmap MD May 2026). Secondary: Insurance Operations (operations, actuarial, analytics across 28 markets; 20+ insurtech collaborations). Finance: present (finance named under MD) but no transformation news. Internal Audit: none public; only Risk &amp; Compliance named.</t>
  </si>
  <si>
    <t xml:space="preserve">29</t>
  </si>
  <si>
    <t xml:space="preserve">1: Optum India is moving from delivery execution toward AI-led healthcare innovation and outcome ownership</t>
  </si>
  <si>
    <t xml:space="preserve">ET GCC URL not retrievable. Direction corroborated by optum.in (MD recognised for healthcare innovation, digital transformation).</t>
  </si>
  <si>
    <t xml:space="preserve">https://gcc.economictimes.indiatimes.com/news/talent-strategy/built-to-scale-optum-india-on-building-ai-led-healthcare/130275751</t>
  </si>
  <si>
    <t xml:space="preserve">optum.in award page confirms MD 'oversees strategy, execution, delivery and governance' and recognition for healthcare innovation/digital transformation; ET link still unverified so 'unsupported' stands for the specific wording.</t>
  </si>
  <si>
    <t xml:space="preserve">2: Responsible AI, explainability and healthcare impact are becoming central to the India GCC’s technology direction</t>
  </si>
  <si>
    <t xml:space="preserve">optum.in URL exists but no extract surfaced to verify the responsible-AI/explainability wording.</t>
  </si>
  <si>
    <t xml:space="preserve">https://www.optum.in/about/news/future-of-global-capability-centers-in-ai-era.html</t>
  </si>
  <si>
    <t xml:space="preserve">(Apr 2026) ANSR launched a Healthcare GCC Accelerator platform (1 Apr 2026) in partnership with Optum, combining ANSR's GCC build model with Optum.ai technology and healthcare domain expertise to help healthcare enterprises build AI-enabled capability centres in India.</t>
  </si>
  <si>
    <t xml:space="preserve">https://www.digitalhealthnews.com/ansr-launches-healthcare-gcc-accelerator-platform-to-drive-ai-enabled-enterprise-transformation</t>
  </si>
  <si>
    <t xml:space="preserve">brings together ANSR's end-to-end GCC execution model with advanced healthcare AI capabilities from Optum</t>
  </si>
  <si>
    <t xml:space="preserve">(Apr 2026) ANSR's own announcement: it will leverage Optum.ai to help customers modernise operations and embed AI into core workflows.</t>
  </si>
  <si>
    <t xml:space="preserve">https://ansr.com/?p=67716</t>
  </si>
  <si>
    <t xml:space="preserve">ansr.com release surfaced ('ANSR Launches Healthcare GCC Accelerator Powered by Advanced AI Capabilities'); note this is ANSR's (partner) announcement, Optum is the AI provider.</t>
  </si>
  <si>
    <t xml:space="preserve">(2026) Optum India MD Uma Ratnam Krishnan named among Analytics India Magazine's Top Life Sciences &amp; Healthcare GCC Heads in India 2026, credited for driving healthcare innovation and digital transformation.</t>
  </si>
  <si>
    <t xml:space="preserve">https://www.optum.in/about/news/uma-ratnam-krishnan-top-gcc-leader-2026.html</t>
  </si>
  <si>
    <t xml:space="preserve">recognized among Analytics India Magazine's Top Life Sciences and Healthcare GCC Heads in India for 2026</t>
  </si>
  <si>
    <t xml:space="preserve">(2026) UnitedHealth Group is hiring a Director, AI/ML Engineering (GCC Sales and Solution) in Bengaluru, signalling an AI engineering build-out in the India GCC.</t>
  </si>
  <si>
    <t xml:space="preserve">https://careers.unitedhealthgroup.com/job/bengaluru/director-ai-ml-engineering-gcc-sales-and-solution/50688/96482817536</t>
  </si>
  <si>
    <t xml:space="preserve">Not re-searched within budget; evidence is a URL slug only - weak.</t>
  </si>
  <si>
    <t xml:space="preserve">1: The principal India GCC entity reported strong FY2025 revenue and profitability</t>
  </si>
  <si>
    <t xml:space="preserve">Registry financials, not a Finance-function trend. Remove.</t>
  </si>
  <si>
    <t xml:space="preserve">https://www.thecompanycheck.com/company/optum-global-solutions-india-private-limited/U72900TG2010PTC067943</t>
  </si>
  <si>
    <t xml:space="preserve">2: A separate Optum health-technology entity recorded material FY2025 growth</t>
  </si>
  <si>
    <t xml:space="preserve">Tracxn financials, not a Finance-function trend. Remove.</t>
  </si>
  <si>
    <t xml:space="preserve">https://tracxn.com/d/legal-entities/india/optum-health-technology-india-private-limited/__XTY3YsFj4wyyasfYCZcfdk4u0OgxNk0bycAQ2-HqxTY</t>
  </si>
  <si>
    <t xml:space="preserve">1: India’s operating model is shifting toward integrated, capability-led ownership across the healthcare value chain</t>
  </si>
  <si>
    <t xml:space="preserve">Same unretrievable ET GCC URL.</t>
  </si>
  <si>
    <t xml:space="preserve">2: Healthcare operations are increasingly being integrated with advanced analytics and technology</t>
  </si>
  <si>
    <t xml:space="preserve">Generic careers page citation; no dated news. Weak.</t>
  </si>
  <si>
    <t xml:space="preserve">https://www.optum.in/about/careers.html</t>
  </si>
  <si>
    <t xml:space="preserve">Agree - undated generic claim.</t>
  </si>
  <si>
    <t xml:space="preserve">3: A major Chennai GCC expansion increased Optum’s India operating footprint</t>
  </si>
  <si>
    <t xml:space="preserve">https://economictimes.indiatimes.com/topic/optum-global-solutions</t>
  </si>
  <si>
    <t xml:space="preserve">(2025) Optum Global Solutions leased 500,000 sq ft at Embassy Splendid Tech Zone, Chennai for a new GCC (operational from Q3 2025), adding to ~750,000 sq ft in Noida and Bengaluru; Optum India employs 30,000+ across Noida, Bengaluru and Chennai.</t>
  </si>
  <si>
    <t xml:space="preserve">https://www.digitalhealthnews.com/optum-expands-healthcare-gcc-network-with-chennai-office-lease</t>
  </si>
  <si>
    <t xml:space="preserve">Lease, Q3 2025 start, Rs70-75/sq ft and ~750,000 sq ft Noida/Bengaluru confirmed; 30,000+ headcount not re-quoted in extract. Bucket: general expansion housing healthcare operations - acceptable in Q, could also sit in O.</t>
  </si>
  <si>
    <t xml:space="preserve">Audit search including 'internal audit SOX finance' returned nothing on Optum India audit functions.</t>
  </si>
  <si>
    <t xml:space="preserve">Primary: Technology (ANSR-Optum.ai healthcare GCC accelerator Apr 2026; AI/ML engineering hiring; MD recognised for digital transformation). Secondary: Operations (Chennai GCC scale-up 2025, 30,000+ staff) - note Optum is health services, not insurance per se. Finance: none public. Internal Audit: none public.</t>
  </si>
  <si>
    <t xml:space="preserve">30</t>
  </si>
  <si>
    <t xml:space="preserve">Prudential Service India (GCC) </t>
  </si>
  <si>
    <t xml:space="preserve">1: Bengaluru has been established as one of Prudential plc’s two global technology and operations hubs</t>
  </si>
  <si>
    <t xml:space="preserve">https://www.prudentialplc.com/en/newsroom/company-news/2025/prudential-launches-global-services-hub-in-bengaluru-india/</t>
  </si>
  <si>
    <t xml:space="preserve">2: The India hub is supporting digital customer, agency, data and security platforms</t>
  </si>
  <si>
    <t xml:space="preserve">https://hubbis.com/news/prudential-establishes-global-services-hub-in-india-to-drive-innovation</t>
  </si>
  <si>
    <t xml:space="preserve">3: The technology strategy is focused on modernising Prudential’s core insurance operating environment</t>
  </si>
  <si>
    <t xml:space="preserve">https://insuranceasia.com/insurance/news/prudential-services-india-expand-adding-over-400-tech-professionals</t>
  </si>
  <si>
    <t xml:space="preserve">(Mar 2025) Prudential plc opened Prudential Services India in Bengaluru (12 Mar 2025), its first fully owned facility in India, to grow to 400+ professionals over three years in data, AI, software development, automated testing and cybersecurity; it supports PRUServices and PRUForce platform development.</t>
  </si>
  <si>
    <t xml:space="preserve">expand to accommodate more than 400 professionals over the next three years, with a focus on ... data, AI, software development, automated testing and cyber security</t>
  </si>
  <si>
    <t xml:space="preserve">(2026) Prudential plc is recruiting in Bengaluru for roles such as Manager - Ethical Hacking/Penetration Testing (leading a team performing penetration testing for Prudential globally) and Senior Manager - Developer, Consolidation &amp; Planning Systems, evidencing ongoing engineering and cybersecurity build-out at the hub (job-board evidence).</t>
  </si>
  <si>
    <t xml:space="preserve">https://builtinbengaluru.in/job/manager-ethicalhacking-penetration-testing/7540087</t>
  </si>
  <si>
    <t xml:space="preserve">Verified; evidence quote replaced (was a URL slug) with extract text; 'Workflow Application Architect' replaced by the Consolidation &amp; Planning Systems developer role that surfaced in audit.</t>
  </si>
  <si>
    <t xml:space="preserve">1: The Indian legal entity reached material operating scale by FY2025</t>
  </si>
  <si>
    <t xml:space="preserve">Tracxn registry data is not a Finance-function trend. Remove.</t>
  </si>
  <si>
    <t xml:space="preserve">https://tracxn.com/d/legal-entities/india/prudential-technology-and-services-india-private-limited/__vllf7RZDDpCgx5Sm-nVIKyYvDsQiASqGo82U0QCO3F0</t>
  </si>
  <si>
    <t xml:space="preserve">2: The centre is designed to generate economies of skill and scale, but no separate finance-transformation programme is disclosed</t>
  </si>
  <si>
    <t xml:space="preserve">Still no finance-transformation programme, but audit found Prudential plc finance roles in Bengaluru (Senior Executive - Finance, contract; Senior Manager - Developer, Consolidation &amp; Planning Systems) implying some finance/finance-systems work at the hub (job-posting evidence). Reword to 'limited - finance roles hiring, no programme disclosed'.</t>
  </si>
  <si>
    <t xml:space="preserve">(2026) Prudential plc is hiring finance roles at the Bengaluru hub (e.g. Senior Executive - Finance, contract; Senior Manager - Developer, Consolidation &amp; Planning Systems) in a 'tightly controlled environment' requiring SOX understanding and coordination with internal/external audit - limited evidence of finance/finance-systems work in India (job-board evidence).</t>
  </si>
  <si>
    <t xml:space="preserve">https://builtinbengaluru.in/job/senior-executive-finance-contract/7563619</t>
  </si>
  <si>
    <t xml:space="preserve">ADDED BY AUDIT (none_found P check). Weak, job-posting evidence only.</t>
  </si>
  <si>
    <t xml:space="preserve">1: The Bengaluru hub centralises operational support for Prudential’s Asia and Africa businesses</t>
  </si>
  <si>
    <t xml:space="preserve">2: Customer and agency servicing are moving toward digital platform-based delivery</t>
  </si>
  <si>
    <t xml:space="preserve">(Mar 2025) The Bengaluru hub is one of two global services hubs providing a central source of technology and operations expertise to Prudential's Asia and Africa markets, including digital customer self-servicing (PRUServices) and digital agency (PRUForce) platforms rolled out across Asia.</t>
  </si>
  <si>
    <t xml:space="preserve">https://www.finews.asia/finance/42932-prudential-services-india-bengaluru-technology-data-ai-software-development-automated-testing-cybersecurity</t>
  </si>
  <si>
    <t xml:space="preserve">finews.asia and asiainsurancereview.com (14 Mar 2025) both surfaced.</t>
  </si>
  <si>
    <t xml:space="preserve">(May 2026) Group context: Prudential plc agreed to acquire a 75% stake in Bharti Life Insurance for Rs3,500 crore (~US$389m) cash plus up to Rs700 crore contingent, its first management control of an Indian life insurer; subject to regulatory approvals. Not a GCC item but relevant to India insurance footprint.</t>
  </si>
  <si>
    <t xml:space="preserve">https://www.prudentialplc.com/en/newsroom/company-news/2026/Prudential-plc-repositions-its-India-operations-through--a-controlling-stake-in-Bharti-Life-Insurance/</t>
  </si>
  <si>
    <t xml:space="preserve">Deal, 75%, Rs3,500 crore and May 2026 timing verified (moneylife.in, 5paisa; aggregator dates 17 May 2026). Removed the unverified clause about cutting the ICICI Prudential Life stake below 10% (not in any extract); added the Rs700 crore earn-out.</t>
  </si>
  <si>
    <t xml:space="preserve">1: Prudential Services India was established with cybersecurity as one of its core capability areas. Independent coverage also states that the centre will contribute to enhanced security operations.</t>
  </si>
  <si>
    <t xml:space="preserve">Cybersecurity is a Technology capability, not internal audit/SOX. Already captured in O.</t>
  </si>
  <si>
    <t xml:space="preserve">Bucket logic agreed; cyber build-out confirmed by Manager - Ethical Hacking &amp; Penetration Testing role in Bangalore.</t>
  </si>
  <si>
    <t xml:space="preserve">2: No audit or control programme can be inferred from automated testing</t>
  </si>
  <si>
    <t xml:space="preserve">Agree. Only adjacent evidence: a Bengaluru finance role describing 'understanding of SOX requirements and coordination with internal and external audit' - not an audit team.</t>
  </si>
  <si>
    <t xml:space="preserve">Primary: Technology (Mar 2025 hub launch; 400+ hires in data/AI/software/testing/cyber; PRUServices/PRUForce; pen-testing team hiring). Secondary: Insurance Operations (central ops expertise for Asia &amp; Africa; group Bharti Life 75% deal May 2026 as context). Finance: limited (finance roles hiring, no programme). Internal Audit: none public (cyber item misfiled under R).</t>
  </si>
  <si>
    <t xml:space="preserve">31</t>
  </si>
  <si>
    <t xml:space="preserve">Principal Global Services(GCC)</t>
  </si>
  <si>
    <t xml:space="preserve">1: Principal maintains a distributed GCC footprint across Pune and Hyderabad</t>
  </si>
  <si>
    <t xml:space="preserve">https://www.principal.com/about-us/our-company/worldwide-locations</t>
  </si>
  <si>
    <t xml:space="preserve">2: PGS continues to operate as a large-scale technology and support-services organization</t>
  </si>
  <si>
    <t xml:space="preserve">Cites a company registry which does not evidence any technology trend. Remove or replace.</t>
  </si>
  <si>
    <t xml:space="preserve">https://www.thecompanycheck.com/company/principal-global-services-private-limited/U64120PN2005PTC129516</t>
  </si>
  <si>
    <t xml:space="preserve">Agree. Replacement candidate found: Indeed lists a strategic leadership role to build enterprise automation capability with an automation &amp; AI roadmap (see new O bullet).</t>
  </si>
  <si>
    <t xml:space="preserve">(Feb 2026) Group-level: at the BofA conference (Feb 2026) Principal's CEO said employee access to AI tools expanded from under 1,000 at start-2025 to ~17,000 of 19,000 employees by end-2025 (~7,000 daily users), with use cases in code development, engagement centres, claims and underwriting. India-specific allocation not disclosed.</t>
  </si>
  <si>
    <t xml:space="preserve">https://finance.yahoo.com/news/principal-financial-ceo-lifts-roe-210429080.html</t>
  </si>
  <si>
    <t xml:space="preserve">Verified; date tag tightened from '(2026)' to '(Feb 2026)' per marketbeat mirror dated 2026-02-14 (BofA conference). Related: Fortune (21 Nov 2025) on Principal's AI-literacy upskilling - group-level.</t>
  </si>
  <si>
    <t xml:space="preserve">(2026) Company page: Principal Global Services (est. 2006) is Principal's global capability centre in Pune and Hyderabad supporting retirement, insurance and asset-management solutions.</t>
  </si>
  <si>
    <t xml:space="preserve">https://priglobal.com/india-offices/</t>
  </si>
  <si>
    <t xml:space="preserve">Principal Global Services has offices in Hyderabad (India), Manila (Philippines) and Pune (India)</t>
  </si>
  <si>
    <t xml:space="preserve">(2026) PGS is hiring a strategic leadership role in India to build and scale an enterprise automation capability with a long-term automation &amp; AI roadmap - the only India-specific technology signal found (job-listing evidence).</t>
  </si>
  <si>
    <t xml:space="preserve">https://in.indeed.com/Principal-Global-Services-jobs</t>
  </si>
  <si>
    <t xml:space="preserve">ADDED BY AUDIT (none_found O_india_specific check). Weak: Indeed listing extract, undated.</t>
  </si>
  <si>
    <t xml:space="preserve">1: Strong FY2025 revenue growth and profitability</t>
  </si>
  <si>
    <t xml:space="preserve">2: Revenue, profit and net-worth expansion continued during FY2025</t>
  </si>
  <si>
    <t xml:space="preserve">EMIS financials, not a Finance-function trend. Remove.</t>
  </si>
  <si>
    <t xml:space="preserve">https://www.emis.com/php/company-profile/IN/Principal_Global_Services_Private_Limited_en_3938893.html</t>
  </si>
  <si>
    <t xml:space="preserve">(2026) PGS lists 'Senior Analyst - Accounting - SoX' positions in Pune - job-posting evidence of accounting/SOX controls work within the India GCC (no F&amp;A hub news).</t>
  </si>
  <si>
    <t xml:space="preserve">ADDED BY AUDIT (none_found P check). Weak, job-listing evidence.</t>
  </si>
  <si>
    <t xml:space="preserve">1: Multi-city operating model supports long-term GCC scale</t>
  </si>
  <si>
    <t xml:space="preserve">Restates the locations page; no insurance-operations content or dated news.</t>
  </si>
  <si>
    <t xml:space="preserve">Audit search for PGS Pune/Hyderabad 2025-2026 news found no entity-specific press coverage.</t>
  </si>
  <si>
    <t xml:space="preserve">(Feb 2026) Group-level only: AI use cases at Principal now include claims and underwriting; no India-specific insurance-operations news found.</t>
  </si>
  <si>
    <t xml:space="preserve">Verified; date tightened to (Feb 2026).</t>
  </si>
  <si>
    <t xml:space="preserve">Verdict changed to 'outdated/partially incorrect': Indeed lists 'Senior Analyst - Accounting - SoX' positions at Principal Global Services in Pune - job-posting evidence of SOX accounting/controls work in India. No audit team news.</t>
  </si>
  <si>
    <t xml:space="preserve">(2026) Same 'Senior Analyst - Accounting - SoX' Pune postings indicate SOX controls work in India (adjacent evidence; no internal-audit team disclosed).</t>
  </si>
  <si>
    <t xml:space="preserve">ADDED BY AUDIT (none_found R check). Weak, job-listing evidence.</t>
  </si>
  <si>
    <t xml:space="preserve">Weak public profile. Primary (by inference): Technology (group-wide AI rollout to 17,000 staff by end-2025; India automation &amp; AI-roadmap leadership hiring). Insurance Operations: group-level AI in claims/underwriting only. Finance / Internal Audit: limited - SOX accounting analyst postings in Pune (job-listing evidence). Low confidence - no dated India press news found.</t>
  </si>
  <si>
    <t xml:space="preserve">32</t>
  </si>
  <si>
    <t xml:space="preserve">1: N2G established its first India GCC to strengthen IT capability</t>
  </si>
  <si>
    <t xml:space="preserve">https://tta.in/tta-advised-n2g-worldwide-insurance-services-llc-in-relation-to-the-establishment-of-the-gcc/</t>
  </si>
  <si>
    <t xml:space="preserve">Search 1 returned tta.in/?p=12496 titled 'March 2025, Corporate' and the Bar &amp; Bench deal note; both support IT talent access. Date correction to Mar 2025 agreed.</t>
  </si>
  <si>
    <t xml:space="preserve">2: Technology capability is being brought in-house through the India GCC</t>
  </si>
  <si>
    <t xml:space="preserve">https://www.barandbench.com/law-firms/dealstreet/tta-assists-n2g-insurance-on-setting-up-global-capability-center-in-india</t>
  </si>
  <si>
    <t xml:space="preserve">Agree: captive set-up with entity incorporation and intercompany agreements implies in-house delivery; wording is an inference, acceptable.</t>
  </si>
  <si>
    <t xml:space="preserve">(Mar 2025) N2G Worldwide Insurance Services (New Jersey-based Nationwide-Generali GC&amp;C JV) set up its first global capability centre in Pune, incorporated as N2G Global Services Pvt Ltd with TT&amp;A as legal adviser, to access Indian information-technology talent.</t>
  </si>
  <si>
    <t xml:space="preserve">Extract, URL and bucket confirmed; added JV description from the same extract.</t>
  </si>
  <si>
    <t xml:space="preserve">(Mar 2025) TT&amp;A provided end-to-end set-up support for the GCC, including entity incorporation and intercompany (services) agreements, the legal basis for the Pune IT/operations captive.</t>
  </si>
  <si>
    <t xml:space="preserve">https://tta.in/?p=12496</t>
  </si>
  <si>
    <t xml:space="preserve">tta.in page title 'March 2025, Corporate' confirms the date; extract matches.</t>
  </si>
  <si>
    <t xml:space="preserve">1: Newly incorporated India services entity</t>
  </si>
  <si>
    <t xml:space="preserve">Entity incorporation is corporate set-up, not a finance-function (F&amp;A/FP&amp;A/treasury) trend. Tracxn is a weak directory source. No evidence of any finance work in India.</t>
  </si>
  <si>
    <t xml:space="preserve">https://tracxn.com/d/legal-entities/india/n2g-global-services-private-limited/__Hhb-sbfnRo-8huMcAvjdWgmIvrM7KoBJBcoNxRAoaJM</t>
  </si>
  <si>
    <t xml:space="preserve">Search 2 ('N2G Global Services' Pune 2026) returned no N2G results at all; nothing supports a finance-function reading. Bucket logic agreed.</t>
  </si>
  <si>
    <t xml:space="preserve">2: Investment in building an India GCC</t>
  </si>
  <si>
    <t xml:space="preserve">Bar &amp; Bench does not mention investment amounts or finance functions; it names only IT and Insurance Operations. Not a Finance-bucket item.</t>
  </si>
  <si>
    <t xml:space="preserve">Bar &amp; Bench extract names only IT and Insurance Operations; no investment figure. Agreed.</t>
  </si>
  <si>
    <t xml:space="preserve">1: India GCC established to support insurance operations</t>
  </si>
  <si>
    <t xml:space="preserve">2: Support of multinational commercial insurance business</t>
  </si>
  <si>
    <t xml:space="preserve">Generic corporate description of the US JV; not an India trend. Bar &amp; Bench says the GCC delivers 'solutions to multinational brokers and their clients', which can replace this.</t>
  </si>
  <si>
    <t xml:space="preserve">https://n2g.com/home.html</t>
  </si>
  <si>
    <t xml:space="preserve">n2g.com did not surface; Bar &amp; Bench phrase confirmed as the replacement.</t>
  </si>
  <si>
    <t xml:space="preserve">(Mar 2025) The Pune GCC is scoped to support N2G's multinational commercial-insurance operations, serving multinational brokers and their clients alongside IT.</t>
  </si>
  <si>
    <t xml:space="preserve">Extract matches; 'Insurance Operations' named explicitly in the same extract.</t>
  </si>
  <si>
    <t xml:space="preserve">Searches 1-2 returned no audit/SOX items.</t>
  </si>
  <si>
    <t xml:space="preserve">Primary: Technology (IT talent, captive set-up, Mar 2025); Secondary: Insurance Operations (multinational commercial insurance support for brokers); Finance: none public (existing P bullets are mis-tagged set-up/incorporation items); Internal Audit: none public. Very thin news flow since the Mar 2025 launch.</t>
  </si>
  <si>
    <t xml:space="preserve">33</t>
  </si>
  <si>
    <t xml:space="preserve">1: ET&amp;S India is becoming a core technology hub supporting ERGO's global digital-transformation agenda</t>
  </si>
  <si>
    <t xml:space="preserve">https://www.ergo.com/en/microsite/ergo-technology-services-india/about-ets-india</t>
  </si>
  <si>
    <t xml:space="preserve">2: ET&amp;S India continues to expand technology capability and workforce scale</t>
  </si>
  <si>
    <t xml:space="preserve">GPTW page only states 557 India-based employees; it contains no expansion claim. Rephrase as a headcount datapoint.</t>
  </si>
  <si>
    <t xml:space="preserve">https://www.greatplacetowork.in/great/company/ergo-technology-services-limited/</t>
  </si>
  <si>
    <t xml:space="preserve">Searches 3 and 19: GPTW extract gives only '557 India-based employees'; the only growth figure found is the 2022 launch target of 400 staff in year one (tradebrains), which is outside the window. No 2025-26 expansion claim exists.</t>
  </si>
  <si>
    <t xml:space="preserve">(current, undated) ET&amp;S India (Powai, Mumbai; founded 2022) operates as ERGO's offshore development centre, delivering IT solutions for the Group alongside the German (ITERGO) and Polish (ET&amp;S S.A.) technology hubs; roughly 557 India employees per GPTW.</t>
  </si>
  <si>
    <t xml:space="preserve">Microsite extract matches (search 19 returned the about-ets-india page with this wording).</t>
  </si>
  <si>
    <t xml:space="preserve">(current) GPTW listing records ET&amp;S India at 557 India-based employees, the only public headcount datapoint found.</t>
  </si>
  <si>
    <t xml:space="preserve">https://www.greatplacetowork.in/great/company/ergo-technology-services-limited</t>
  </si>
  <si>
    <t xml:space="preserve">The company has 557 India-based employees.</t>
  </si>
  <si>
    <t xml:space="preserve">(Sep 2026) ERGO Group appointed ERGO NEXT CEO Guy Goldstein as Chief AI Officer on the management board effective 1 Oct 2026 (CDO Mark Klein leaves at end-2026) and will invest around EUR 130 million through 2030 to scale its GenAI platform; India-specific allocation not disclosed, but ET&amp;S India is one of the three delivery hubs.</t>
  </si>
  <si>
    <t xml:space="preserve">https://www.insurancebusinessmag.com/us/news/breaking-news/ergo-group-creates-a-chief-ai-officer-role-591322.aspx</t>
  </si>
  <si>
    <t xml:space="preserve">Dated to Sep 2026 (elespanol item dated 2026-09-25; appointment effective 1 Oct). URL switched from cash-online.de (German) to Insurance Business Mag, which carried the same facts in search 4. Group-level context, not India-specific; keep flagged.</t>
  </si>
  <si>
    <t xml:space="preserve">1: ET&amp;S India has received significant capital investment to support GCC growth</t>
  </si>
  <si>
    <t xml:space="preserve">No evidence surfaced; and parent capital infusion is not a Finance-function (F&amp;A/FP&amp;A) trend. Tracxn is a weak source.</t>
  </si>
  <si>
    <t xml:space="preserve">https://tracxn.com/d/legal-entities/india/ergo-technology-services-private-limited/__sQHHj5DEP1-NvulIZ-TRTuw_-AnvlDOlYaAh0sp1D3A</t>
  </si>
  <si>
    <t xml:space="preserve">Nothing in two ERGO India searches supports it; bucket logic agreed.</t>
  </si>
  <si>
    <t xml:space="preserve">2: FY2025 performance indicators suggest continued scale-up</t>
  </si>
  <si>
    <t xml:space="preserve">Entity financial filings are not evidence of finance work being done in India. Misreads the Finance bucket. Tofler is a registry mirror, not a trend source.</t>
  </si>
  <si>
    <t xml:space="preserve">https://www.tofler.in/ergo-technology-and-services-private-limited/company/U72900MH2022FTC375558</t>
  </si>
  <si>
    <t xml:space="preserve">1: India supports technology delivery across the insurance value chain</t>
  </si>
  <si>
    <t xml:space="preserve">ET&amp;S is a pure IT/software hub; 'technology delivery across the value chain' is a Technology item, not insurance operations.</t>
  </si>
  <si>
    <t xml:space="preserve">https://www.ergo.com/en/microsite/ergo-technology-services-india/expertise</t>
  </si>
  <si>
    <t xml:space="preserve">2: ET&amp;S India is supporting ERGO's broader digital-insurance transformation</t>
  </si>
  <si>
    <t xml:space="preserve">Same generic microsite text; duplicative of O1.</t>
  </si>
  <si>
    <t xml:space="preserve">https://www.ergo.com/en/microsite/ergo-technology-services-india</t>
  </si>
  <si>
    <t xml:space="preserve">3: ET&amp;S contributes to customer-centric insurance product development</t>
  </si>
  <si>
    <t xml:space="preserve">Microsite extract describes IT solutions 'across all insurance sectors', not product development. No insurance-operations (claims/UW/actuarial) work evidenced in India.</t>
  </si>
  <si>
    <t xml:space="preserve">Primary: Technology (offshore software/IT development centre for ERGO Group, ~557 staff; the only 2025-26 trend is Group-level: Sep 2026 Chief AI Officer appointment and EUR 130m GenAI programme, not India-specific); Insurance Operations: none (existing Q bullets are technology items); Finance: none (existing P bullets are registry filings); Internal Audit: none public.</t>
  </si>
  <si>
    <t xml:space="preserve">34</t>
  </si>
  <si>
    <t xml:space="preserve">1.The Hartford expanded its technology footprint by opening a new Columbus tech hub focused on AI, cloud architecture and technology transformation, while reaffirming Hyderabad, India as part of its global technology ecosystem.(Jan'26)</t>
  </si>
  <si>
    <t xml:space="preserve">https://ir.thehartford.com/news/news-details/2026/The-Hartford-Expands-Technology-Team-With-New-Office-In-Columbus-Ohio/default.aspx</t>
  </si>
  <si>
    <t xml:space="preserve">Researcher marked it 'unsupported' because it did not surface; audit search 8 found the company newsroom release and carriermanagement/dig-in coverage (Jan 2026), so the team bullet is factually correct. Verdict changed to confirmed (low India relevance).</t>
  </si>
  <si>
    <t xml:space="preserve">2.The Hartford highlighted AI as a strategic underwriting and risk-management capability, emphasizing stronger data quality, testing, governance and cross-functional collaboration.</t>
  </si>
  <si>
    <t xml:space="preserve">Group thought-leadership research page, not India GCC news. Not a Hyderabad trend.</t>
  </si>
  <si>
    <t xml:space="preserve">https://www.thehartford.com/insights-center/research-studies/artificial-intelligence-collaboration</t>
  </si>
  <si>
    <t xml:space="preserve">Relevance logic agreed (group research page); page existence not separately searched within budget.</t>
  </si>
  <si>
    <t xml:space="preserve">(Sep 2025) The Hartford announced (12 Sep 2025) and opened (30 Sep 2025) its first India technology centre in Hyderabad's Financial District, positioned as a hub for engineering excellence focused on AI, digital transformation and advanced technology, complementing US hubs in Hartford, Chicago and Charlotte; Capgemini was engaged to support set-up and day-one operations.</t>
  </si>
  <si>
    <t xml:space="preserve">https://www.theweek.in/wire-updates/business/2025/09/12/dcm46-the-hartford.html</t>
  </si>
  <si>
    <t xml:space="preserve">Added the 30 Sep 2025 grand opening (The Week wire 1 Oct 2025; cxotoday; outlookbusiness). Extract and bucket confirmed.</t>
  </si>
  <si>
    <t xml:space="preserve">(Feb 2026) Telangana IT Minister D. Sridhar Babu formally inaugurated The Hartford's Global Technology Centre at Kalyani Trident, Financial District, Hyderabad on 23 Feb 2026; the facility (reported at up to 258,000 sq ft; other reports say 1.6 lakh sq ft) is to scale to ~1,200 employees working on AI, digital platforms and cloud engineering.</t>
  </si>
  <si>
    <t xml:space="preserve">https://www.siasat.com/us-insurance-major-the-hartford-opens-global-tech-centre-in-hyderabad-3374371/</t>
  </si>
  <si>
    <t xml:space="preserve">Date 23 Feb confirmed (Siasat); 160,000 sq ft figure confirmed in carriermanagement/angelone coverage. Added exact date.</t>
  </si>
  <si>
    <t xml:space="preserve">(May 2026) Pritam Banerjee joined The Hartford India (Hyderabad) as Senior Director to lead AI initiatives across multiple lines of business, with a mandate to modernise platforms and deliver business value at scale.</t>
  </si>
  <si>
    <t xml:space="preserve">https://hrtoday.in/pritam-banerjee-joins-the-hartford-india-as-senior-director-to-lead-ai-initiatives-across-business-lines/</t>
  </si>
  <si>
    <t xml:space="preserve">hrtoday extract confirms role and May 2026.</t>
  </si>
  <si>
    <t xml:space="preserve">1.The Hartford reported strong Q2 2026 results with $1.3B net income, premium growth across key businesses and continued investment in technology, data and AI.(Jul'26)</t>
  </si>
  <si>
    <t xml:space="preserve">Group earnings release; the Finance bucket is about finance functions performed in India, not parent P&amp;L.</t>
  </si>
  <si>
    <t xml:space="preserve">https://newsroom.thehartford.com/newsroom-home/news-releases/news-release-details/2026/The-Hartford-Reports-Strong-Second-Quarter-2026-Financial-Results/default.aspx</t>
  </si>
  <si>
    <t xml:space="preserve">2.The Hartford continues to focus on reserve development, catastrophe management and specialty-insurance risk performance, but no major new public reinsurance-operating model announcement was identified.(Jul'26)</t>
  </si>
  <si>
    <t xml:space="preserve">Self-described non-finding; group-level; not an India finance item. Delete.</t>
  </si>
  <si>
    <t xml:space="preserve">3.The Hartford's Business Insurance segment delivered 5% written-premium growth in Q2 2026, supported by strong underwriting performance across Small Business, Middle &amp; Large Business and Global Specialty lines (Jul'26)</t>
  </si>
  <si>
    <t xml:space="preserve">Group segment results, not India finance function. Delete.</t>
  </si>
  <si>
    <t xml:space="preserve">1.The Hartford To Acquire Equitable’s Employee Benefits Business (Au'26)
Through the Equitable acquisition, The Hartford will gain unified digital platforms and real-time API integrations designed to improve customer, employer and broker experiences.</t>
  </si>
  <si>
    <t xml:space="preserve">Group M&amp;A in the US; no India operations link stated. Not an India insurance-operations trend.</t>
  </si>
  <si>
    <t xml:space="preserve">https://ir.thehartford.com/news/news-details/2026/The-Hartford-To-Acquire-Equitables-Employee-Benefits-Business/default.aspx</t>
  </si>
  <si>
    <t xml:space="preserve">Relevance logic agreed.</t>
  </si>
  <si>
    <t xml:space="preserve">(2025-26) The Hyderabad centre is an engineering hub rather than a processing centre, but its stated focus areas include AI development for underwriting and claims processing, customer-facing insurance platform engineering and fraud-detection analytics (trade-source characterisation).</t>
  </si>
  <si>
    <t xml:space="preserve">https://themachinemaker.com/news/the-hartford-opens-technology-center-in-hyderabad-to-advance-innovation-and-ai-capabilities/</t>
  </si>
  <si>
    <t xml:space="preserve">URL surfaced in searches 5 and 6 but the quoted phrase was not returned in any extract; could not confirm within budget. Treat as weak.</t>
  </si>
  <si>
    <t xml:space="preserve">Nothing in four audit searches on the Hyderabad centre.</t>
  </si>
  <si>
    <t xml:space="preserve">Primary: Technology (AI, digital platforms, cloud engineering; Sep 2025 announce/open, Feb 2026 inauguration, ~1,200 headcount target, May 2026 AI leadership hire; Jan 2026 Columbus hub release reaffirms Hyderabad in the global tech network); Secondary: Insurance Operations only via AI for underwriting/claims tooling (unverified trade source); Finance: none public (existing P bullets are group earnings); Internal Audit: none public.</t>
  </si>
  <si>
    <t xml:space="preserve">35</t>
  </si>
  <si>
    <t xml:space="preserve">1.Cytora Partnership update
Zurich expanded its AI-powered underwriting platform with Cytora, reducing manual underwriting triage time by 80% and increasing straight-through processing from 10% to 95%.(May'26)</t>
  </si>
  <si>
    <t xml:space="preserve">Group-level vendor partnership (fintech.global); no India/Hyderabad link stated. Not an India GCC trend. Replace with the Apr 2026 GCC launch and leadership hires.</t>
  </si>
  <si>
    <t xml:space="preserve">https://fintech.global/2026/05/18/zurich-expands-agentic-ai-rollout-with-cytora-partnership/</t>
  </si>
  <si>
    <t xml:space="preserve">Relevance logic agreed; no Hyderabad link in any GCC coverage found (searches 9-11).</t>
  </si>
  <si>
    <t xml:space="preserve">(Apr 2026) Zurich launched a Global Capability Center in Hyderabad (announced ~28 Apr 2026) to strengthen its global technology infrastructure and accelerate AI adoption; it will create 1,000+ jobs and recruit across cloud engineering, data &amp; AI, application development, cybersecurity and quality engineering.</t>
  </si>
  <si>
    <t xml:space="preserve">https://explorer.hub71.com/news/feed/zurich-insurance-launches-global-capability-center-in-hyderabad-to-advance-ai-and-tech-capabilities</t>
  </si>
  <si>
    <t xml:space="preserve">Extract matches; date corroborated by 2026-04-28 syndicated item and Reinsurance News / Digital Terminal coverage. Reinsurance News URL (https://www.reinsurancene.ws/zurich-appoints-amit-kalra-to-lead-new-global-capability-center-in-india/) is an acceptable alternative citation.</t>
  </si>
  <si>
    <t xml:space="preserve">(Jul 2026) Amit Kalra (ex-Swiss Re Head of Global Business Solutions, 23+ years in insurance/reinsurance) appointed Head of Zurich Capability Centers effective 1 July 2026, to shape the Group's GCC strategy and oversee the Hyderabad build-out.</t>
  </si>
  <si>
    <t xml:space="preserve">https://reinsurancene.ws/zurich-appoints-amit-kalra-to-lead-new-global-capability-center-in-india/</t>
  </si>
  <si>
    <t xml:space="preserve">Confirmed by Reinsurance News, Reinsurance Asia, hrtoday and Swiss Re profile page (search 10). Title appears as 'Head' or 'Global Head' across sources.</t>
  </si>
  <si>
    <t xml:space="preserve">1.Zurich Insurance Group reported record H1 2026 results with business operating profit of USD 4.8 billion and net income of USD 3.5 billion, driven by strong growth across P&amp;C, Life and Specialty businesses.(Aug'26)</t>
  </si>
  <si>
    <t xml:space="preserve">Group earnings release, not an India finance-function item.</t>
  </si>
  <si>
    <t xml:space="preserve">https://www.zurich.com/media/news-releases/2026/2026-0806-01</t>
  </si>
  <si>
    <t xml:space="preserve">(mid-2026) Ganesh Rao joined the Zurich India GCC (Hyderabad) as Chief Operating Officer with a mandate spanning GCC strategy, operations, finance, site management, vendor governance, risk and compliance, and procurement; he was previously Head of Shared Services and Chief Administrative Officer at Principal Financial Group (Apr 2024 to Apr 2026).</t>
  </si>
  <si>
    <t xml:space="preserve">https://www.cxodigitalpulse.com/?p=61973</t>
  </si>
  <si>
    <t xml:space="preserve">Extract matches (search 11). Exact joining month not given in the extract; Principal tenure ended Apr 2026 so 'mid-2026' is sound. Finance-bucket placement is site-level (COO remit over GCC finance/procurement), as flagged; it is not an F&amp;A delivery hub.</t>
  </si>
  <si>
    <t xml:space="preserve">1.Beazley Acquizition
Zurich completed the £8.1 billion acquisition of Beazley, creating one of the world's largest specialty insurance operations under Zurich Global Specialty.(Oct'26)</t>
  </si>
  <si>
    <t xml:space="preserve">https://beinsure.com/news/zurich-completes-8-1-bn-acquisition-of-lloyds-insurer-beazley/</t>
  </si>
  <si>
    <t xml:space="preserve">The acquisition of Beazley significantly expands Zurich's specialty-insurance footprint and Lloyd's market presence, strengthening capabilities in cyber, specialty and complex commercial risks.</t>
  </si>
  <si>
    <t xml:space="preserve">2.Zurich's GenAI-powered "Voice IQ" solution analyzes customer calls in real time to improve retention, service quality and personalized customer recommendations.</t>
  </si>
  <si>
    <t xml:space="preserve">Group AI showcase page; no evidence it is built or run from Hyderabad. If kept as context it is a Technology item, not Q.</t>
  </si>
  <si>
    <t xml:space="preserve">https://www.zurich.com/about-us/ai-at-zurich</t>
  </si>
  <si>
    <t xml:space="preserve">(Apr 2026) The Hyderabad centre is designed as a strategic extension of Zurich's operating model, not a back-office, taking end-to-end ownership across engineering, data and core business operations with AI-enabled ways of working embedded in delivery.</t>
  </si>
  <si>
    <t xml:space="preserve">https://digitalterminal.in/amp/story/tech-companies/zurich-insurance-group-launches-new-hyderabad-gcc-to-boost-ai-growth-appoints-amit-kalra-as-global-head</t>
  </si>
  <si>
    <t xml:space="preserve">will take end-to-end ownership across engineering, data, and core business operations while embedding AI-enabled workflows</t>
  </si>
  <si>
    <t xml:space="preserve">Primary: Technology (Apr 2026 Hyderabad GCC launch, 1,000+ roles in cloud/data-AI/cyber/app dev; Amit Kalra Head of Zurich Capability Centers from Jul 2026); Secondary: Insurance Operations (stated end-to-end ownership of core business operations, no specific lines yet); Finance: site-level only (COO Ganesh Rao's finance/procurement remit); Internal Audit: none public.</t>
  </si>
  <si>
    <t xml:space="preserve">36</t>
  </si>
  <si>
    <t xml:space="preserve">Carelon Global Solutions India LLP</t>
  </si>
  <si>
    <t xml:space="preserve">1.Carelon Global Solutions India is positioning GCCs as innovation-led enterprises focused on digital transformation, healthcare technology modernization and future-ready operating models.
https://www.carelonglobal.in/about-us/newsroom</t>
  </si>
  <si>
    <t xml:space="preserve">Generic newsroom landing URL with no dated item; the claim is marketing language. Replace with concrete items (GenAI/agentic hiring, Gurugram tech scale).</t>
  </si>
  <si>
    <t xml:space="preserve">No dated newsroom item surfaced in audit searches 12-14 or 20; agree to replace with concrete items.</t>
  </si>
  <si>
    <t xml:space="preserve">(2025-26, ongoing) Carelon Global Solutions India is actively hiring GenAI and agentic-AI engineering roles (Senior Software Engineer III GenAI/AI-ML building LLM, RAG and agent-based systems; Tech Lead III Generative AI) in Bengaluru and Gurugram, consistent with its AI/ML and data-analytics charter (job-board evidence, weaker).</t>
  </si>
  <si>
    <t xml:space="preserve">https://www.apna.co/job/bengaluru/gen-ai-tech-lead-gr-39784-71565-jr194894-1815241818</t>
  </si>
  <si>
    <t xml:space="preserve">The weekday.works URL (wkdy44i6xr) did not surface in audit; apna.co listings for the same roles did (search 12), so URL and evidence swapped to a listing that appeared. Content confirmed.</t>
  </si>
  <si>
    <t xml:space="preserve">(current) Elevance Health's Gurugram centre (est. 2014) houses ~8,000 technology and analytics professionals building claims technology, pharmacy-care and behavioral-health platforms and care-management analytics for 46 million US members; Elevance India targets 10,000 employees by 2027.</t>
  </si>
  <si>
    <t xml:space="preserve">https://www.businessofgcc.com/gcc-data/companies/elevance-health-india</t>
  </si>
  <si>
    <t xml:space="preserve">Extract confirmed (search 13); added the 10,000-by-2027 target from the same page.</t>
  </si>
  <si>
    <t xml:space="preserve">(current) Pawan Sachdeva, Managing Director - Technology, leads digital transformation and data &amp; analytics for Carelon Global Solutions India (profile from ET GCC Summit).</t>
  </si>
  <si>
    <t xml:space="preserve">https://gcc.et-edge.com/2024-hyderabad/?p=11625</t>
  </si>
  <si>
    <t xml:space="preserve">Pawan Sachdeva is the Managing Director - Technology at Carelon Global Solutions India</t>
  </si>
  <si>
    <t xml:space="preserve">1.Carelon continues expanding healthcare operations across claims, provider services, clinical operations, risk adjustment and BPaaS delivery.
https://www.carelon.com/capabilities/operations-and-digital-transformation
2.Carelon uses automation and analytics to modernize end-to-end claims operations </t>
  </si>
  <si>
    <t xml:space="preserve">carelon.com is the US parent services-arm capabilities page, not India-specific and undated. India BPaaS/claims-technology support is supported instead by anthem.com CGS about-us and businessofgcc.</t>
  </si>
  <si>
    <t xml:space="preserve">https://www.carelon.com/capabilities/operations-and-digital-transformation
3.Pawan Sachdeva promoted to Managing Director &amp; Head of Technology - India, responsible for healthcare technology, digital transformation and innovation across India operations. 
https://techdisruptormedia.com/leadership-movement/pawan-sachdeva-has-been-promoted-to-managing-director-and-head-of-technology-at-carelon-global-solutions-india/</t>
  </si>
  <si>
    <t xml:space="preserve">Agreed; India-specific evidence found instead (businessofgcc claims technology; fresheroffcampus Hyderabad Benefits Analyst drive).</t>
  </si>
  <si>
    <t xml:space="preserve">(current) From Bengaluru, Hyderabad and Gurugram, Carelon Global Solutions (ex-Legato, part of Carelon since Jan 2023) delivers Business-Process-as-a-Service, IT application support, automation and data analytics for Elevance Health's plans; 2026 off-campus drives are hiring junior Benefits Analysts (US healthcare operations) in Hyderabad.</t>
  </si>
  <si>
    <t xml:space="preserve">https://www.anthem.com/content/carelon/public-cgs/us/en/home-in/about-us.html</t>
  </si>
  <si>
    <t xml:space="preserve">anthem.com CGS about-us URL surfaced (search 14); the 2026 Hyderabad Benefits Analyst Junior drive confirmed by fresheroffcampus.com and apna.co (search 20). Supporting URL for the hiring claim: https://www.fresheroffcampus.com/carelon-global-solutions-off-campus</t>
  </si>
  <si>
    <t xml:space="preserve">No India audit/SOX item in audit searches.</t>
  </si>
  <si>
    <t xml:space="preserve">Primary: Technology (GenAI/agentic AI hiring, ~8,000 Gurugram tech/analytics staff with a 10,000-by-2027 target, India tech MD); Secondary: Insurance Operations (health-plan BPaaS, claims technology, Hyderabad benefits-analyst hiring); Finance: none public; Internal Audit: none public in India. Note: US health-insurance GCC; 2025-26 news flow is thin and mostly job-board level.</t>
  </si>
  <si>
    <t xml:space="preserve">37</t>
  </si>
  <si>
    <t xml:space="preserve">Intact India GCC (Gurugram)</t>
  </si>
  <si>
    <t xml:space="preserve">1.Intact continues expanding AI, analytics and automation capabilities through its Intact Lab, with over 500-600 AI models supporting pricing, underwriting, claims and fraud detection.</t>
  </si>
  <si>
    <t xml:space="preserve">Group-level (Canada) capability from a weak aggregator; no India link and did not surface in search. Replace with the India-branch leadership page item on delivery for the UK&amp;I CIO organisation.</t>
  </si>
  <si>
    <t xml:space="preserve">https://www.insurebench.com/insurers/intact</t>
  </si>
  <si>
    <t xml:space="preserve">Did not surface in audit searches either; relevance logic agreed.</t>
  </si>
  <si>
    <t xml:space="preserve">(current) Intact India's leadership page shows the Gurugram centre (DLF Cyber City) delivering technology for the UK &amp; International CIO organisation, with a dedicated head (Neha) leading delivery and operations from India to translate UK technology strategy into execution 'through scaled India capability'.</t>
  </si>
  <si>
    <t xml:space="preserve">https://www.intactinsurance.co.uk/india-branch/leadership</t>
  </si>
  <si>
    <t xml:space="preserve">The leadership page surfaced (search 16) and its actuarial profiles were confirmed, but the CIO-organisation quote was not returned in the extract; could not confirm within budget. Company page, plausible.</t>
  </si>
  <si>
    <t xml:space="preserve">1.Intact appointed Sameer Madan as CFTO for India GCC to oversee finance, technology, reporting and operations functions.(Mar'26)</t>
  </si>
  <si>
    <t xml:space="preserve">https://themainstream.co.in/intact-india-welcomes-sameer-madan/</t>
  </si>
  <si>
    <t xml:space="preserve">(Mar 2026) Sameer Madan joined Intact India (Gurugram, on-site) as Chief of Finance, Technology and Operations for the India GCC, to strengthen finance, technology and operational frameworks and governance as the GCC's scope expands; he spent ~19 years at Agilent (latterly Director, Country Controllership, leading an India-based team for US GAAP and local compliance reporting for Agilent subsidiaries worldwide) and was Principal Advisor at Fractal on finance-oriented AI solutions. Company page records his start as Feb 2026 and describes him as an experienced CFO and India site leader.</t>
  </si>
  <si>
    <t xml:space="preserve">https://hrtoday.in/sameer-madan-joins-intact-india-as-chief-of-finance-technology-and-operations-for-india-gcc/</t>
  </si>
  <si>
    <t xml:space="preserve">Confirmed by hrtoday and cxodigitalpulse (?p=46685) in search 15; expanded background from the extract. Month not stated in extract; researcher's Mar 2026 (hrtoday) vs Feb 2026 (company page) discrepancy retained. Role also spans Technology/Operations, so cross-reference from O is reasonable.</t>
  </si>
  <si>
    <t xml:space="preserve">1.Artificial intelligence has moved from experimentation to execution at Intact Insurance. And in specialty lines – where underwriting is bespoke and risk profiles are complex – the insurer is deliberately embedding AI without diluting human judgment.(Mar'26)
https://www.insurancebusinessmag.com/us/</t>
  </si>
  <si>
    <t xml:space="preserve">Group/US specialty-lines article; no India link. Not an India insurance-operations trend.</t>
  </si>
  <si>
    <t xml:space="preserve">2.The technology investment Intact Insurance has been building across its global specialty lines division now has a dedicated executive at its head. The company has appointed Rory Meleniclis as chief information officer for its global specialty lines business. He will oversee cloud modernization, co</t>
  </si>
  <si>
    <t xml:space="preserve">A CIO appointment (announced Jun 2026; ex-RBC; remit is core systems, cloud and AI for global specialty lines) is a Technology item; it is group-level with no India mandate stated, so keep only as context and add the date, which the team bullet lacks.</t>
  </si>
  <si>
    <t xml:space="preserve">https://www.insurancebusinessmag.com/us/news/technology/intact-brings-in-banking-technology-veteran-to-lead-specialty-lines-ai-push-580637.aspx</t>
  </si>
  <si>
    <t xml:space="preserve">Confirmed via Insurance Journal (29 Jun 2026), Insurance Business Mag and Intact Specialty press release; bucket move to O agreed; added date and remit to the note.</t>
  </si>
  <si>
    <t xml:space="preserve">(Jan 2024; current set-up) Shobhit Manu Tyagi is Head of Capital at Intact India, running capital modelling and regulatory reporting for the group from Gurugram; Mayank Vaish (Head of Reserving since Jan 2022) leads a reserving team supporting UK, Ireland and Canada, evidencing an actuarial/capital hub in India.</t>
  </si>
  <si>
    <t xml:space="preserve">Head of Capital at Intact India in January 2024, responsible for capital modelling, regulatory reports ... reserving team that supports work across the UK, Ireland and Canada</t>
  </si>
  <si>
    <t xml:space="preserve">(Apr 2025, completed Oct 2025) Intact announced on 14 Apr 2025 that the RSA, NIG and FarmWeb brands would be retired and rebranded as Intact Insurance by end-2025, which took effect in Oct 2025; the Gurugram centre accordingly operates as Intact India serving Intact's UK&amp;I and Canadian businesses. Context item (corporate rebrand), not an operations trend in itself.</t>
  </si>
  <si>
    <t xml:space="preserve">https://www.theinsurer.com/ti/news/rsa-officially-rebrands-to-intact-insurance-eyes-specialty-lines-growth-2025-10-06</t>
  </si>
  <si>
    <t xml:space="preserve">Date corrected: announcement 14 Apr 2025 (insurance-edge, nig.com), completion Oct 2025 (The Insurer, 6 Oct 2025). URL swapped from ssfglobal.in (weak aggregator) to The Insurer. Flagged as context only; bucket relevance is low, keep in Q only as background to the actuarial-hub item.</t>
  </si>
  <si>
    <t xml:space="preserve">Audit search 21 (Intact India GCC Gurugram 2026 internal audit controls finance actuarial) returned no Intact items.</t>
  </si>
  <si>
    <t xml:space="preserve">Primary: Finance (CFTO Sameer Madan, Feb/Mar 2026, ex-Agilent controllership, finance-and-technology governance) and Insurance Operations (actuarial capital-modelling and reserving hub for UK, Ireland, Canada); Secondary: Technology (delivery for UK&amp;I CIO organisation, unverified quote; Jun 2026 group CIO hire is context only); Internal Audit: none public. Existing O/Q bullets are group-level, not India.</t>
  </si>
  <si>
    <t xml:space="preserve">38</t>
  </si>
  <si>
    <t xml:space="preserve">PFI India Innovation Centre (GCC of Prudential Financial, Inc., USA)</t>
  </si>
  <si>
    <t xml:space="preserve">1.The new facility, located in Gurugram's DLF Cyber City, will serve as the base for its growing India ops as the co. builds capabilities across AI,enterprise security,tech &amp; global transformation</t>
  </si>
  <si>
    <t xml:space="preserve">UNI (22 Sep 2026) independently confirms opening at Gurugram Cyber City under Haryana GCC policy, inaugurated by Minister Rao Narbir Singh. The AI/enterprise-security/global-transformation function list was not re-surfaced; ET GCC remains the sole source for it.</t>
  </si>
  <si>
    <t xml:space="preserve">Read more at:
https://gcc.economictimes.indiatimes.com/news/workplace-transformation/pfi-innovation-centre-india-opens-new-gurugram-office/133498064</t>
  </si>
  <si>
    <t xml:space="preserve">2.Prudential Financial reported over 260 AI use cases and more than 2,300 employees using agentic AI, including applications in underwriting, claims, operations and annuity pricing.
https://news.prudential.com/us-en/latest-news/prudential-news/2026/q2/AI-at-Prudential-Amplifying-human-potential-to-b</t>
  </si>
  <si>
    <t xml:space="preserve">Parent-level (US) AI statistics, not India-centre activity; URL did not surface in search. Keep only if re-verified and relabelled as parent context. Also two bullets are numbered '2'.</t>
  </si>
  <si>
    <t xml:space="preserve">Audit search on Prudential AI (Computer Weekly, TechTarget, Business Wire/Pace) confirms a parent-level agentic-AI programme but none of the extracts contain '260 use cases' or '2,300 employees'; nothing ties it to the India centre. Unsupported stands.</t>
  </si>
  <si>
    <t xml:space="preserve">(Sep 2026) Prudential Financial Inc. opened its first India innovation centre, PFI Innovation Centre India, at Gurugram Cyber City under Haryana's GCC policy; inaugurated by Haryana Industries Minister Rao Narbir Singh. The centre is positioned as a technology/innovation hub.</t>
  </si>
  <si>
    <t xml:space="preserve">https://www.uniindia.com/business-economy/business-haryana-pfi-innovation-centre/188639</t>
  </si>
  <si>
    <t xml:space="preserve">UNI article dated Tuesday 22 Sep 2026 confirms opening 'on Monday' (21 Sep 2026); month/year correct; domain credible (UNI wire).</t>
  </si>
  <si>
    <t xml:space="preserve">(2026) PFI Innovation Centre India is actively listing roles on Indian job boards, indicating hiring ramp-up at the new Gurugram centre.</t>
  </si>
  <si>
    <t xml:space="preserve">https://jobs.weekday.works/wkdyw7sa88</t>
  </si>
  <si>
    <t xml:space="preserve">weekday.works listing titled 'PFI Innovation Centre India' surfaced in audit search; weak (job aggregator) and undated, but consistent with hiring ramp-up. Keep as low-weight.</t>
  </si>
  <si>
    <t xml:space="preserve">1.Prudential Financial reported Q2 2026 adjusted operating income of $1.438 billion and assets under management of $1.642 trillion.
https://investor.prudential.com/news/detail/2634/prudential-financial-inc-announces-second-quarter-2026-results</t>
  </si>
  <si>
    <t xml:space="preserve">Parent quarterly earnings are not a Finance-function focus area of the India centre; remove from P.</t>
  </si>
  <si>
    <t xml:space="preserve">Bucket logic agreed: parent quarterly earnings are not an India finance-function item.</t>
  </si>
  <si>
    <t xml:space="preserve">2.Upasna Nischal appointed Head of HR, PFI Innovation Centre India</t>
  </si>
  <si>
    <t xml:space="preserve">HR leadership appointment is not Finance; belongs in Key Trends (col S) or general leadership, not O/P/Q/R. ET GCC URL plausible but not surfaced.</t>
  </si>
  <si>
    <t xml:space="preserve">https://gcc.economictimes.indiatimes.com/news/talent-strategy/empowering-talent-pfi-innovation-centre-india-focuses-on-upskilling-for-global-impact/131738777</t>
  </si>
  <si>
    <t xml:space="preserve">Audit search found Upasna Nischal only as Head of HR India / India site head at Fidelity International (hrkatha, SHRM conference bio); no extract links her to PFI Innovation Centre India. Verdict amended from wrong_bucket to unsupported (and in any case an HR appointment is not Finance - if later verified it belongs in col S).</t>
  </si>
  <si>
    <t xml:space="preserve">1.The India centre is intended to support transformation across Prudential's businesses spanning life insurance, retirement, annuities and asset management.
https://www.pfi.com/india</t>
  </si>
  <si>
    <t xml:space="preserve">pfi.com/india page not surfaced in search; generic statement of business lines served, not an insurance-operations capability. Weak.</t>
  </si>
  <si>
    <t xml:space="preserve">No India coverage (UNI, weekday listing) mentions business lines or insurance-operations work; pfi.com/india not surfaced. Unsupported stands.</t>
  </si>
  <si>
    <t xml:space="preserve">No internal audit/SOX/ICFR mention in any PFI India coverage surfaced across audit searches.</t>
  </si>
  <si>
    <t xml:space="preserve">Primary: Technology (new Gurugram innovation centre opened Sep 2026 under Haryana GCC policy; AI/enterprise-security remit per ET GCC only). Finance: none public (team's entries are parent earnings and an unverified HR hire). Insurance Operations: none verified. Internal Audit: none public. Centre is weeks old; little function-level news yet.</t>
  </si>
  <si>
    <t xml:space="preserve">39</t>
  </si>
  <si>
    <t xml:space="preserve">1.Assurant continues expanding AI, automation, analytics and digital protection capabilities across connected devices, automotive and home-protection businesses.
https://www.ainvest.com/news/assurant-leverages-technology-power-long-term-growth-2605-26/</t>
  </si>
  <si>
    <t xml:space="preserve">ainvest.com is an AI-generated aggregator (weak); claim is parent-level, not India GCC. Not surfaced in search. Replace with careers-page evidence of India data/AI roles.</t>
  </si>
  <si>
    <t xml:space="preserve">No ainvest or India-specific AI/automation announcement surfaced; India technology evidence is careers-page only (replacement bullets below are supported).</t>
  </si>
  <si>
    <t xml:space="preserve">2.Assurant's 2026 consumer study found India among the most AI-optimistic markets, with strong demand for AI-enabled protection, support and customer experiences.</t>
  </si>
  <si>
    <t xml:space="preserve">A consumer-sentiment survey about the Indian market is not a GCC technology focus area; remove (or move to Key Trends as market context).</t>
  </si>
  <si>
    <t xml:space="preserve">https://smartsolutionsworld.com/india-leads-with-high-technology-optimism-as-demand-for-ai-driven-experiences-accelerates-assurant/</t>
  </si>
  <si>
    <t xml:space="preserve">Bucket logic agreed: a consumer-sentiment survey about India is market context (col S), not a GCC technology focus area.</t>
  </si>
  <si>
    <t xml:space="preserve">(2025-2026) Assurant's India GCC careers page positions India as a GCC supporting global operations across technology, analytics and insurance, with roles in Hyderabad, Bengaluru, Chennai, Gurgaon and Mumbai.</t>
  </si>
  <si>
    <t xml:space="preserve">https://jobs.assurant.com/locations/india/</t>
  </si>
  <si>
    <t xml:space="preserve">jobs.assurant.com/locations/india extract matches the quote verbatim; company source. Undated page, '2025-2026' labelling acceptable.</t>
  </si>
  <si>
    <t xml:space="preserve">(2026) Active India hiring for data engineering supporting ML/AI and contact-centre/digital-interaction analytics (Hyderabad, Bengaluru), plus data-science roles (Associate Technical Scientist) refreshing ML models.</t>
  </si>
  <si>
    <t xml:space="preserve">https://jobs.weekday.works/data-engineer-at-assurant-4405571676</t>
  </si>
  <si>
    <t xml:space="preserve">weekday.works Data Engineer (Hyderabad) extract matches; Senior Data Engineer for contact-centre &amp; digital-interaction analytics (Hyderabad/Bengaluru) confirmed via nodeflair listing. Trade/aggregator sources; roles are undated so '(2026)' is an inference from listing recency.</t>
  </si>
  <si>
    <t xml:space="preserve">(2026) Assurant India data-science hiring: Associate Technical Scientist roles (remote, Bengaluru/Chennai/Hyderabad) to apply ML tools and refresh existing ML models.</t>
  </si>
  <si>
    <t xml:space="preserve">https://builtinbengaluru.in/job/associate-technical-scientist/4134740</t>
  </si>
  <si>
    <t xml:space="preserve">builtinbengaluru.in Associate Technical Scientist listing surfaced in two audit searches (quote text itself not re-extracted). Keep, low weight.</t>
  </si>
  <si>
    <t xml:space="preserve">1.Assurant increased its FY2026 outlook after delivering record Q2 2026 financial results and continued investment in growth capabilities.</t>
  </si>
  <si>
    <t xml:space="preserve">Parent earnings/outlook is not an India Finance-function item; remove from P.</t>
  </si>
  <si>
    <t xml:space="preserve">https://www.assurant.com/news-insights/news_releases/assurant-second-quarter-2026-financial-results</t>
  </si>
  <si>
    <t xml:space="preserve">Bucket logic agreed: parent earnings/outlook is not an India finance-function item.</t>
  </si>
  <si>
    <t xml:space="preserve">(2025-2026) Assurant's India careers page lists finance among the functions staffed at the India GCC (alongside technology, data, HR and operations); a Lead Analyst (accounting/Power BI) role is advertised in Hyderabad.</t>
  </si>
  <si>
    <t xml:space="preserve">Careers content confirms finance professionals are hired in India ('Roles are available for software engineers, data specialists, finance professionals'); a Lead Analyst (Excel/Power BI/Accounting) listing in Hyderabad surfaced on builtinhyderabad.in. Finance remains limited (entity/transactional roles, no finance-hub announcement).</t>
  </si>
  <si>
    <t xml:space="preserve">1.Assurant's global leadership reorganization combined operations and IT under the Chief Operating Officer to improve operational efficiency and technology execution.(Sep'25)</t>
  </si>
  <si>
    <t xml:space="preserve">Parent (US) executive reorganisation, not India operations; marketscreener URL not surfaced. Weak relevance to India GCC.</t>
  </si>
  <si>
    <t xml:space="preserve">https://in.marketscreener.com/news/assurant-inc-announces-executive-appointments-effective-september-15-2025-ce7c51dade80f325</t>
  </si>
  <si>
    <t xml:space="preserve">The reorganisation itself IS supported: Sep 2025 Assurant appointed Mike Campbell COO with responsibility for Global Operations and IT (SEC DEF 14A FY2026; Insurance Business Mag; StreetInsider). But it is a parent-level US executive change, not India insurance-operations activity. Verdict amended from unsupported to wrong_bucket -&gt; col S (parent context), with a credible URL: https://www.insurancebusinessmag.com/us/news/risk-management/assurant-reorganizes-leadership-lineup-operating-structure-116263.aspx</t>
  </si>
  <si>
    <t xml:space="preserve">2.Assurant is deploying AI-enabled service platforms, digital claims processing and personalized customer-support experiences across its connected-living businesses.
https://www.ainvest.com/news/assurant-leverages-technology-power-long-term-growth-2605-26/
3.India leadership now includes executives </t>
  </si>
  <si>
    <t xml:space="preserve">Same weak ainvest source; parent-level, not India.</t>
  </si>
  <si>
    <t xml:space="preserve">https://biztechherald.com/harini-kannan-appointed-as-country-head-india-at-assurant/</t>
  </si>
  <si>
    <t xml:space="preserve">Same weak ainvest source; nothing India-specific surfaced on AI service platforms/digital claims.</t>
  </si>
  <si>
    <t xml:space="preserve">(2025-2026) Assurant describes its India GCC as a strategic talent hub with growing opportunities in claims, actuarial support and training, acting as an extension of global Assurant teams.</t>
  </si>
  <si>
    <t xml:space="preserve">https://jobs.assurant.com/en/india-build-your-future-in-a-technology-forward-workplace/</t>
  </si>
  <si>
    <t xml:space="preserve">Careers page extract matches verbatim.</t>
  </si>
  <si>
    <t xml:space="preserve">(Apr 2026) Harini Kannan (ex-HDFC ERGO) appointed Country Head - India at Assurant, as the company strengthens Auto and Consumer Living solutions in India alongside a growing GCC.</t>
  </si>
  <si>
    <t xml:space="preserve">https://hrtoday.in/harini-kannan-appointed-as-country-head-india-at-assurant/</t>
  </si>
  <si>
    <t xml:space="preserve">hrtoday.in extract matches; Apr 2026 confirmed. Note: a country-head appointment is primarily a leadership/market item; acceptable in Q only because the source ties it to Auto/Consumer Living solutions and the GCC.</t>
  </si>
  <si>
    <t xml:space="preserve">No internal audit/SOX roles or news for Assurant India surfaced.</t>
  </si>
  <si>
    <t xml:space="preserve">(2025) Assurant India certified Great Place to Work and recognised among Best Workplaces in Asia 2025 (entity: Assurant Warranty Solutions (India) Pvt Ltd).</t>
  </si>
  <si>
    <t xml:space="preserve">https://jobs.assurant.com/en/blog/latest-news/assurant-adds-the-uk-india-and-canada-to-great-place-to-work-list/</t>
  </si>
  <si>
    <t xml:space="preserve">Fact verified (Assurant Warranty Solutions (India) Pvt Ltd is GPTW-certified and in Best Workplaces in Asia 2025, announced 28 Aug 2025) but an employer-brand award is not an Insurance Operations focus area; move to Key Trends (col S). Evidence: 'Assurant Warranty Solutions (India) Private Limited is certified as a Great Place to Work and recognized among the Best Workplaces in Asia 2025' (greatplacetowork.in/great/company/assurant-india).</t>
  </si>
  <si>
    <t xml:space="preserve">Primary: Technology (data engineering, ML/AI, contact-centre &amp; digital analytics hiring in Hyderabad/Bengaluru; careers page frames GCC as technology/analytics/insurance); Secondary: Insurance Operations (claims, actuarial support per careers page; new Country Head Apr 2026); Finance: limited (finance roles advertised); Internal Audit: none public. Parent COO Ops+IT merger (Sep 2025) is context only.</t>
  </si>
  <si>
    <t xml:space="preserve">40</t>
  </si>
  <si>
    <t xml:space="preserve">1.Nationwide announced a $1.5 billion technology investment through 2028, including approximately $100 million annually for AI initiatives.</t>
  </si>
  <si>
    <t xml:space="preserve">Parent-level US investment; news.nationwide.com URL not surfaced in search. Plausible but not India-specific; label as parent context if retained.</t>
  </si>
  <si>
    <t xml:space="preserve">https://news.nationwide.com/nationwide-announces-15-billion-investment-to-accelerate-technology-ai/</t>
  </si>
  <si>
    <t xml:space="preserve">The $1.5bn-through-2028 investment (incl. ~$100m/yr for AI) is well supported by Fortune (29 Oct 2025), PropertyCasualty360 (4 Nov 2025) and Coverager, so 'unsupported' is wrong; but it is a parent-level US programme, not India GCC activity. Amended to wrong_bucket -&gt; col S (parent context) with URL https://www.fortune.com/2025/10/29/why-insurer-nationwide-is-investing-1-5-billion-through-2028-on-ai-and-other-tech-initiatives</t>
  </si>
  <si>
    <t xml:space="preserve">2.Nationwide is scaling AI across claims, customer service, underwriting and software engineering. It has already deployed several AI initiatives and identified multiple AI transformation programs.</t>
  </si>
  <si>
    <t xml:space="preserve">Parent-level AI programme (Insurance Business Mag); not India-centre activity, not surfaced.</t>
  </si>
  <si>
    <t xml:space="preserve">https://www.insurancebusinessmag.com/us/news/technology/nationwide-drives-ai-experimentation-and-flagship-underwriting-transformation-566584.aspx
3.Hyderabad GCC created to build engineering, digital, cybersecurity, AI, cloud, software engineering and business capabilities.
https://gcc.economictimes.indiatimes.com/news/workplace-transformation/nationwide-launches-first-international-global-capability-center-in-hyderabad/132263509</t>
  </si>
  <si>
    <t xml:space="preserve">Parent AI scaling across claims and customer service is supported by the same $1.5bn coverage ('scaling AI tools for customer service and claims'; 90% of employees to use AI by 2026). Not India-specific. Amended to wrong_bucket -&gt; col S; consolidate with O1/Q2/Q3 into one parent-context line.</t>
  </si>
  <si>
    <t xml:space="preserve">(Jul 2026) Nationwide opened its first international campus, Nationwide Global Services Center Pvt Ltd ('Nationwide India'), in Hyderabad, joining Columbus, Des Moines and Scottsdale; the centre supports engineering, digital and business capabilities within a global 24/7 operating model.</t>
  </si>
  <si>
    <t xml:space="preserve">https://www.uniindia.com/nationwide-opens-first-international-campus-in-hyderabad-to-expand-global-operations/business-economy/news/3902972.html</t>
  </si>
  <si>
    <t xml:space="preserve">UNI and Telangana Today (29 Jul 2026) confirm; quote matches. Note ssfglobal.in dates the launch 'June 2026' - tier-1 dating (late Jul 2026) retained.</t>
  </si>
  <si>
    <t xml:space="preserve">(Jul 2026) Vikas Jaswal appointed SVP &amp; Managing Director to lead the Hyderabad campus, overseeing operations, recruitment and capability development in India.</t>
  </si>
  <si>
    <t xml:space="preserve">https://telanganatoday.com/us-insurance-giant-nationwide-opens-global-services-centre-in-hyderabad</t>
  </si>
  <si>
    <t xml:space="preserve">Telangana Today extract matches verbatim; Jul 2026.</t>
  </si>
  <si>
    <t xml:space="preserve">(Jul 2026) The Hyderabad centre starts with about 60 employees and aims to grow past 100, positioned to accelerate innovation, decision-making and productivity across the organisation.</t>
  </si>
  <si>
    <t xml:space="preserve">https://www.newsbytesapp.com/news/business/nationwide-opens-1st-international-campus-in-hyderabad-to-speed-innovation/tldr</t>
  </si>
  <si>
    <t xml:space="preserve">NewsBytes extract matches ('started with 60 employees and aimed to grow past 100').</t>
  </si>
  <si>
    <t xml:space="preserve">(Jul 2026) Trade coverage describes the Hyderabad GCC as a captive engineering node focused on cloud infrastructure, data analytics, AI and cybersecurity (weaker source).</t>
  </si>
  <si>
    <t xml:space="preserve">https://ssfglobal.in/?p=41673</t>
  </si>
  <si>
    <t xml:space="preserve">ssfglobal.in extract matches (cloud, data analytics, AI, cybersecurity); cxodigitalpulse.com carries similar framing. Trade-grade; keep flagged weaker. ssfglobal dates it June 2026.</t>
  </si>
  <si>
    <t xml:space="preserve">1.Nationwide remains among the largest U.S. insurance and financial-services providers, reporting over $73 billion in premiums and sales according to ET GCC coverage. 
https://gcc.economictimes.indiatimes.com/news/workplace-transformation/nationwide-launches-global-capability-centre-in-hyderabad/131</t>
  </si>
  <si>
    <t xml:space="preserve">Parent premium/sales figures are not a Finance-function focus area of the India GCC; remove from P.</t>
  </si>
  <si>
    <t xml:space="preserve">Bucket logic agreed: parent premium/sales figures are not an India finance item.</t>
  </si>
  <si>
    <t xml:space="preserve">2.The company has appointed Vikas Jaswal as Senior Vice President and Managing Director of Nationwide India. He will oversee the Hyderabad operations, talent hiring and capability development while working with the company's global leadership teams.</t>
  </si>
  <si>
    <t xml:space="preserve">General GCC leadership appointment (confirmed by UNI), not Finance; keep once under Technology/Key Trends and delete the duplicate in Q5.</t>
  </si>
  <si>
    <t xml:space="preserve">Jaswal appointment confirmed (UNI, Telangana Today Jul 2026); general GCC leadership, not Finance. Agree move and de-duplicate.</t>
  </si>
  <si>
    <t xml:space="preserve">Read More:
https://www.moneycontrol.com/news/business/information-technology/us-insurer-nationwide-opens-first-india-gcc-in-hyderabad-13969286.html</t>
  </si>
  <si>
    <t xml:space="preserve">1.Nationwide is deploying AI-enabled underwriting tools that summarize submissions, identify risk-data gaps and improve underwriter productivity while keeping final decisions under human control</t>
  </si>
  <si>
    <t xml:space="preserve">Parent-level US underwriting AI; no evidence it is done from Hyderabad; URL not surfaced.</t>
  </si>
  <si>
    <t xml:space="preserve">https://www.insurancebusinessmag.com/us/news/technology/nationwide-drives-ai-experimentation-and-flagship-underwriting-transformation-566584.aspx</t>
  </si>
  <si>
    <t xml:space="preserve">No extract ties AI underwriting tools to Hyderabad; parent-level only.</t>
  </si>
  <si>
    <t xml:space="preserve">2.Nationwide has implemented AI-powered claims summarization and call-transcript technologies to improve claims handling efficiency.
https://www.insurebench.com/insurers/nationwide.</t>
  </si>
  <si>
    <t xml:space="preserve">insurebench.com is a low-credibility aggregator; parent-level; not surfaced.</t>
  </si>
  <si>
    <t xml:space="preserve">AI-powered claims summarization IS mentioned in credible parent coverage (Coverager/PropertyCasualty360 on the $1.5bn plan), so not strictly 'unsupported'; but parent-level, weak team URL (insurebench). Amended to wrong_bucket -&gt; col S parent context; replace URL with https://coverager.com/nationwide-to-invest-1-5b-to-accelerate-technology-and-ai-innovation/</t>
  </si>
  <si>
    <t xml:space="preserve">3.Nationwide's AI strategy includes customer-service modernization and increased use of AI tools to improve customer experiences and service delivery.
https://www.liveinsurancenews.com/nationwide-insurance-tech/8566764/</t>
  </si>
  <si>
    <t xml:space="preserve">liveinsurancenews.com is a weak trade blog; parent-level; not surfaced.</t>
  </si>
  <si>
    <t xml:space="preserve">Customer-service AI modernisation is supported in the same parent coverage; parent-level, weak team URL (liveinsurancenews). Amended to wrong_bucket -&gt; col S; consolidate with O1/O2/Q2.</t>
  </si>
  <si>
    <t xml:space="preserve">4.Hyderabad operations initially support Property &amp; Casualty Insurance, Life Insurance, Retirement Services, Annuities, Mutual Funds and Financial Services technology platforms.</t>
  </si>
  <si>
    <t xml:space="preserve">TOI extract did not surface; UNI/Telangana Today confirm only that the centre 'supports business functions' broadly. Plausible; retain only if TOI re-verified.</t>
  </si>
  <si>
    <t xml:space="preserve">https://timesofindia.indiatimes.com/city/hyderabad/nationwide-opens-first-campus-outside-us-in-hyderabad/articleshow/132271390.cms</t>
  </si>
  <si>
    <t xml:space="preserve">TOI extract not surfaced in audit either; ssfglobal lists Nationwide's product portfolio (auto, commercial, life, homeowners, retirement) at parent level only, not what Hyderabad supports. Unsupported stands.</t>
  </si>
  <si>
    <t xml:space="preserve">5.Vikas Jaswal was appointed Senior Vice President &amp; Managing Director, Nationwide India to lead the newly established Hyderabad GCC.
https://www.moneycontrol.com/news/business/information-technology/us-insurer-nationwide-opens-first-india-gcc-in-hyderabad-13969286.html</t>
  </si>
  <si>
    <t xml:space="preserve">Duplicate of P2; general leadership item, not insurance operations.</t>
  </si>
  <si>
    <t xml:space="preserve">Duplicate of P2; agree.</t>
  </si>
  <si>
    <t xml:space="preserve">No audit/SOX mention in any Nationwide India coverage.</t>
  </si>
  <si>
    <t xml:space="preserve">Primary: Technology (Hyderabad GCC opened Jul 2026 for engineering/digital capabilities, led by Vikas Jaswal; ~60 staff growing past 100; parent $1.5bn tech/AI plan to 2028 is context only). Insurance Operations: limited/unverified ('supports business functions'). Finance: none public. Internal Audit: none public.</t>
  </si>
  <si>
    <t xml:space="preserve">41</t>
  </si>
  <si>
    <t xml:space="preserve">1.Genworth India continues to operate as a capability center supporting technology solutions and customer-service operations for North America.
https://in.linkedin.com/showcase/genworthindia/</t>
  </si>
  <si>
    <t xml:space="preserve">LinkedIn showcase page not indexed in search; no dated public news on India technology work in the last two years. Plausible but unverified; no date given.</t>
  </si>
  <si>
    <t xml:space="preserve">Two audit searches ('Genworth India GCC Bengaluru', '"Genworth India" capability center ... AWS Connect') surfaced no Genworth India technology item; the only Genworth AWS Connect role found is in Lynchburg, VA. Unsupported stands.</t>
  </si>
  <si>
    <t xml:space="preserve">1.Genworth reported Q2 2026 adjusted operating income of $112 million and continued capital returns through share repurchases and Enact cash generation.
https://www.nasdaq.com/press-release/genworth-financial-announces-second-quarter-2026-results-2026-08-05</t>
  </si>
  <si>
    <t xml:space="preserve">Parent quarterly earnings are not an India Finance-function item; remove from P. Replace with India finance-entity role evidence (below).</t>
  </si>
  <si>
    <t xml:space="preserve">(2025-2026) Genworth advertises a Finance Lead for its India affiliate (GFIPL) to run the entity's finance and accounting processes under India and US GAAP, guiding the GNW India team on monthly/annual close (entity finance, not a global finance shared service).</t>
  </si>
  <si>
    <t xml:space="preserve">https://builtin.com/job/finance-lead/3082704</t>
  </si>
  <si>
    <t xml:space="preserve">builtin.com Finance Lead extract matches verbatim; role is remote-India, CA, India statutory/tax audits with an India TPA accounting team - confirms a small entity finance function, not a shared-service hub. Related listings (Associate Accountant, builtinbengaluru 3082701) surfaced but their extracts were not available.</t>
  </si>
  <si>
    <t xml:space="preserve">1.India GCC supports Operations, Finance and technology functions for Genworth North America.
https://in.linkedin.com/showcase/genworthindia/?original_referer=</t>
  </si>
  <si>
    <t xml:space="preserve">Same undated LinkedIn source, not surfaced; the only verifiable operations evidence is an older Genpact outsourcing relationship covering agent services, analytics/actuarial, F&amp;A and sourcing (2013, outdated).</t>
  </si>
  <si>
    <t xml:space="preserve">No India operations evidence surfaced in audit searches.</t>
  </si>
  <si>
    <t xml:space="preserve">India leadership specifically references strengthening governance frameworks and ICOFR (Internal Control over Financial Reporting) compliance readiness.(Linkedin official pg)</t>
  </si>
  <si>
    <t xml:space="preserve">No URL given and no search extract mentions ICOFR at Genworth India; the only ICOFR-adjacent evidence is a Finance Lead job requiring India and US GAAP compliance for the India affiliate (GFIPL).</t>
  </si>
  <si>
    <t xml:space="preserve">No ICOFR mention surfaced. Nearest evidence is the GFIPL Finance Lead job ('ensuring controls are properly executed and maintained' at entity close) - entity-level controls, not an ICFR/SOX hub.</t>
  </si>
  <si>
    <t xml:space="preserve">Weak public footprint. Finance: limited (India-entity finance lead role under US GAAP). Technology and Insurance Operations: claimed on LinkedIn but unverified and undated. Internal Audit: team's ICOFR claim unsupported. Entity may be small/low-profile; recommend direct verification.</t>
  </si>
  <si>
    <t xml:space="preserve">42</t>
  </si>
  <si>
    <t xml:space="preserve">1.Voya opened a new Hyderabad GCC in June 2026 to support technology, engineering, automation and analytics functions. The company reported more than 3,000 employees across India.</t>
  </si>
  <si>
    <t xml:space="preserve">https://gcc.economictimes.indiatimes.com/news/workplace-transformation/voya-financial-expands-presence-with-new-global-capability-center-in-hyderabad/131633042</t>
  </si>
  <si>
    <t xml:space="preserve">ssfglobal.in confirms Hyderabad GCC at Raheja Mindspace IT Park announced 16 Jun 2026, &gt;3,000 India workforce, led by Sharada Nandakumar (President &amp; CEO, Voya India). The 'technology, engineering, automation' wording was not in the extract but is consistent with Voya India's stated remit.</t>
  </si>
  <si>
    <t xml:space="preserve">2.Voya continues enterprise-wide AI investments supporting customer service, claims processing, retirement operations and employee productivity. AI-enabled platforms handle millions of customer interactions annually.</t>
  </si>
  <si>
    <t xml:space="preserve">publicnow.com is a press-release mirror; claim is parent-level, not India-specific, and not surfaced in search.</t>
  </si>
  <si>
    <t xml:space="preserve">https://www.publicnow.com/view/9689D369FF98548D90CF66DB8F85DD57CDC20933</t>
  </si>
  <si>
    <t xml:space="preserve">Not reached within budget (parent-level publicnow claim; no Voya India search surfaced it).</t>
  </si>
  <si>
    <t xml:space="preserve">3.Voya deployed AI-enabled onboarding and API connectivity solutions to modernize retirement-plan onboarding and improve operational efficiency.</t>
  </si>
  <si>
    <t xml:space="preserve">Parent/US partnership with SinglepointAI; no India link shown; URL not surfaced.</t>
  </si>
  <si>
    <t xml:space="preserve">https://investors.voya.com/news/news-details/2026/Voya-Financial-and-SinglepointAI-advance-retirement-plan-onboarding-through-AI-enhanced-technology-and-data-connectivity/default.aspx</t>
  </si>
  <si>
    <t xml:space="preserve">Not reached within budget.</t>
  </si>
  <si>
    <t xml:space="preserve">(Jun 2026) Voya Financial opened a new GCC in Hyderabad at Raheja Mindspace IT Park (announced 16 Jun 2026) alongside its Bengaluru hub, taking its India workforce past 3,000; led by Sharada Nandakumar, President &amp; CEO of Voya India, serving Voya's Health, Wealth and Investment Management businesses.</t>
  </si>
  <si>
    <t xml:space="preserve">https://ssfglobal.in/?p=41624</t>
  </si>
  <si>
    <t xml:space="preserve">ssfglobal.in extract matches; 16 Jun 2026; adds leadership (Sharada Nandakumar) and Health/Wealth/Investment Management scope. Trade-grade source; ET GCC not surfaced.</t>
  </si>
  <si>
    <t xml:space="preserve">(2026) Voya India is hiring Gen AI application developers in Bengaluru, signalling GenAI build-out at the GCC.</t>
  </si>
  <si>
    <t xml:space="preserve">https://www.instahyre.com/job-332378-gen-ai-app-developer-at-voya-india-bangalore/</t>
  </si>
  <si>
    <t xml:space="preserve">instahyre listing surfaced: GEN AI App Developer, Voya India, Bangalore (skills: LLMs, .NET, Angular, microservices). Undated listing; '(2026)' is an inference.</t>
  </si>
  <si>
    <t xml:space="preserve">(2025-2026) Voya Global Services Pvt Ltd (formerly VFI SLK, wholly owned since Aug 2023) delivers technology and business-process transformation services to Voya's Retirement, Employee Benefits and Investment Management businesses.</t>
  </si>
  <si>
    <t xml:space="preserve">https://www.greatplacetowork.in/great/company/vfi-slk-global-sevices</t>
  </si>
  <si>
    <t xml:space="preserve">greatplacetowork.in URL not re-surfaced, but substance confirmed by in.indeed.com/cmp/Vfi-Slk/about and builtin company profile ('deliver innovative solutions to Voya's Retirement, Employee Benefits, and Investment Management businesses') and quintedge ('wholly owned subsidiary of Voya Financial as of August 2023').</t>
  </si>
  <si>
    <t xml:space="preserve">1.Voya's India GCC continues supporting wealth, retirement and investment-management businesses, which remain core growth areas for the parent company.(2026)</t>
  </si>
  <si>
    <t xml:space="preserve">Describes business lines served, not a finance function; voyaindia.com not surfaced. Remove from P; Finance evidence exists via SOX/finance roles instead.</t>
  </si>
  <si>
    <t xml:space="preserve">https://www.voyaindia.com/</t>
  </si>
  <si>
    <t xml:space="preserve">Bucket logic agreed: business lines served is not a finance function.</t>
  </si>
  <si>
    <t xml:space="preserve">(2026) Voya India's Bengaluru SOX/finance-controls team works with Finance, Accounting and Audit teams on SOX documentation and remediation, indicating finance-reporting support from India.</t>
  </si>
  <si>
    <t xml:space="preserve">https://accajobs.quintedge.com/jobs/sox-compliance-analyst-voya-india-7qbke6</t>
  </si>
  <si>
    <t xml:space="preserve">Extract confirms SOX roles 'collaborating with finance and audit teams'. Weak as a Finance bullet (it is the same evidence as R); keep but Finance stays 'limited'.</t>
  </si>
  <si>
    <t xml:space="preserve">1.AI-support capabilities currently handle millions of annual customer interactions, including self-service resolution and digital customer engagement.(Sep'26)</t>
  </si>
  <si>
    <t xml:space="preserve">Parent-level AI customer-service claim from publicnow mirror; not India-specific.</t>
  </si>
  <si>
    <t xml:space="preserve">(2025-2026) Voya India provides business process management services for Voya's Retirement, Employee Benefits (health/insurance) and Investment Management businesses from Bengaluru and Hyderabad.</t>
  </si>
  <si>
    <t xml:space="preserve">Confirmed via builtin/indeed profiles: 'digitizing, automating, and optimizing technology and business processes' for Health (employee benefits), Wealth (retirement) and Investment Management.</t>
  </si>
  <si>
    <t xml:space="preserve">Voya India is publicly hiring SOX compliance associates/senior associates in Bengaluru (RCM, narratives, flowcharts, remediation tracking with Finance, Accounting and Audit teams) - an internal-controls/SOX hub exists.</t>
  </si>
  <si>
    <t xml:space="preserve">Audit search confirms multiple SOX roles at Voya India Bengaluru (quintedge; joinsaarthi Associate 36366, Senior Associate 36367/36368) covering TOD/TOE testing, RCM, remediation. Team's 'Not publicly disclosed' is wrong.</t>
  </si>
  <si>
    <t xml:space="preserve">(2026) Voya India is hiring SOX Compliance Associates/Senior Associates in Bengaluru to perform Test of Design/Test of Effectiveness on SOX controls, maintain audit workpapers and SOX documentation (RCM, narratives, flowcharts) and track remediation plans with Finance, Accounting and Audit teams - evidence of a SOX/controls function at the GCC.</t>
  </si>
  <si>
    <t xml:space="preserve">https://joinsaarthi.com/jobs/voya-financial/senior-associate-36367-bengaluru/5d4252df-6baa-49ac-89c2-13d092fefa5e</t>
  </si>
  <si>
    <t xml:space="preserve">joinsaarthi URL surfaced; quintedge extract adds control testing scope. Text amended to include TOD/TOE testing and audit workpapers.</t>
  </si>
  <si>
    <t xml:space="preserve">(2026) SOX Compliance Analyst role advertised for Voya India (Bengaluru).</t>
  </si>
  <si>
    <t xml:space="preserve">quintedge listing surfaced ('Job description' - SOX Compliance Analyst, Voya India).</t>
  </si>
  <si>
    <t xml:space="preserve">Primary: Technology (new Hyderabad GCC Jun 2026, &gt;3,000 India staff, GenAI developer hiring); Secondary: Insurance/Business Operations (BPM for Retirement, Employee Benefits, Investment Management); Internal Audit: present (SOX compliance team in Bengaluru - team's 'not disclosed' is wrong); Finance: limited (via SOX/finance-controls roles).</t>
  </si>
  <si>
    <t xml:space="preserve">43</t>
  </si>
  <si>
    <t xml:space="preserve">FNF India Private Limited</t>
  </si>
  <si>
    <t xml:space="preserve">1.FNF continues expanding its proprietary digital closing platform inHere, which reportedly supports a significant portion of residential transaction processing.
https://markets.financialcontent.com/stocks/article/marketminute-2026-2-20-fidelity-national-financial-signals-2026-expansion-as-inhere-te</t>
  </si>
  <si>
    <t xml:space="preserve">Parent-level US platform; financialcontent 'MarketMinute' is a weak syndicated source; no evidence inHere work is done from India; not surfaced in search.</t>
  </si>
  <si>
    <t xml:space="preserve">Not reached within budget (parent inHere platform claim).</t>
  </si>
  <si>
    <t xml:space="preserve">2.FNF management highlighted AI adoption, digital platforms and automation as drivers of operational efficiency and margin improvement.(May'26)
https://stockstory.org/us/stocks/nyse/fnf/news/earnings-call/fnf-q1-deep-dive-ai-adoption-and-commercial-growth-offset-residential-market-weakness</t>
  </si>
  <si>
    <t xml:space="preserve">Parent earnings-call commentary (stockstory, weak); ALTA coverage confirms CEO discussed technology/AI investments at parent level, but nothing India-specific.</t>
  </si>
  <si>
    <t xml:space="preserve">(2025-2026) FNF India, the ~4,000-employee Bengaluru captive for all FNF family companies, provides business, knowledge-based and technology services and is ISO 27001:2022 certified with SOC 2 Type 2 attestation (information-security controls).</t>
  </si>
  <si>
    <t xml:space="preserve">https://www.greatplacetowork.in/great/company/fnf-india-private-limited</t>
  </si>
  <si>
    <t xml:space="preserve">greatplacetowork.in extract matches: ISO 27001:2022 certified, SOC 2 Type 2 attested; 'business, knowledge based and technology services since 2005'; close to 4,000 employees (3,817 India-based).</t>
  </si>
  <si>
    <t xml:space="preserve">1.FNF reported Q2 2026 adjusted net earnings of $370 million and strong performance in its Title segment.
https://www.investor.fnf.com/news-releases/news-release-details/fnf-reports-second-quarter-2026-financial-results</t>
  </si>
  <si>
    <t xml:space="preserve">Parent quarterly earnings are not an India Finance-function item; remove from P.</t>
  </si>
  <si>
    <t xml:space="preserve">1.FNF continues to report growth in title-insurance revenues and transaction services despite housing-market headwinds.
https://www.investor.fnf.com/news-releases/news-release-details/fnf-reports-second-quarter-2026-financial-results
2.FNF's digital ecosystem including title, escrow and mortgage tra</t>
  </si>
  <si>
    <t xml:space="preserve">Parent financial results, not India insurance-operations activity; replace with India title-search/examination hiring evidence.</t>
  </si>
  <si>
    <t xml:space="preserve">https://markets.financialcontent.com/stocks/article/marketminute-2026-2-20-fidelity-national-financial-signals-2026-expansion-as-inhere-tech-and-title-margins-hit-new-peaks</t>
  </si>
  <si>
    <t xml:space="preserve">Bucket logic agreed; replacement India title-ops bullets are supported (below).</t>
  </si>
  <si>
    <t xml:space="preserve">(Aug 2026) FNF India ran a walk-in hiring drive (1 Aug 2026) for US Title Search professionals and Title Examiners (1-10 years; Current Owner/Two Owner/Full Search, title commitment) at its Bengaluru site (Brigade Tech Gardens, Brookefield), showing continued scaling of US title-search/examination operations from India.</t>
  </si>
  <si>
    <t xml:space="preserve">https://jobs.weekday.works/walk-ins-at-fnfi-full-search-current-owner-two-owner-searchers-at-fnf-india-private-limited-wkdye0djwi</t>
  </si>
  <si>
    <t xml:space="preserve">weekday.works walk-in listing confirms date (Saturday 1 Aug 2026, 11am-4pm), venue (Butterfly Building, Brigade Tech Gardens, Kundalahalli, Brookefield) and skills (COS, TOS, Full Search, Examiner, Title Commitment; US title insurance). Experience range 1-10 years in the extract (researcher wrote 1-5).</t>
  </si>
  <si>
    <t xml:space="preserve">(2025-2026) FNF India describes itself as the global captive service centre for all Fidelity National Financial family companies in the US title industry, delivering business and knowledge services since 2005.</t>
  </si>
  <si>
    <t xml:space="preserve">greatplacetowork.in extract matches verbatim.</t>
  </si>
  <si>
    <t xml:space="preserve">(2026) Ongoing Title Specialist hiring at FNF India (Bengaluru) for US title-insurance support work.</t>
  </si>
  <si>
    <t xml:space="preserve">https://jobs.weekday.works/title-specialist-at-fnf-india-private-limited-wkdyqgm2s7</t>
  </si>
  <si>
    <t xml:space="preserve">weekday.works Title Specialist listing surfaced in audit search (minimal extract). Low weight.</t>
  </si>
  <si>
    <t xml:space="preserve">Audit search for FNF India finance/internal audit/SOX roles in Bengaluru returned only other companies (Wipfli, Gainwell, Dell etc.); nothing for FNF India. Agree ISO 27001/SOC 2 sits under Technology.</t>
  </si>
  <si>
    <t xml:space="preserve">Primary: Insurance Operations (title search/examination, title specialist hiring; captive for US title businesses, ~4,000 staff); Secondary: Technology (technology services, ISO 27001/SOC 2 controls); Finance: none public; Internal Audit: none public. Team's existing bullets are almost entirely parent-level earnings/platform news.</t>
  </si>
  <si>
    <t xml:space="preserve">48</t>
  </si>
  <si>
    <t xml:space="preserve">No India-specific technology item found; technology/AI is run at AXA XL / AXA Group level, not by the India reinsurance branch (searched: AXA XL India reinsurance branch 2025/2026 news and appointments). AUDIT: two further searches on the branch surfaced only underwriting/claims appointments; statement stands.</t>
  </si>
  <si>
    <t xml:space="preserve">No India-specific finance item found; branch finance/regulatory reporting is a small local function with no public news (searched: AXA XL India reinsurance branch 2025/2026). AUDIT: no finance item surfaced; stands.</t>
  </si>
  <si>
    <t xml:space="preserve">(Apr 2025) Alok Shukla, ex-Munich Re head of underwriting (earlier Regional Head of Agriculture), assumed the role of CEO of XL Insurance Company SE - India Reinsurance Branch on 1 April 2025, succeeding Joseph Augustine who stepped down on 31 January 2025 after 15 years; he is Mumbai-based and charged with growing the facultative reinsurance business.</t>
  </si>
  <si>
    <t xml:space="preserve">https://www.reinsurancene.ws/alok-shukla-named-ceo-of-xl-insurance-india-reinsurance-branch/</t>
  </si>
  <si>
    <t xml:space="preserve">Date, role and Munich Re background confirmed by two independent searches (reinsurancene.ws, reinasia.com, insurancebusinessmag). Text expanded with predecessor and facultative mandate; prior Munich Re title 'Head of Underwriting' confirmed by reinasia.com.</t>
  </si>
  <si>
    <t xml:space="preserve">(May 2025) AXA XL built out its Mumbai-based India branch team with five hires announced 14 May 2025: Saumitra Sharma (ex-Swiss Re) as Chief Underwriting Officer (joined 12 May 2025), Saurabh Bhootara as Property/Energy/Construction underwriter, Priya Manchanda as Claims Specialist, Vinod Kumar as Assistant Underwriter and Akash Jain as Underwriting Assistant, to deliver tailored facultative solutions to Indian clients and brokers.</t>
  </si>
  <si>
    <t xml:space="preserve">Confirmed by axaxl.com press release extract and reinasia.com; names of the claims specialist (Priya Manchanda) and underwriting assistant (Akash Jain) added from reinasia.com extract.</t>
  </si>
  <si>
    <t xml:space="preserve">(May 2025) The branch's underwriting focus is facultative property, energy, construction, casualty and cyber: Saurabh Bhootara (ex-Liberty Mutual, 15+ years property/engineering underwriting) joined on 1 April 2025 as Property, Energy and Construction Underwriter and Vinod Kumar joined on 6 May 2025 as Assistant Underwriter across Cyber, Casualty and Property lines (announced 14 May 2025).</t>
  </si>
  <si>
    <t xml:space="preserve">https://www.reinsurancene.ws/axa-xl-bolsters-indian-team-with-several-senior-appointments/</t>
  </si>
  <si>
    <t xml:space="preserve">Supported by axaxl.com / reinsurancene.ws extracts. Correction: Bhootara's start date was 1 April 2025, not May; the May 2025 label is retained as the announcement date and the text now says so.</t>
  </si>
  <si>
    <t xml:space="preserve">No public internal audit / SOX / ICFR information for the India branch; audit is group-level (searched: AXA XL India reinsurance branch 2025/2026). AUDIT: nothing surfaced; stands.</t>
  </si>
  <si>
    <t xml:space="preserve">Primary: Insurance Operations (CEO change Apr 2025 after Joseph Augustine's Jan 2025 exit; CUO, facultative underwriting and claims hires May 2025 in Mumbai). Technology, Finance, Internal Audit: group-level only, nothing India-specific public.</t>
  </si>
  <si>
    <t xml:space="preserve">49</t>
  </si>
  <si>
    <t xml:space="preserve">(Current) Empower's Bengaluru centre supports global operations and develops new technologies for the US parent: most roles are in operations and technology, with further positions in reporting analytics, financial reporting, data science, marketing and analytics; job postings also describe round-the-clock technology support and business analytics/technology design for Empower and Putnam Investments.</t>
  </si>
  <si>
    <t xml:space="preserve">https://jobs.empower.com/india</t>
  </si>
  <si>
    <t xml:space="preserve">Researcher's URL (a single job posting) did not surface in audit; replaced primary URL with the official Empower India careers page whose extract directly supports the technology/operations/analytics footprint. Date changed from '(2025)' to '(Current)' because the page is undated. Putnam wording retained from researcher's posting evidence (secondary).</t>
  </si>
  <si>
    <t xml:space="preserve">(Current) The Bengaluru centre also houses finance functions: Empower's India careers page lists financial reporting and reporting-analytics positions, and live postings include Analyst - Payroll roles in Bengaluru.</t>
  </si>
  <si>
    <t xml:space="preserve">added_by_audit</t>
  </si>
  <si>
    <t xml:space="preserve">Added by auditor: the researcher's none_found P is contradicted by the careers page (financial reporting) and a live Bengaluru payroll analyst posting (https://jobs.empower.com/job/bengaluru/analyst-payroll/42743/84607897136, surfaced in search results). Weak (job-posting level), but a legitimate Finance-bucket item.</t>
  </si>
  <si>
    <t xml:space="preserve">(2025-2026) The Bengaluru centre is being expanded as Empower's India affiliate; live job postings cover US 401(k) retirement-plan recordkeeping operations, participant transaction processing, customer service and client service management (retirement-plan operations rather than insurance operations).</t>
  </si>
  <si>
    <t xml:space="preserve">https://jobs.haceonline.org/job/specialist-processing-participant-transaction/83839144/</t>
  </si>
  <si>
    <t xml:space="preserve">The cited URL and sibling postings (associate-specialist-participant-transaction, associate-specialist-transaction-processing, specialist-rsa-business-support) surfaced in the audit search, confirming the posting exists and the transaction-processing/operations roles; the specific quote text was not reproduced in the extract. Note the 'Great West Global Business Services India Pvt. Ltd.' name comes from a third-party job board, not a registry. Bucket Q acceptable as 'business-process services', with the caveat that this is retirement-plan not insurance operations.</t>
  </si>
  <si>
    <t xml:space="preserve">(FY2025) Empower Global Business Services India Pvt Ltd (incorporated Dec 2014, Bengaluru) reported revenue of about Rs 753 crore for the year ended 31 March 2025, indicating a sizeable captive operations/technology centre.</t>
  </si>
  <si>
    <t xml:space="preserve">https://www.thecompanycheck.com/company/empower-global-business-services-india-private-limited/U74900KA2014FTC077522</t>
  </si>
  <si>
    <t xml:space="preserve">A targeted search on the legal name and CIN returned no matching registry page, so neither the CIN nor the Rs 753 crore figure could be confirmed within budget. Keep flagged 'unverified - registry aggregator'; do not cite as fact until the MCA record is checked.</t>
  </si>
  <si>
    <t xml:space="preserve">No public internal audit / SOX / ICFR team information for Empower India found (searched: Great West Global Business Services India internal audit SOX finance Bengaluru). AUDIT: nothing surfaced in two further searches; stands.</t>
  </si>
  <si>
    <t xml:space="preserve">Primary: Operations (US 401k recordkeeping/transaction processing, customer service) and Technology (technology development and 24x7 support, data science/analytics) as a Bengaluru GCC. Finance: limited (financial reporting, payroll analyst roles). Internal Audit: none public. Entity mis-identified by team as a Raipur broker; not an insurer; legal name/CIN still unverified.</t>
  </si>
  <si>
    <t xml:space="preserve">50</t>
  </si>
  <si>
    <t xml:space="preserve">No India-specific technology news; analytics/tech is group-level (searched: Gen Re India branch Mumbai 2025 2026; Gen Re India CEO life health 2025). AUDIT: not separately re-searched (budget); stands.</t>
  </si>
  <si>
    <t xml:space="preserve">No India-specific finance news beyond the branch's statutory public disclosures (searched: Gen Re India branch 2025 2026). AUDIT: not separately re-searched (budget); stands.</t>
  </si>
  <si>
    <t xml:space="preserve">(Current) Gen Re's IRDAI-licensed Mumbai branch (General Reinsurance AG - India Branch, on IRDAI's public reinsurer-branch list) is led by Principal Officer/CEO Vijay Mudaliar; the branch's historic focus is life &amp; health reinsurance with P&amp;C written alongside (line-of-business detail per team notes and 2017 launch coverage, not re-verified).</t>
  </si>
  <si>
    <t xml:space="preserve">https://esi.in/finance/insurance/reinsurer-branches/general-reinsurance-ag-india-branch/</t>
  </si>
  <si>
    <t xml:space="preserve">CEO name and IRDAI listing confirmed only via the esi.in directory (weak). The researcher's phrases 'provides underwriting and risk management locally' and 'R3 licence' were not in any extract and were removed; the L&amp;H/P&amp;C focus is retained but explicitly flagged as unverified.</t>
  </si>
  <si>
    <t xml:space="preserve">(Jan 2025) Aon launched a life &amp; health reinsurance practice in India on 23 January 2025 and hired Neha Shah from Gen Re as its Chief Actuary, tapping Gen Re India's L&amp;H actuarial bench; no new product or licence announcements by the Gen Re branch itself were found for 2025-26.</t>
  </si>
  <si>
    <t xml:space="preserve">https://www.intelligentinsurer.com/aon-recruits-gen-re-actuary-to-strengthen-new-landh-practice-in-india</t>
  </si>
  <si>
    <t xml:space="preserve">Confirmed by intelligentinsurer, reinsurancene.ws and reinasia extracts; date (23 Jan 2025) and actuary's name (Neha Shah) added. Note this is a talent-outflow signal about Gen Re India rather than Gen Re news.</t>
  </si>
  <si>
    <t xml:space="preserve">No public internal audit / SOX / ICFR information for the India branch; group-level (Berkshire Hathaway) (searched: Gen Re India branch 2025 2026). AUDIT: not separately re-searched (budget); stands.</t>
  </si>
  <si>
    <t xml:space="preserve">Primary: Insurance Operations (life &amp; health reinsurance with some P&amp;C from the Mumbai branch; CEO Vijay Mudaliar per directory only; Gen Re actuary poached by Aon Jan 2025). Technology, Finance, Internal Audit: group-level, no India-specific public news in 2024-26. Low news flow; evidence base weak.</t>
  </si>
  <si>
    <t xml:space="preserve">51</t>
  </si>
  <si>
    <t xml:space="preserve">No India-specific technology item; Lloyd's platform/Blueprint Two systems are market-level, not India branch (searched: Lloyd's India ICICI Lombard 2026; Lloyd's India GIFT City IFSC 2025 2026). AUDIT: nothing surfaced in two further searches; stands.</t>
  </si>
  <si>
    <t xml:space="preserve">No India-specific finance news beyond statutory India financial disclosures (searched: as above). AUDIT: stands.</t>
  </si>
  <si>
    <t xml:space="preserve">(Jun 2026) On 18 June 2026 Lloyd's signed an agreement with ICICI Lombard General Insurance to act as its local partner in India: ICICI Lombard issues local policies on behalf of managing agents across 13 lines (property, engineering, miscellaneous, marine cargo, marine hull, liability, aviation, travel, group personal accident, group health, terrorism, energy, trade credit), requested via Lloyd's Multinational team at no extra cost to managing agents.</t>
  </si>
  <si>
    <t xml:space="preserve">https://www.lloyds.com/insights/news/new-local-partner-in-India</t>
  </si>
  <si>
    <t xml:space="preserve">Confirmed by lloyds.com, businessinsurance.com and intelligentinsurer extracts. Correction: the researcher's list had 11 lines; 'Miscellaneous' and 'Marine hull' were missing and have been added. Exact signing date added.</t>
  </si>
  <si>
    <t xml:space="preserve">(Mar 2026) Lloyd's received authorisation to operate in GIFT City (IFSC), a platform separate from and in addition to Lloyd's India in Mumbai, giving access to reinsurance business from mainland India, GIFT City, other SEZs and overseas, plus direct insurance within GIFT City/SEZs; PartnerRe and Santam had set up GIFT City branches in February 2026.</t>
  </si>
  <si>
    <t xml:space="preserve">https://www.insurancebusinessmag.com/asia/news/breaking-news/lloyds-follows-partnerre-into-india-reinsurance-hub-570097.aspx</t>
  </si>
  <si>
    <t xml:space="preserve">Extract independently reproduced; month/year correct; added platform scope and peer context from the same extract.</t>
  </si>
  <si>
    <t xml:space="preserve">(Apr 2026) Niyam Syndicate 2047, backed by Polo Managing Agency (Marco Capital) with J.C. Flowers as lead investor, became the first Lloyd's syndicate established in GIFT City and began underwriting on 1 April 2026; Niyam Group is also the first Tier 2 IFSC Insurance Intermediary Office to offer Lloyd's capacity from GIFT City (in-principle Lloyd's approval reported Jan 2026).</t>
  </si>
  <si>
    <t xml:space="preserve">https://www.insurancebusinessmag.com/asia/news/breaking-news/polo-backs-first-lloyds-syndicate-in-indias-gift-city-571939.aspx</t>
  </si>
  <si>
    <t xml:space="preserve">Confirmed by insurancebusinessmag, intelligentinsurer, reinsurancene.ws and theinsurer (in-principle approval dated 2026-01-09). Investor and IIO details added from the extracts.</t>
  </si>
  <si>
    <t xml:space="preserve">(Dec 2025) Lloyd's was reported to have applied to set up in GIFT City, with IFSCA confirming the application for a statutory insurance/reinsurance establishment was 'under process' and Lloyd's expecting to be authorised and operational there in 2026.</t>
  </si>
  <si>
    <t xml:space="preserve">https://www.reinsurancene.ws/lloyds-reported-to-have-applied-to-set-up-in-indias-gift-city/</t>
  </si>
  <si>
    <t xml:space="preserve">Extract independently reproduced; Dec 2025 dating confirmed. Now superseded by the Mar 2026 authorisation but retained as the timeline's first step.</t>
  </si>
  <si>
    <t xml:space="preserve">No public internal audit / SOX / ICFR information for Lloyd's India; corporation-level (searched: as above). AUDIT: stands.</t>
  </si>
  <si>
    <t xml:space="preserve">Primary: Insurance Operations (ICICI Lombard local-partner deal 18 Jun 2026 across 13 lines; GIFT City authorisation Mar 2026; first GIFT City syndicate Niyam 2047 from 1 Apr 2026). Technology, Finance, Internal Audit: no India-specific public evidence.</t>
  </si>
  <si>
    <t xml:space="preserve">52</t>
  </si>
  <si>
    <t xml:space="preserve">No India-branch-specific technology/AI item verified; analytics and AI platforms (e.g. REALYTIX) are group-level (searched: Munich Re India branch 2025 2026; Munich Re India Hitesh Kotak CEO analytics service company). AUDIT: a further branch news search surfaced only people moves; stands.</t>
  </si>
  <si>
    <t xml:space="preserve">No India-specific finance news; group results are not an India focus item (searched: as above). AUDIT: stands.</t>
  </si>
  <si>
    <t xml:space="preserve">(Oct 2025) Munich Re reinsured India's first parametric pandemic/epidemic business-interruption policy, created by Gallagher Insurance Brokers and issued by New India Assurance to The Phoenix Mills Ltd (malls, hotels, offices); the cover is reinsured by Munich Re's Epidemic Risk Solutions team and pays out swiftly on predefined triggers such as epidemic declarations.</t>
  </si>
  <si>
    <t xml:space="preserve">https://www.reinsurancene.ws/gallagher-creates-india-parametric-pandemic-policy-reinsured-by-munich-re/</t>
  </si>
  <si>
    <t xml:space="preserve">Confirmed by insurancebusinessmag, businessinsurance.com, Asia Insurance Review (22 Oct 2025) and PTI/The Wire extracts. ERS team detail added.</t>
  </si>
  <si>
    <t xml:space="preserve">(Oct 2024) Surbhi Goel became CEO of Munich Re's India branch (P&amp;C reinsurance) with effect from October 2024 - its first female CEO - relocating from Singapore where she headed P&amp;C South-East Asia since 2022; announced 18 April 2024, she succeeded Hitesh Kotak, who from 1 July 2024 became Chief Executive for Japan, India, Korea and South-East Asia and to whom she reports.</t>
  </si>
  <si>
    <t xml:space="preserve">https://www.munichre.com/en/company/media-relations/media-information-and-corporate-news/media-information/2024/media-release-2024-04-18.html</t>
  </si>
  <si>
    <t xml:space="preserve">Confirmed by Business Wire India (via theweek.in, 18 Apr 2024), BusinessWorld and People Matters extracts. Announcement date and 'first female CEO' / prior SEA P&amp;C role added. Munich Re press URL itself did not surface in audit but the Business Wire mirror did (https://www.theweek.in/wire-updates/business/2024/04/18/dcm55-munich-re-group.html). Effective date Oct 2024 sits at the edge of the 2-year window; retained as the current set-up.</t>
  </si>
  <si>
    <t xml:space="preserve">(Feb 2025) Munich Re India's Head of Underwriting, Alok Shukla (previously Regional Head of Agriculture), left to become CEO of AXA XL's India reinsurance branch from 1 April 2025 - a senior underwriting talent loss for the Munich Re branch.</t>
  </si>
  <si>
    <t xml:space="preserve">https://www.intelligentinsurer.com/axa-xl-lands-munich-re-talent-for-new-india-reinsurance-ceo</t>
  </si>
  <si>
    <t xml:space="preserve">Role at Munich Re confirmed by reinasia.com and reinsurancene.ws; alternate URL https://reinasia.com/axa-xl-appoints-alok-shukla-as-india-reinsurance-branch-ceo/. Announcement month (Feb 2025) is consistent with the 1 Apr 2025 start but the article date was not visible in extracts - treat month as approximate. Audit also surfaced that Munich Re named Hanh Nguyen head of treaty P&amp;C underwriting for Southeast Asia and India, succeeding Joachim Zagrosek from 1 March (year not visible in extract; not added as a bullet).</t>
  </si>
  <si>
    <t xml:space="preserve">No public internal audit / SOX / ICFR information for the India branch; group-level (searched: as above). AUDIT: stands.</t>
  </si>
  <si>
    <t xml:space="preserve">Primary: Insurance Operations (P&amp;C/L&amp;H reinsurance; first India parametric pandemic cover reinsured Oct 2025; new India CEO Surbhi Goel from Oct 2024; head of underwriting lost to AXA XL 2025). Technology: group-level only. Finance: group results only, not India. Internal Audit: none public.</t>
  </si>
  <si>
    <t xml:space="preserve">53</t>
  </si>
  <si>
    <t xml:space="preserve">1. RGA offers RGA Shield, a digital risk-management ad automated underwriting platform which Demonstrates RGA's move toward AI-enabled underwriting and digital insurance operations - AURA NEXT</t>
  </si>
  <si>
    <t xml:space="preserve">https://www.rgare.com/global-presence/asia-pacific/india</t>
  </si>
  <si>
    <t xml:space="preserve">Researcher's 'unsupported' verdict overturned in part: an India-specific RGA Shield page exists on rgare.com (URL surfaced in audit search; page text not extracted). AURA NEXT remains group-level.</t>
  </si>
  <si>
    <t xml:space="preserve">India leadership includes a dedicated Chief Financial Officer. Pankaj Jain serves as CFO who Supports finance governance, financial reporting, controls and oversight functions.</t>
  </si>
  <si>
    <t xml:space="preserve">The rgare.com 'Meet the Team - India' page exists and is credible, but search extracts did not surface the CFO name; could not verify Pankaj Jain within budget. Also a leadership-roster item, not finance news - weak as a Finance focus bullet.</t>
  </si>
  <si>
    <t xml:space="preserve">https://www.rgare.com/global-presence/asia-pacific/india/meet-the-team---india</t>
  </si>
  <si>
    <t xml:space="preserve">A targeted audit search for 'RGA India Pankaj Jain CFO' returned only unrelated Pankaj Jains; verdict 'unsupported' stands.</t>
  </si>
  <si>
    <t xml:space="preserve">1. RGA provides life, health, critical illness nd credit-life reinsurance solutions in India</t>
  </si>
  <si>
    <t xml:space="preserve">Independently reproduced from rgare.com India page extract.</t>
  </si>
  <si>
    <t xml:space="preserve">2. RGA identifies underwriting, pricing, data analytics and product development as core capabilities. Also RGA supports bancassurance and telemarketing insurance products.</t>
  </si>
  <si>
    <t xml:space="preserve">Bancassurance/telemarketing support reproduced in audit extract; capability phrase still not seen - keep 'partially confirmed'.</t>
  </si>
  <si>
    <t xml:space="preserve">(Jan 2024) RGA named Sunil Sharma - formerly President, Chief Actuary and CRO at Kotak Life for over a decade, a Fellow of IAI and IFoA and an IFoA council member - as CEO of its India branch on 25 January 2024 (subject to IRDAI approval); he joined RGA in 2024, bringing actuarial/pricing-led leadership to the branch.</t>
  </si>
  <si>
    <t xml:space="preserve">https://www.rgare.com/our-company/people/detail/sunil-sharma</t>
  </si>
  <si>
    <t xml:space="preserve">Confirmed by reinsurancene.ws (https://www.reinsurancene.ws/rga-names-sunil-sharma-as-india-ceo/), lifeinsuranceinternational and ceoworld (26 Jan 2024). Date made specific (Jan 2024). Note this predates the Oct 2024 window by ~9 months but describes the current leadership; the announcement names the entity 'RGA Life Reinsurance Company of Canada India Branch'.</t>
  </si>
  <si>
    <t xml:space="preserve">(Current) RGA India, an IRDAI-licensed branch, writes individual life, living benefits (health, critical illness) and credit-life reinsurance and offers financial (capital/risk) solutions, including support for bancassurance and telemarketing channels.</t>
  </si>
  <si>
    <t xml:space="preserve">Extract independently reproduced.</t>
  </si>
  <si>
    <t xml:space="preserve">1. India leadership includes a dedicated Chief Compliance Officer, Bhavini Lad.</t>
  </si>
  <si>
    <t xml:space="preserve">Meet-the-team page is credible but name not surfaced in extracts; a compliance officer is also a regulatory requirement, not evidence of an internal audit/SOX hub.</t>
  </si>
  <si>
    <t xml:space="preserve">Audit search returned nothing for Bhavini Lad at RGA India; verdict stands, and the bucket logic (compliance officer is not an internal-audit/SOX item) is agreed.</t>
  </si>
  <si>
    <t xml:space="preserve">2. No public evidence identified for a dedicated Internal Audit, SOX or ICFR Center of Excellence in India.</t>
  </si>
  <si>
    <t xml:space="preserve">Nothing contrary surfaced.</t>
  </si>
  <si>
    <t xml:space="preserve">Primary: Insurance Operations (life/health/CI/credit-life reinsurance, financial solutions, bancassurance support; actuary Sunil Sharma CEO since 2024). Secondary: Technology (RGA Shield marketed on the India site; AURA NEXT group-level, no India deployment news). Finance: CFO roster only, unverified. Internal Audit: none public.</t>
  </si>
  <si>
    <t xml:space="preserve">54</t>
  </si>
  <si>
    <t xml:space="preserve">1. SCOR offers automated underwriting and digital claims capabilities through SCOR Digital Solutions. It Demonstrates SCOR's investment in digital insurance operations and AI-enabled decision support.</t>
  </si>
  <si>
    <t xml:space="preserve">Group-level product description (SCOR Digital Solutions / Velogica / VClaims); no evidence of an India-branch technology function or India deployment. Keep only as explicitly group-level, or drop.</t>
  </si>
  <si>
    <t xml:space="preserve">Audit search on the India branch surfaced no digital-solutions deployment in India; verdict stands.</t>
  </si>
  <si>
    <t xml:space="preserve">SCOR identifies analytics, data capabilities and technology expertise as strategic differentiators globally</t>
  </si>
  <si>
    <t xml:space="preserve">https://www.scor.com/en/scor-digital-solutions</t>
  </si>
  <si>
    <t xml:space="preserve">1. Mayank Tandon serves as Chief Financial Officer of SCOR India and under his leadership Provides local finance governance, regulatory oversight and financial-management capability.</t>
  </si>
  <si>
    <t xml:space="preserve">https://www.scor.com/en/download/file?token=def502002ee3531b73d33239962df8129e0f435c432972d9b2b048aba16001e4fc56e1d401da7c1ddd5f79d3cd69f608c3198bb0e7006358ddf3a2c706cc6aeea9c1ebdbceb285523f655770e09269761580aff333b0c410dde012833ef39862740a033d0f783eff7246e54576cebdd8b3ddc97df8176f8cc4c2451fb82906416e8a16f592</t>
  </si>
  <si>
    <t xml:space="preserve">NL-42-BOD.pdf surfaced in audit search with extract confirming Tandon as CFO of the India Branch as of 30 Sep 2022; earlier filings (india_2019_q4_nl34.pdf, 2017, 2018) also exist and should be checked if the team wants the earliest date.</t>
  </si>
  <si>
    <t xml:space="preserve">1. SCOR maintains a longstanding Life &amp; Health reinsurance presence in India supported by critical illness and life expertise.</t>
  </si>
  <si>
    <t xml:space="preserve">scor.com India branch page extract confirms longstanding Life presence, R2 authorisation then R3 approval for the composite branch.</t>
  </si>
  <si>
    <t xml:space="preserve">2. SCOR supports specialty insurance portfolios including agriculture and credit insurance.</t>
  </si>
  <si>
    <t xml:space="preserve">https://www.scor.com/en/scor-se-india-branch</t>
  </si>
  <si>
    <t xml:space="preserve">Researcher could not find this; audit search reproduced the supporting sentence from the SCOR India page.</t>
  </si>
  <si>
    <t xml:space="preserve">(Current) SCOR SE India Branch is an IRDAI-approved composite branch (R2 authorisation followed by R3 approval) writing Life and P&amp;C reinsurance from Mumbai since the 1 April 2017 renewals, building on business written with Indian clients since 1973 and a liaison office from 2005; it is developing specialty covers with Indian clients, notably agriculture and credit, under the group's expansion plan.</t>
  </si>
  <si>
    <t xml:space="preserve">Licence wording corrected (R2 authorisation then R3 approval, per scor.com and reinsurancene.ws 'scor-receives-r3-approval-irdai'); agriculture/credit specialty focus merged in from the same page.</t>
  </si>
  <si>
    <t xml:space="preserve">(Sep 2022, latest public filing found) India branch leadership comprised CEO Parag Gupta, CFO/Head Finance Mayank Tandon and separate heads for P&amp;C and Life &amp; Health; no newer India leadership or line-of-business announcements were found for 2024-26.</t>
  </si>
  <si>
    <t xml:space="preserve">https://www.scor.com/sites/default/files/2022-12/NL-42-BOD.pdf</t>
  </si>
  <si>
    <t xml:space="preserve">Filing surfaced independently; dates and names match. A 2025-26 India-branch news search found no newer leadership announcement.</t>
  </si>
  <si>
    <t xml:space="preserve">No public information is available on IA.</t>
  </si>
  <si>
    <t xml:space="preserve">Mukul Kishore's move to CEO APAC P&amp;C on 1 Feb 2022 and the 2022 roster confirmed by sg-reinsurers.org.sg and NL-42-BOD.pdf extracts. Note the roster is a leadership item, not internal-audit evidence - the 'no public IA information' part is what belongs in R.</t>
  </si>
  <si>
    <t xml:space="preserve">India leadership structure includes dedicated executives for CEO, CFO, P&amp;C and Life &amp; Health operations.</t>
  </si>
  <si>
    <t xml:space="preserve">Primary: Insurance Operations (composite Life and P&amp;C reinsurance branch, Mumbai; stated specialty focus on agriculture and credit covers). Finance: CFO roster only (2022 filing). Technology: group-level digital solutions only, nothing India-specific. Internal Audit: none public. Very low 2024-26 news flow for the India branch.</t>
  </si>
  <si>
    <t xml:space="preserve">55</t>
  </si>
  <si>
    <t xml:space="preserve">(May 2025) Business Standard interview with GBS head Amit Kalra: Swiss Re has ~2,500 staff in India (of ~14,000 globally); its India tech team grew from ~150 to ~750 in three years (Bengaluru ~400, Hyderabad ~350) and will be about 40-50% of the group's global engineering workforce; hiring is mainly product engineers, architects and data engineers, driven by a global tech insourcing drive, with a bigger Hyderabad office planned.</t>
  </si>
  <si>
    <t xml:space="preserve">https://www.business-standard.com/companies/interviews/india-to-soon-have-about-50-of-swiss-re-s-global-tech-talent-amit-kalra-125051100389_1.html</t>
  </si>
  <si>
    <t xml:space="preserve">Article confirmed on business-standard.com (11 May 2025). Headline '50%' is the interview's framing; body says 'about 40-50 per cent'. Added India headcount and 150-&gt;750 tech growth from the extract; researcher's per-city figures sum to 750 and are retained.</t>
  </si>
  <si>
    <t xml:space="preserve">(2025-2026) GBS India positioned as the driver of Swiss Re's technology transformation (innovation, analytics, R&amp;D), with 2,000+ professionals; actively hiring data science, engineering, AI and automation roles in Bengaluru and Hyderabad; India sites hold Top Employer 2025 certification.</t>
  </si>
  <si>
    <t xml:space="preserve">https://www.swissre.com/careers/india.html</t>
  </si>
  <si>
    <t xml:space="preserve">swissre.com/careers/india.html not surfaced within budget; domain credible. Date label '(2025-2026)' is the researcher's inference from an undated page.</t>
  </si>
  <si>
    <t xml:space="preserve">(undated, current careers page) Dedicated India data/tech hiring page: Swiss Re recruiting across data science and engineering streams for both GBS locations (Bengaluru, Hyderabad).</t>
  </si>
  <si>
    <t xml:space="preserve">https://www.swissre.com/careers/indiatech.html</t>
  </si>
  <si>
    <t xml:space="preserve">URL surfaced (swissre.com/careers/indiatech.html, 'Data tech talents India'); hiring across data science and engineering for the two GBS locations confirmed by extract. Page is undated, so '(2025-2026)' relabelled.</t>
  </si>
  <si>
    <t xml:space="preserve">(Jul 2026) Tech-leadership move: Amit Kalra, MD and head of Swiss Re Global Business Solutions (India), left after 19+ years to become head of Zurich Capability Centres at Zurich Insurance effective 1 July 2026; successor for GBS India not yet identified in public sources.</t>
  </si>
  <si>
    <t xml:space="preserve">Added: material leadership change at the GBS India tech hub, surfaced in search; successor not found within budget.</t>
  </si>
  <si>
    <t xml:space="preserve">(2025-2026, job-posting evidence) Swiss Re runs Group Finance work from Bengaluru: the Subledger Liabilities team (~70 staff, mainly Bengaluru and Zurich) owns L&amp;H and P&amp;C sub-ledger accounting and reporting under US GAAP, STAT and IFRS; open roles include Accountant II, Technical Accounting Analyst, Associate Financial Analyst (L&amp;H Finance Operations) and an apprentice supporting AI/automation for the Global Finance Operations &amp; Transformation (GFO&amp;T) team.</t>
  </si>
  <si>
    <t xml:space="preserve">https://careers.swissre.com/job/Bangalore-Accountant-II-KA/1199902701</t>
  </si>
  <si>
    <t xml:space="preserve">Overturns the researcher's none_found for P: credible company careers evidence of a finance-process hub in Bengaluru (sub-ledger accounting, finance operations, finance transformation/automation).</t>
  </si>
  <si>
    <t xml:space="preserve">(Apr 2024) Swiss Re veteran Amitabha Ray (27 years with the group; previously led the India client-management team) appointed CEO of the India Branch (Mumbai) effective 1 April 2024, succeeding Hadi Riachi; he leads the branch and Swiss Re's P&amp;C reinsurance business in India.</t>
  </si>
  <si>
    <t xml:space="preserve">https://www.reinsurancene.ws/swiss-re-veteran-amitabha-ray-appointed-as-ceo-of-india-branch/</t>
  </si>
  <si>
    <t xml:space="preserve">Appointment, date and Mumbai base confirmed (reinsurancene.ws, insurancebusinessmag, reinasia, businessinsurance). The 'IRDAI composite licence covering life, non-life and health' clause was not in any extract and has been removed; extract describes a P&amp;C remit.</t>
  </si>
  <si>
    <t xml:space="preserve">(2025-2026) Col E's actuarial/risk and R&amp;D functions at GBS India are consistent with Swiss Re's description of GBS India as an 'analytical and innovation hub' (1,600+ employees per registry mirror), but no dated 2024-26 news on specific claims/underwriting-support expansions was found.</t>
  </si>
  <si>
    <t xml:space="preserve">https://www.thecompanycheck.com/company/swiss-re-global-business-solutions-india-private-limited/U74140KA2000PTC027640</t>
  </si>
  <si>
    <t xml:space="preserve">Registry-mirror page not re-searched within budget; weak source (trade/registry) and undated. Treat as context only.</t>
  </si>
  <si>
    <t xml:space="preserve">No publicly verified information found on internal audit / SOX / controls teams in India (auditor re-searched: 'Swiss Re GBS India Bengaluru finance accounting shared services OR internal audit team 2025 2026'; extract explicitly returned no internal audit items).</t>
  </si>
  <si>
    <t xml:space="preserve">Entity note</t>
  </si>
  <si>
    <t xml:space="preserve">note</t>
  </si>
  <si>
    <t xml:space="preserve">Two separate Indian entities: Swiss Reinsurance Company Ltd, India Branch (Mumbai, BKC; composite reinsurance branch, CEO Amitabha Ray from 1 Apr 2024) and Swiss Re Global Business Solutions India Pvt Ltd (GBS India; Bengaluru + Hyderabad, 2000+ staff). Col E functions describe GBS India, not the branch. Team col S item 1 ('Swiss GRC' software firm launching in India) is about an unrelated Swiss company and must be deleted.</t>
  </si>
  <si>
    <t xml:space="preserve">Primary: Technology (India tech team 150-&gt;750, ~40-50% of global engineering workforce per May 2025 interview; Bengaluru/Hyderabad data, AI, engineering hiring; GBS head Amit Kalra left for Zurich Jul 2026). Secondary: Insurance Operations (branch CEO change Apr 2024; GBS analytics/actuarial hub). Finance: limited but real (Group Finance sub-ledger and finance-operations teams in Bengaluru, job-posting evidence). Internal Audit: none public.</t>
  </si>
  <si>
    <t xml:space="preserve">56</t>
  </si>
  <si>
    <t xml:space="preserve">1: India supports a growing multinational insurance platform</t>
  </si>
  <si>
    <t xml:space="preserve">A company-registry page is not evidence of a technology trend, and the entity surrendered its IRDAI registration in Mar 2026. Delete.</t>
  </si>
  <si>
    <t xml:space="preserve">https://www.thecompanycheck.com/company/volante-global-services-india-private-limited/U74999MH2022FTC394424</t>
  </si>
  <si>
    <t xml:space="preserve">Surrender of CoR on 20-03-2026 confirmed in IRDAI orders listing (policyholder.gov.in). Registry page is not technology evidence. Verdict stands.</t>
  </si>
  <si>
    <t xml:space="preserve">1: Lloyd's India market expansion</t>
  </si>
  <si>
    <t xml:space="preserve">Market-entry/licence news is Insurance Operations, not Finance; also superseded by the Mar 2026 surrender. URL not surfaced in searches (unverified).</t>
  </si>
  <si>
    <t xml:space="preserve">https://asiainsurancepost.com/archives/59645</t>
  </si>
  <si>
    <t xml:space="preserve">Bucket logic agreed (market entry/licence = Q); superseded by Mar 2026 surrender. asiainsurancepost 59645 not surfaced in audit searches either.</t>
  </si>
  <si>
    <t xml:space="preserve">1: Establishment of Indian operating infrastructure</t>
  </si>
  <si>
    <t xml:space="preserve">Superseded: registration surrendered 20 Mar 2026.</t>
  </si>
  <si>
    <t xml:space="preserve">Surrender confirmed; outdated verdict stands.</t>
  </si>
  <si>
    <t xml:space="preserve">2: Development of an India-focused operating presence</t>
  </si>
  <si>
    <t xml:space="preserve">Walikar appointment is confirmed (reinsurancene.ws), but he has since moved to Africa Specialty Risks and the India service company has surrendered its registration.</t>
  </si>
  <si>
    <t xml:space="preserve">https://www.reinsurancene.ws/volante-names-laxmeekant-walikar-as-md-of-indian-subcontinent/</t>
  </si>
  <si>
    <t xml:space="preserve">Walikar's Volante MD appointment confirmed (reinsurancene.ws 'volante-names-laxmeekant-walikar-as-md-of-indian-subcontinent'); his Feb 2026 move to ASR confirmed. Outdated verdict stands.</t>
  </si>
  <si>
    <t xml:space="preserve">(Mar 2026) IRDAI order of 20 March 2026 records the surrender of the Certificate of Registration of Volante Global Services India Pvt Ltd (Lloyd's India service company); the entity has withdrawn from the Lloyd's India platform.</t>
  </si>
  <si>
    <t xml:space="preserve">https://policyholder.gov.in/en/web/guest/orders1</t>
  </si>
  <si>
    <t xml:space="preserve">Order number and date confirmed, but the order surfaced on the IRDAI orders listing at policyholder.gov.in (IRDAI's consumer portal), not at irdai.gov.in/department/reinsurance; URL replaced with the page that surfaced. Still a regulator source.</t>
  </si>
  <si>
    <t xml:space="preserve">(Feb 2026) Former Volante India MD Laxmeekant Walikar, who set up Volante Syndicate 1699's Lloyd's India service company, joined Africa Specialty Risks as Principal Officer &amp; MD India to establish ASR's Lloyd's service company for Syndicate 2454 via GIFT City; confirms wind-down of Volante's India build-out.</t>
  </si>
  <si>
    <t xml:space="preserve">https://www.reinsurancene.ws/africa-specialty-risks-appoints-laxmeekant-walikar-as-principal-officer-md-india/</t>
  </si>
  <si>
    <t xml:space="preserve">Appointment confirmed (reinsurancene.ws); dated February 2026 in extract, so '(2025-2026)' tightened to '(Feb 2026)'; Syndicate 2454 added.</t>
  </si>
  <si>
    <t xml:space="preserve">(Historical context) Volante launched its Mumbai office as a Lloyd's service company for Syndicate 1699 with Walikar as MD Indian Subcontinent; underwriting was to flow through Volante's international network across eight classes.</t>
  </si>
  <si>
    <t xml:space="preserve">https://insuranceasianews.com/lloyds-player-volante-global-launches-india-office/</t>
  </si>
  <si>
    <t xml:space="preserve">insuranceasianews URL not surfaced, but the same facts are confirmed by reinsurancene.ws ('Volante names Laxmeekant Walikar as MD of Indian Subcontinent') and the ASR extract ('Managing Director - Indian Subcontinent'). Historical, pre-2024.</t>
  </si>
  <si>
    <t xml:space="preserve">No audit items in any extract.</t>
  </si>
  <si>
    <t xml:space="preserve">Entity has EXITED: IRDAI order dated 20-03-2026 (IRDAI/REIN/ORD/MISC/42/3/2026) records surrender of the Certificate of Registration of Volante Global Services India Pvt Ltd. Its India MD Laxmeekant Walikar has moved to Africa Specialty Risks to set up ASR's Lloyd's service company via GIFT City. Recommend tagging row as 'withdrawn Mar 2026' and removing forward-looking bullets.</t>
  </si>
  <si>
    <t xml:space="preserve">Entity withdrawn: IRDAI registration surrendered 20 Mar 2026. Only bucket with content is Insurance Operations (historical Lloyd's India service-company set-up, now exited). Technology, Finance, Internal Audit: none. Recommend marking row inactive.</t>
  </si>
  <si>
    <t xml:space="preserve">57</t>
  </si>
  <si>
    <t xml:space="preserve">1: Strengthening operational capability supporting facultative reinsurance</t>
  </si>
  <si>
    <t xml:space="preserve">The press release is about underwriting/claims/operations hires for facultative business; nothing on technology. Belongs in Insurance Operations (duplicate of Q2).</t>
  </si>
  <si>
    <t xml:space="preserve">axaxl.com press release (14 May 2025) is about underwriting, claims and operations hires for facultative business; no technology content in extract. Move to Q agreed.</t>
  </si>
  <si>
    <t xml:space="preserve">1: Continued public financial and solvency disclosures</t>
  </si>
  <si>
    <t xml:space="preserve">Specific disclosure URL did not surface in search; parent company page confirms the branch and names a CFO (Avneet Kumar Gupta). Routine IRDAI public disclosures are not a 'trend'; keep only if the link is manually verified and reword as regulatory reporting.</t>
  </si>
  <si>
    <t xml:space="preserve">https://axaxl.com/reinsurance/our-companies/xl-insurance-company-se/half-financial-year-2025-2026</t>
  </si>
  <si>
    <t xml:space="preserve">Disclosure page not searched within budget; verdict logic (routine statutory disclosure is not a finance-function trend) is sound.</t>
  </si>
  <si>
    <t xml:space="preserve">2: Continued investment in India operations through leadership expansion</t>
  </si>
  <si>
    <t xml:space="preserve">CEO appointment is leadership/insurance-operations news, not Finance. Source confirmed (Shukla CEO from 1 Apr 2025).</t>
  </si>
  <si>
    <t xml:space="preserve">Shukla CEO from 1 Apr 2025 confirmed (reinsurancene.ws, insurancebusinessmag, coverager). Leadership change belongs in Q.</t>
  </si>
  <si>
    <t xml:space="preserve">1: Leadership transition to support growth in facultative reinsurance</t>
  </si>
  <si>
    <t xml:space="preserve">https://reinasia.com/axa-xl-appoints-alok-shukla-as-india-reinsurance-branch-ceo/</t>
  </si>
  <si>
    <t xml:space="preserve">Confirmed; note Augustine stepped down 31 Jan 2025 and served as Senior Advisor to end-March 2025.</t>
  </si>
  <si>
    <t xml:space="preserve">2: Significant strengthening of underwriting capability</t>
  </si>
  <si>
    <t xml:space="preserve">Confirmed: five appointments announced 14 May 2025 incl. Sharma as CUO (joined 12 May 2025 from Swiss Re), a claims specialist from WTW India, and underwriting hires.</t>
  </si>
  <si>
    <t xml:space="preserve">3: Expansion of specialty reinsurance capabilities</t>
  </si>
  <si>
    <t xml:space="preserve">Company page only lists the lines written (Property, Casualty, Specialty incl. agriculture); it does not evidence an 'expansion'. Reword as 'lines underwritten' or drop.</t>
  </si>
  <si>
    <t xml:space="preserve">https://axaxl.com/reinsurance/our-companies/xl-insurance-company-se</t>
  </si>
  <si>
    <t xml:space="preserve">axaxl.com company page not surfaced within budget; verdict logic (lines list is not an expansion) is sound.</t>
  </si>
  <si>
    <t xml:space="preserve">(Apr 2025) Alok Shukla (19+ years in re/insurance; ex-Munich Re and Bharti AXA General Insurance) became CEO of XL Insurance Company SE - India Reinsurance Branch on 1 April 2025, succeeding Joseph Augustine, who stepped down on 31 January 2025 after 15 years with AXA and acted as Senior Advisor until end-March.</t>
  </si>
  <si>
    <t xml:space="preserve">Date and succession confirmed. 'CEO since 2018' for Augustine was not in any extract and is replaced with the extract's '15 years of service to AXA' and 31 Jan 2025 step-down.</t>
  </si>
  <si>
    <t xml:space="preserve">(May 2025) AXA XL made five India appointments including Saumitra Sharma (from Swiss Re) as Chief Underwriting Officer from 12 May 2025; Mumbai team expanded across underwriting, claims and operations to deliver tailored facultative solutions.</t>
  </si>
  <si>
    <t xml:space="preserve">Confirmed by axaxl.com press release, reinasia, reinsurancene.ws, Asia Insurance Review (20 May 2025): Sharma joined 12 May 2025 from Swiss Re; four further hires (Bhootara, Manchanda, Kumar, Jain) across underwriting, claims and operations.</t>
  </si>
  <si>
    <t xml:space="preserve">(2025-2026) Branch writes Property, Casualty and Specialty reinsurance including Agriculture for Indian general insurers; KMP: Alok Shukla (CEO), Avneet Kumar Gupta (CFO), Saumitra Sharma (CUO).</t>
  </si>
  <si>
    <t xml:space="preserve">axaxl.com our-companies page not surfaced within budget; domain credible; KMP names consistent with press coverage (Shukla CEO, Sharma CUO).</t>
  </si>
  <si>
    <t xml:space="preserve">Mumbai reinsurance branch (IRDAI-registered 2017) writing Property, Casualty, Specialty incl. Agriculture. KMP per company page: Alok Shukla (CEO), Avneet Kumar Gupta (CFO), Saumitra Sharma (CUO). No evidence of any technology or shared-services function in India.</t>
  </si>
  <si>
    <t xml:space="preserve">Primary: Insurance Operations (new CEO Apr 2025, CUO and four further hires May 2025, facultative P&amp;C/specialty/agri underwriting). Finance: limited (CFO in place, statutory disclosures only). Technology: none public. Internal Audit: none public.</t>
  </si>
  <si>
    <t xml:space="preserve">58</t>
  </si>
  <si>
    <t xml:space="preserve">1: Increasing emphasis on risk advisory, analytics and data-driven broking</t>
  </si>
  <si>
    <t xml:space="preserve">Source is a broking award release (InsuranceAsia News Country Awards 2025); it is Insurance Operations evidence, duplicating Q1. Only generic mention of data/analytics strategy.</t>
  </si>
  <si>
    <t xml:space="preserve">https://www.wtwco.com/en-in/news/2025/07/willis-is-named-best-broker-in-india-indonesia-the-philippines-singapore-and-vietnam-at-the-2025</t>
  </si>
  <si>
    <t xml:space="preserve">Source is the Jul 2025 Best Broker award release; broking recognition belongs in Q. Move agreed.</t>
  </si>
  <si>
    <t xml:space="preserve">2: Broking model increasingly supported by analytics-driven risk solutions</t>
  </si>
  <si>
    <t xml:space="preserve">https://www.wtwco.com/en-in/about-us/wtw-india-insurance-brokers</t>
  </si>
  <si>
    <t xml:space="preserve">wtwco.com about-us India page not surfaced within budget; verdict ('confirmed' but generic positioning) is reasonable.</t>
  </si>
  <si>
    <t xml:space="preserve">(Jul 2025) WTW India Global Delivery Centre (Mumbai/Thane) recognised among Top GCC Companies at the GCC Workplace Awards 2025 (second consecutive year; ceremony Bengaluru, Jul 2025) and for Employee Experience Excellence at the ETHR Employee Experience Awards 2025.</t>
  </si>
  <si>
    <t xml:space="preserve">https://careers.wtwco.com/blogs/our-stories/wtw-india-gdc-awards-2025</t>
  </si>
  <si>
    <t xml:space="preserve">careers.wtwco.com blog confirmed; second award identified as ETHR Employee Experience Awards 2025; GCC Workplace Awards second edition held Jul 2025 (The Week, 11 Jul 2025). Note this is a workplace/employer award, i.e. evidence of GDC scale rather than a specific technology initiative.</t>
  </si>
  <si>
    <t xml:space="preserve">(Mar 2026) WTW Global Delivery and Solutions India Pvt Ltd (the GDC entity, Mumbai HQ, classified under data processing/hosting services) reported ~4,572 employees as of 1 Mar 2026, with FY25 revenue of INR 500-1,000 crore and ~13% revenue CAGR.</t>
  </si>
  <si>
    <t xml:space="preserve">https://tracxn.com/d/legal-entities/india/wtw-global-delivery-and-solutions-india-private-limited/__c4hDJphJM88IL8sC-3ZHwyi1mCcbWCzqt21Akt8zuOE</t>
  </si>
  <si>
    <t xml:space="preserve">Tracxn page not surfaced within budget (search returned World Wide Technology 'WWT' results instead). Tracxn is a weak/registry-type source; headcount and revenue band should be treated as unverified until checked.</t>
  </si>
  <si>
    <t xml:space="preserve">1: Strong FY2025 revenue growth</t>
  </si>
  <si>
    <t xml:space="preserve">Revenue growth of the broker is business performance, not a Finance-function trend (P is for finance shared services/FP&amp;A/treasury hubs). URL not surfaced in search. Remove or move to a general 'scale' note.</t>
  </si>
  <si>
    <t xml:space="preserve">https://www.thecompanycheck.com/company/willis-towers-watson-india-insurance-brokers-private-limited/U74999HR2003PTC120185</t>
  </si>
  <si>
    <t xml:space="preserve">Bucket logic agreed: broker revenue growth is business performance, not a finance-function trend. Registry URL not surfaced in audit searches.</t>
  </si>
  <si>
    <t xml:space="preserve">2: Continued business expansion and scale growth</t>
  </si>
  <si>
    <t xml:space="preserve">Same issue: registry profile, not a finance-function trend; emis page not surfaced. Remove.</t>
  </si>
  <si>
    <t xml:space="preserve">https://www.emis.com/php/company-profile/IN/Willis_Towers_Watson_India_Insurance_Brokers_Private_Limited_en_3448106.html</t>
  </si>
  <si>
    <t xml:space="preserve">Same logic; emis page not surfaced.</t>
  </si>
  <si>
    <t xml:space="preserve">(2025-2026) India GDC hiring Business Analyst roles in Mumbai/Thane for finance and accounting operations, plus finance, treasury and tax roles, indicating finance-process delivery from the India centre (job-posting evidence only).</t>
  </si>
  <si>
    <t xml:space="preserve">https://careers.wtwco.com/jobs/business-analyst-mumbai-maharashtra-india-thane</t>
  </si>
  <si>
    <t xml:space="preserve">Business Analyst finance-operations posting not searched within budget; careers.wtwco.com domain is credible; job-posting evidence only.</t>
  </si>
  <si>
    <t xml:space="preserve">1: Recognition as India's Best Insurance Broker</t>
  </si>
  <si>
    <t xml:space="preserve">Confirmed: Willis named Best Broker in India (plus Indonesia, Philippines, Singapore, Vietnam) at InsuranceAsia News Country Awards for Excellence 2025; wtwco.com release dated Jul 2025.</t>
  </si>
  <si>
    <t xml:space="preserve">2: Expansion of specialty insurance capabilities</t>
  </si>
  <si>
    <t xml:space="preserve">URL not surfaced in any search; replace with the verified aviation &amp; space practice head appointment (Anant Pawar) from Insurance Business.</t>
  </si>
  <si>
    <t xml:space="preserve">https://asiainsurancepost.com/archives/65336</t>
  </si>
  <si>
    <t xml:space="preserve">asiainsurancepost 65336 not surfaced in audit searches either; Anant Pawar aviation/space appointment (Apr 2025) is the verified replacement.</t>
  </si>
  <si>
    <t xml:space="preserve">3: Continued focus on industry-specialized broking and advisory</t>
  </si>
  <si>
    <t xml:space="preserve">about-us page not surfaced within budget.</t>
  </si>
  <si>
    <t xml:space="preserve">(Jul 2025) Willis, a WTW business, named Best Broker in India (and Indonesia, Philippines, Singapore, Vietnam) at the InsuranceAsia News Country Awards for Excellence 2025; India strategy anchored in industry specialism, risk advisory, data and analytics.</t>
  </si>
  <si>
    <t xml:space="preserve">Confirmed (wtwco.com Jul 2025 release; careers.wtwco.com blog; insuranceasianews awards page).</t>
  </si>
  <si>
    <t xml:space="preserve">(Apr 2025) Willis appointed Anant Pawar (27+ years; ex-Global Insurance Brokers, where he helped secure Lloyd's authorisation in India) to head its aviation and space insurance practice in India, continuing the industry-specialisation build-out of the Indian broking business.</t>
  </si>
  <si>
    <t xml:space="preserve">https://www.insurancebusinessmag.com/asia/news/travel/wtws-willis-taps-new-head-for-india-aviation-insurance-532935.aspx</t>
  </si>
  <si>
    <t xml:space="preserve">Confirmed by insurancebusinessmag, reinsurancene.ws, reinasia and Asia Insurance Review (23 Apr 2025); date tightened from '(2025)' to '(Apr 2025)'.</t>
  </si>
  <si>
    <t xml:space="preserve">(Nov 2024) WTW named Broker of the Year in Asia at the 28th Asia Insurance Industry Awards 2024 (Singapore, 4 Nov 2024).</t>
  </si>
  <si>
    <t xml:space="preserve">https://www.wtwco.com/en-in/insights/2024/11/wtw-named-as-broker-of-the-year-in-asia</t>
  </si>
  <si>
    <t xml:space="preserve">Confirmed (wtwco.com insights Nov 2024; Asia Insurance Review 5 Nov 2024): Broker of the Year at 28th Asia Insurance Industry Awards, Singapore, 4 Nov 2024. Regional award, not India-specific.</t>
  </si>
  <si>
    <t xml:space="preserve">Weak but real evidence exists at the India GDC: careers.wtwco.com lists a Senior SOC SME (System and Organization Controls) role in Mumbai supporting delivery of SOC, ISAE and AAF audits on technology-scoped controls, reporting into Technology Compliance. Reword to 'technology compliance / controls-audit support roles at India GDC (job-posting evidence only)'.</t>
  </si>
  <si>
    <t xml:space="preserve">Verdict 'incorrect' upheld, but on different evidence: the researcher's 'Analyst - Mumbai' posting (SOC/FCA/NYDFS/GDPR/HIPAA) did not surface; a Senior SOC SME Mumbai posting on careers.wtwco.com did and is stronger controls-assurance evidence.</t>
  </si>
  <si>
    <t xml:space="preserve">(2025-2026, job-posting evidence) WTW India GDC (Mumbai) hosts technology-compliance/controls-assurance roles: a Senior SOC SME (System and Organization Controls) supports delivery of all SOC, ISAE and AAF audits on technology-scoped controls, reporting into the Technology Compliance SOC lead and coordinating with auditors; a related SOC SME role covers audit planning and execution. Evidence of controls-testing support delivered from India (weak; no public internal-audit team announcement).</t>
  </si>
  <si>
    <t xml:space="preserve">https://careers.wtwco.com/zh/jobs/senior-soc-sme-system-and-organization-controls-mumbai-maharashtra-india</t>
  </si>
  <si>
    <t xml:space="preserve">Researcher's 'analyst-mumbai' URL/quote did not surface; replaced with the Senior SOC SME Mumbai posting that did (careers.wtwco.com). Bucket R appropriate (controls assurance / compliance testing).</t>
  </si>
  <si>
    <t xml:space="preserve">Row mixes two legal entities: the broker (Willis Towers Watson India Insurance Brokers Pvt Ltd, Mumbai/Delhi/Chennai) and the GCC (WTW Global Delivery and Solutions India Pvt Ltd, 'India GDC', Mumbai/Thane, incorporated 1992, ~4,572 employees as of Mar 2026). Col S 'GDC growth' refers to the latter. Suggest splitting or labelling bullets by entity.</t>
  </si>
  <si>
    <t xml:space="preserve">Primary: Insurance Operations (Best Broker India Jul 2025, Asia Broker of the Year Nov 2024, aviation/space practice head Apr 2025). Secondary: Technology/GDC scale (India GDC Top GCC award Jul 2025; headcount ~4,570 unverified). Finance: limited (GDC F&amp;A roles, unverified). Internal Audit: weak (SOC/ISAE/AAF controls-audit support roles at Mumbai GDC).</t>
  </si>
  <si>
    <t xml:space="preserve">59</t>
  </si>
  <si>
    <t xml:space="preserve">No India-specific technology/AI/GCC news found. Lockton Re's AI-agent rollout in reinsurance broking workflows (Insurance Business, 2026) and Lockton's 'digital office' are global initiatives with no stated India component (searched: 'Lockton India Mumbai technology analytics centre OR GCC 2025'; 'Lockton India reinsurance entry 2026').</t>
  </si>
  <si>
    <t xml:space="preserve">No finance-function information found for Lockton India.</t>
  </si>
  <si>
    <t xml:space="preserve">(Feb 2026) Lockton hired Renuka Nar from Aon as Director and Head of Life &amp; Health Reinsurance, India, reporting to Sudip Indani, to build out reinsurance broking capability in India (client partnerships, market development).</t>
  </si>
  <si>
    <t xml:space="preserve">https://www.insurancebusinessmag.com/reinsurance/news/breaking-news/lockton-taps-aons-renuka-nar-to-lead-life-and-health-reinsurance-in-india-566052.aspx</t>
  </si>
  <si>
    <t xml:space="preserve">Confirmed by insurancebusinessmag, reinasia, reinsurancene.ws: Nar (24+ years; ex-head of broking, Aon L&amp;H reinsurance India, a practice launched Jan 2025) reports to Sudip Indani. Exact month not stated in extract; article sequence is consistent with early 2026, so '(Feb 2026)' retained.</t>
  </si>
  <si>
    <t xml:space="preserve">(2025) Lockton India (nine branches incl. Mumbai, Delhi, Kolkata, Bangalore, Chennai) serves 1,000+ clients with ~241 associates, with plans to scale to ~380; Lockton entered India via the IRDAI-approved acquisition of Arihant Insurance Broking Services (approval Oct 2024) and commenced Indian operations on 1 January 2025; it has also signalled a formal reinsurance-broking entry.</t>
  </si>
  <si>
    <t xml:space="preserve">https://global.lockton.com/in/en/news-insights/lockton-indias-strategic-growth-navigating-insurance-markets-and-expanding</t>
  </si>
  <si>
    <t xml:space="preserve">Headcount/client figures confirmed on global.lockton.com. Researcher's 'Jan 2024' acquisition date is wrong: IRDAI approval reported Oct 2024 (yourstory/reinsurancene.ws) and operations commenced 1 Jan 2025 (Business Standard, Dec 2024). Entity_note's 'acquired Jan 2024' should be corrected likewise.</t>
  </si>
  <si>
    <t xml:space="preserve">(2025) JSW MG Motor India appointed Lockton India as its insurance broking partner; Lockton India Insurance Broking and Advisory Ltd with Zuno General Insurance facilitates the extended EV Assured Buy-Back programme ('MG Value Promise').</t>
  </si>
  <si>
    <t xml:space="preserve">https://global.lockton.com/in/en/news-insights/lockton-india-strengthens-customer-confidence-in-ev-ownership-through-jsw-mg</t>
  </si>
  <si>
    <t xml:space="preserve">Confirmed on global.lockton.com and auto-press coverage (Value Promise buyback 3/4/5 years, facilitated by Lockton India Insurance Broking and Advisory Ltd with Zuno General Insurance).</t>
  </si>
  <si>
    <t xml:space="preserve">(2025) Lockton recognised for India's Outstanding Claims Practice (alongside Singapore Best Broker) at Asia industry awards, supporting the claims-advisory capability listed in col E.</t>
  </si>
  <si>
    <t xml:space="preserve">https://global.lockton.com/apac/en/news-insights/lockton-recognized-for-brokerage-and-claims-excellence-across-asia</t>
  </si>
  <si>
    <t xml:space="preserve">Confirmed on global.lockton.com ('Lockton Recognized for Brokerage and Claims Excellence Across Asia'): India award is 'Outstanding Claims Management'. Awarding body/month not in extract.</t>
  </si>
  <si>
    <t xml:space="preserve">(2025) Sudip Indani appointed MD - Head of People Solutions India (benefits broking, consulting, data analytics, wellbeing, healthcare strategy), the executive the new reinsurance head reports to.</t>
  </si>
  <si>
    <t xml:space="preserve">https://www.hrkatha.com/people/movement/sudip-indani-joins-lockton-as-md-people-solutions/</t>
  </si>
  <si>
    <t xml:space="preserve">hrkatha URL not surfaced, but Indani's role is confirmed by the Insurance Business extract: 'Sudip Indani is managing director - head of people solutions for India at Lockton'.</t>
  </si>
  <si>
    <t xml:space="preserve">No internal audit / SOX information found for Lockton India.</t>
  </si>
  <si>
    <t xml:space="preserve">No evidence of a Lockton GCC/captive in India was found; the entities surfaced are the broker Lockton Insurance Brokers (India) Pvt Ltd / Lockton India Insurance Broking and Advisory Ltd (ex-Arihant, acquired Jan 2024, nine branches). Lockton's 'digital office for data and tech innovation' is a global initiative, not India. Recommend renaming the row to the broker entity and dropping 'GCC' unless the team has an MCA record for 'Lockton Services India'.</t>
  </si>
  <si>
    <t xml:space="preserve">Primary: Insurance Operations (L&amp;H reinsurance head hire early 2026 and stated reinsurance-broking entry; broking growth from 241 to ~380 staff; JSW MG EV programme; India claims award). Technology: none India-specific. Finance: none. Internal Audit: none. 'GCC' label unsupported; India operations started 1 Jan 2025 after Oct 2024 IRDAI approval of the Arihant deal.</t>
  </si>
  <si>
    <t xml:space="preserve">60</t>
  </si>
  <si>
    <t xml:space="preserve">(Jun 2026) BMS opened a Global Capability Centre in Mumbai as a platform to build data, analytics and AI capability at scale; group CEO Nick Cook: it will 'help BMS serve clients better and compete more effectively'.</t>
  </si>
  <si>
    <t xml:space="preserve">https://www.reinsurancene.ws/bms-establishes-global-capability-centre-in-mumbai-led-by-nipun-mapara/</t>
  </si>
  <si>
    <t xml:space="preserve">Confirmed: announcement dated 23 Jun 2026; centre built to scale data, analytics and AI capability; led by Nipun Mapara (MD).</t>
  </si>
  <si>
    <t xml:space="preserve">(Jun 2026) BMS is accelerating investment in data infrastructure and the live deployment of AI tools across broking and operations, with the Mumbai GCC supplying specialist capability and access to India's AI/data talent; EY advised on feasibility, design and build.</t>
  </si>
  <si>
    <t xml:space="preserve">https://www.insurancebusinessmag.com/reinsurance/news/breaking-news/bms-expands-ai-and-analytics-footprint-in-india-580123.aspx</t>
  </si>
  <si>
    <t xml:space="preserve">Confirmed (insurancebusinessmag 'BMS expands AI and analytics footprint in India'; EY advised on feasibility, design and build).</t>
  </si>
  <si>
    <t xml:space="preserve">(Jun 2026) BMS's own release confirms the Mumbai GCC is 'central to BMS's long-term operating model', broadening access to talent, skills and AI expertise in India; coverage also carried by Global Reinsurance and Asia Insurance Post.</t>
  </si>
  <si>
    <t xml:space="preserve">https://www.bmsgroup.com/en/news/bms-opens-global-capability-centre-in-mumbai</t>
  </si>
  <si>
    <t xml:space="preserve">globalreinsurance.com URL not surfaced within budget; replaced primary citation with the bmsgroup.com press release that did surface (stronger, company source). Content unchanged.</t>
  </si>
  <si>
    <t xml:space="preserve">No publicly verified finance-function (F&amp;A, FP&amp;A, treasury) activity at the BMS Mumbai GCC (searched: 'BMS Group Mumbai GCC Nipun Mapara 2026 AI data analytics'; 'BMS Mumbai GCC EY advised June 2026 Nick Cook broking operations technology').</t>
  </si>
  <si>
    <t xml:space="preserve">(Jun 2026) The Mumbai GCC, led by Nipun Mapara (MD) with Sanjeev Poojari as Head of Operations, is already supporting broking operations/broking support, client services, analytics and technology for BMS teams globally, positioned as an integrated part of the operating model.</t>
  </si>
  <si>
    <t xml:space="preserve">https://asiainsurancepost.com/archives/81504</t>
  </si>
  <si>
    <t xml:space="preserve">asiainsurancepost URL not surfaced, but leadership (Mapara MD, Poojari Head of Operations) and scope (broking operations, data, analytics, technology, client service) confirmed by bmsgroup.com, insurance-edge and reinsurancene.ws. The 'already supporting several functions' quote was not in audit extracts; treat as from the cited article.</t>
  </si>
  <si>
    <t xml:space="preserve">(Jun 2026) Scope confirmed as broking operations, data, analytics, technology and client-service functions across the group's global business.</t>
  </si>
  <si>
    <t xml:space="preserve">https://insurance-edge.net/2026/06/23/bms-opens-global-capability-centre-in-mumbai/</t>
  </si>
  <si>
    <t xml:space="preserve">insurance-edge.net URL surfaced (23 Jun 2026); scope wording confirmed.</t>
  </si>
  <si>
    <t xml:space="preserve">(Jun 2026) The Mumbai GCC complements BMS's wider India presence following its recently announced strategic partnership with Berns Brett India (BBI), an Indian broker, linking the capability centre to BMS's in-market broking push.</t>
  </si>
  <si>
    <t xml:space="preserve">Added from the company release: India market context (BBI partnership) relevant to Insurance Operations.</t>
  </si>
  <si>
    <t xml:space="preserve">No internal audit / SOX information found for the BMS Mumbai GCC.</t>
  </si>
  <si>
    <t xml:space="preserve">Team col S bullets are accurate and well supported by Jun 2026 coverage (Reinsurance News, Insurance Business, Global Reinsurance, Asia Insurance Post, Insurance Edge). Centre opened/announced June 2026; EY advised on feasibility, design and build.</t>
  </si>
  <si>
    <t xml:space="preserve">Primary: Technology (Jun 2026 Mumbai GCC built for data, analytics and AI; live AI deployment across broking/ops; EY-designed). Secondary: Insurance Operations (broking support, client services from Mumbai). Finance: none public. Internal Audit: none public.</t>
  </si>
  <si>
    <t xml:space="preserve">61</t>
  </si>
  <si>
    <t xml:space="preserve">(Mar 2026) The JV pairs Jio Financial Services' local market knowledge and reach with Allianz's global underwriting and reinsurance skills; no India technology centre, AI programme or CTO appointment has been announced for the reinsurer itself. (Positioning statement only; weak as a Technology item.)</t>
  </si>
  <si>
    <t xml:space="preserve">https://www.allianz.com/en/mediacenter/news/media-releases/financials/260326-allianz-jio-reinsurance-limited-commences-operations.html</t>
  </si>
  <si>
    <t xml:space="preserve">Independent extract of the Allianz release wording reads 'local market knowledge and reach', not 'digital infrastructure'; evidence quote and text corrected. Date Mar 2026 and URL confirmed. Item is essentially a statement that there is no tech initiative; acceptable as a caveat bullet.</t>
  </si>
  <si>
    <t xml:space="preserve">No publicly verified information found on finance/F&amp;A functions (researcher searched: Allianz Jio Reinsurance IRDAI licence 2026; Allianz Jio Re Sonia Rawal team Mumbai capital lines digital; auditor searched: Allianz Jio Reinsurance IRDAI approval commences operations March 2026 Sonia Rawal CEO). Paid-up capital not surfaced.</t>
  </si>
  <si>
    <t xml:space="preserve">(Mar 2026) Received final IRDAI approval on 12 Mar 2026 and commenced operations as India's second private domestic reinsurer (after Valueattics Re); authorised to underwrite reinsurance in India with immediate effect; headquartered in Mumbai.</t>
  </si>
  <si>
    <t xml:space="preserve">Extract confirms IRDAI final approval 12 Mar 2026, immediate authorisation to underwrite, Mumbai HQ (Allianz release; also reinsurancene.ws, Asia Insurance Review 30 Mar 2026). 'Second private domestic reinsurer after Valueattics Re' not in my extract; retained from researcher's search.</t>
  </si>
  <si>
    <t xml:space="preserve">(Mar 2026) Mumbai-headquartered; underwrites life and non-life reinsurance, both treaty and facultative, providing capacity and technical underwriting support to Indian insurers.</t>
  </si>
  <si>
    <t xml:space="preserve">https://www.insurancebusinessmag.com/reinsurance/news/breaking-news/allianz-jio-re-starts-operations-in-india-reinsurance-sector-570048.aspx</t>
  </si>
  <si>
    <t xml:space="preserve">URL surfaced in independent search (IBM 570048, Mar 2026); Mumbai HQ confirmed. Life/non-life treaty+facultative detail not visible in my extract but is the researcher's direct quote; no contradiction found.</t>
  </si>
  <si>
    <t xml:space="preserve">(Mar 2026) Sonia Rawal (Allianz Re Singapore since 2016, responsible for India and ASEAN; 17 years in APAC risk management and reinsurance) appointed CEO; Allianz Re says several Allianz colleagues joined to form a local expert team from day one.</t>
  </si>
  <si>
    <t xml:space="preserve">https://reinasia.com/allianz-jio-re-receives-approval-to-begin-reinsurance-operations-in-india-names-sonia-rawal-as-ceo/</t>
  </si>
  <si>
    <t xml:space="preserve">CEO appointment and 17-year APAC background confirmed independently; added that she has been at Allianz Reinsurance Singapore since 2016 covering India and ASEAN. Company source available as alternative: Allianz release / cxodigitalpulse.</t>
  </si>
  <si>
    <t xml:space="preserve">No publicly verified information found on internal audit/SOX/ICFR (same searches).</t>
  </si>
  <si>
    <t xml:space="preserve">Primary: Insurance Operations (new IRDAI-licensed domestic reinsurer, 12 Mar 2026; life and non-life treaty/facultative; Mumbai HQ; CEO Sonia Rawal ex-Allianz Re Singapore). Technology: none beyond JV-level positioning, no tech centre. Finance: none public. Internal Audit: none public.</t>
  </si>
  <si>
    <t xml:space="preserve">62</t>
  </si>
  <si>
    <t xml:space="preserve">Korean Re India Branch</t>
  </si>
  <si>
    <t xml:space="preserve">1: Establishment of a local operating platform</t>
  </si>
  <si>
    <t xml:space="preserve">Source confirms IFSCA approval for a reinsurance branch; this is a branch/licence event, not a technology item. No tech platform, data or AI initiative is described.</t>
  </si>
  <si>
    <t xml:space="preserve">https://www.reinsurancene.ws/korean-re-approved-to-establish-branch-in-indias-gift-city/</t>
  </si>
  <si>
    <t xml:space="preserve">Independent extracts of reinsurancene.ws / IBM 558208 / Asia Insurance Review describe only the IFSCA IIO authorisation and market purpose; no technology content. Bucket logic agreed.</t>
  </si>
  <si>
    <t xml:space="preserve">1: Strategic capital commitment to India expansion</t>
  </si>
  <si>
    <t xml:space="preserve">Article covers IFSCA approval for the GIFT City branch; no capital figure or finance-function activity in the extract. It is a market-entry item and belongs under Insurance Operations; otherwise 'unsupported' as a Finance bullet.</t>
  </si>
  <si>
    <t xml:space="preserve">https://www.insurancebusinessmag.com/reinsurance/news/breaking-news/korean-re-secures-approval-for-gift-city-branch-558208.aspx</t>
  </si>
  <si>
    <t xml:space="preserve">IBM 558208 extract: approval to operate as IIO, presence to deepen engagement with local cedants and regional counterparties. No capital figure. Agree: move to Q or drop as duplicate.</t>
  </si>
  <si>
    <t xml:space="preserve">1: Entry into India's reinsurance market through GIFT City</t>
  </si>
  <si>
    <t xml:space="preserve">Confirmed: 'obtained authorization on November 6 from the IFSCA to operate as an IFSC Insurance Office'; 'support India-focused reinsurance transactions and selected emerging-market exposures'.</t>
  </si>
  <si>
    <t xml:space="preserve">2: GIFT City selected as a platform for regional reinsurance growth</t>
  </si>
  <si>
    <t xml:space="preserve">Extract matches; agree it duplicates bullet 1.</t>
  </si>
  <si>
    <t xml:space="preserve">3: Expansion of overseas underwriting portfolio</t>
  </si>
  <si>
    <t xml:space="preserve">https://pulse.mk.co.kr/news/english/11941462</t>
  </si>
  <si>
    <t xml:space="preserve">pulse.mk.co.kr again did not surface in a targeted search; Korean Re webzine (eng.koreanre.co.kr Bulletin_198) extract confirms CEO Jong Gyu Won statement. Swap URL to the webzine.</t>
  </si>
  <si>
    <t xml:space="preserve">(Nov 2025) Authorised by IFSCA on 6 Nov 2025 to operate as an IFSC Insurance Office (IIO) in GIFT City; branch to support India-focused reinsurance transactions and selected emerging-market exposures, deepening engagement with local cedants and regional counterparties in Asia.</t>
  </si>
  <si>
    <t xml:space="preserve">https://www.reinsurancene.ws/korean-re-approved-to-establish-branch-in-indias-gift-city</t>
  </si>
  <si>
    <t xml:space="preserve">Date (6 Nov 2025), IIO authorisation and purpose all confirmed in independent extracts (reinsurancene.ws, IBM 558208, Asia Insurance Review 28 Nov 2025).</t>
  </si>
  <si>
    <t xml:space="preserve">(Jan 2026) Formally opened the India Branch in GIFT City with a ceremony on 20 Jan 2026; full-scale operations planned from April 2026. CEO Jong Gyu Won called India 'a core market with significant growth potential' and said Korean Re will keep expanding overseas inward reinsurance; India is its 12th overseas business base.</t>
  </si>
  <si>
    <t xml:space="preserve">https://eng.koreanre.co.kr/webzine/Bulletin_198/bull3.html</t>
  </si>
  <si>
    <t xml:space="preserve">Opening ceremony 20 Jan 2026, April 2026 full-scale operations and CEO quote confirmed from Korean Re webzine and Asia Insurance Review (30 Jan 2026). 'c.150 guests' not in my extract; removed as non-material. 12th overseas base retained from researcher's quote.</t>
  </si>
  <si>
    <t xml:space="preserve">Nothing on internal audit in any extract across two searches.</t>
  </si>
  <si>
    <t xml:space="preserve">Primary: Insurance Operations (IFSCA IIO licence 6 Nov 2025, opening ceremony 20 Jan 2026, full operations from Apr 2026; India-focused and emerging-market inward reinsurance; 12th overseas base). Technology: none public. Finance: none public (team's 'capital commitment' bullet unsupported). Internal Audit: none.</t>
  </si>
  <si>
    <t xml:space="preserve">63</t>
  </si>
  <si>
    <t xml:space="preserve">MAPFRE Re GIFT City branch</t>
  </si>
  <si>
    <t xml:space="preserve">No publicly verified information found on technology for the India branch (researcher: MAPFRE Re GIFT City IFSCA licence; MAPFRE Re India branch Bansal commences operations; auditor: MAPFRE Re GIFT City branch IFSCA approval Chaturbhuj Bansal; MAPFRE Re adds treaty underwriting and finance hires in India).</t>
  </si>
  <si>
    <t xml:space="preserve">(Aug/Sep 2026) MAPFRE Re appointed Sudhir Kamath as India lead for finance and administration at the GIFT City branch; he joins after 12+ years at GIC Re (latterly senior manager, Mumbai) with experience across finance, taxation, regulatory compliance, audit management and credit control (India and Malaysia). A small in-branch finance/admin function, not a shared-services hub.</t>
  </si>
  <si>
    <t xml:space="preserve">https://reinasia.com/mapfre-re-adds-treaty-underwriting-and-finance-hires-in-india/</t>
  </si>
  <si>
    <t xml:space="preserve">Researcher had only the headline; independent search surfaced the article body naming the finance hire (Sudhir Kamath) and his GIC Re background. Month not explicit in extract: article sequence (ReinAsia ?p=129380 follows the Jul 2026 PartnerRe item ?p=128764, and Bansal 'joined in June') implies Aug/Sep 2026. Upgraded from headline-only to substantive bullet.</t>
  </si>
  <si>
    <t xml:space="preserve">(Feb 2026) Received IFSCA approval on 9 Feb 2026 to open a branch office (IIO) in GIFT City, its newest branch, to serve the Indian domestic market with more agile, specialised local service; pre-opening formalities to follow with operations starting in the coming weeks.</t>
  </si>
  <si>
    <t xml:space="preserve">https://www.mapfre.com/en/communicate/corporate-communicate/mapfre-re-approval-opening-branch-office-india/</t>
  </si>
  <si>
    <t xml:space="preserve">Date 9 Feb 2026 and IFSCA approval confirmed (mapfre.com; Asia Insurance Review 16 Feb 2026; reinsurancene.ws).</t>
  </si>
  <si>
    <t xml:space="preserve">(Jun 2026) Chaturbhuj Bansal (16+ years in insurance/reinsurance; ex-Swiss Re 13 years, latterly Director and Head of P&amp;C Treaty Underwriting Advisory, Singapore and India) appointed Head of the India branch, based in GIFT City, subject to regulatory approval.</t>
  </si>
  <si>
    <t xml:space="preserve">https://www.mapfre.com/en/communicate/corporate-communicate/mapfre-re-appointment-head-india-branch/</t>
  </si>
  <si>
    <t xml:space="preserve">Appointment and background confirmed (mapfre.com, IBM 577754, globalreinsurance.com, reinsurancene.ws). Month added: ReinAsia states Bansal 'himself joined the business in June' (2026); IBM article id 577754 sits in the Jun 2026 range. Added 16-year/Director detail.</t>
  </si>
  <si>
    <t xml:space="preserve">(Aug/Sep 2026) Building the GIFT City underwriting team: Supreeth Tk appointed senior underwriter for non-life treaty business (11+ years in treaty underwriting and cat modelling; ex-Swiss Re AVP and underwriting adviser for cat and non-cat treaty), announced by branch head Bansal.</t>
  </si>
  <si>
    <t xml:space="preserve">Researcher had headline only; independent extract supplies the hire's name and background. Month inferred (Aug/Sep 2026) as above.</t>
  </si>
  <si>
    <t xml:space="preserve">No publicly verified information found on an internal audit function (same searches). Note only: the new finance &amp; administration lead's prior GIC Re experience included 'audit management' and 'regulatory compliance' -- an individual background, not an India audit team.</t>
  </si>
  <si>
    <t xml:space="preserve">Primary: Insurance Operations (IFSCA branch approval 9 Feb 2026; Head of India Chaturbhuj Bansal from Jun 2026; non-life treaty underwriter hire Aug/Sep 2026). Secondary: Finance (in-branch finance &amp; administration lead Sudhir Kamath, ex-GIC Re). Technology: none public. Internal Audit: none public.</t>
  </si>
  <si>
    <t xml:space="preserve">64</t>
  </si>
  <si>
    <t xml:space="preserve">Everest Reinsurance Company</t>
  </si>
  <si>
    <t xml:space="preserve">No publicly verified information found on technology for the India branch (researcher: Everest Reinsurance GIFT City IFSC branch; Everest India GIFT City branch head India team 2026; auditor: Everest Reinsurance IFSC Branch GIFT City IFSCA registration September 2025 Kevin Bogardus). Everest's separate India GCC/technology operations, if any, out of scope for this row.</t>
  </si>
  <si>
    <t xml:space="preserve">No publicly verified information found on finance functions (same searches).</t>
  </si>
  <si>
    <t xml:space="preserve">(Sep 2025) Everest Reinsurance Company, IFSC Branch received its IFSCA Certificate of Registration as an IFSC Insurance Office on 19 Sep 2025 (announced 22 Sep 2025); the office writes property, casualty and specialty reinsurance as part of Everest's Asia Pacific reinsurance business led by Kevin Bogardus, and aims to expand partnerships with local and multinational insurers.</t>
  </si>
  <si>
    <t xml:space="preserve">https://www.everestglobal.com/bm-en/news-media/press-releases/2025/everest-reinsurance-expands-apac-footprint-with-new-office-in-indias-gift-city</t>
  </si>
  <si>
    <t xml:space="preserve">Confirmed: registration 19 Sep 2025 as IIO; part of APAC Reinsurance under Kevin Bogardus (everestglobal.com press release in several locales; reinsurancene.ws; IBM 550597).</t>
  </si>
  <si>
    <t xml:space="preserve">(Oct 2025) Cyril Amarchand Mangaldas advised Everest on establishing the IIO under the IFSCA (Registration of Insurance Business) Regulations, 2021, confirming the registration date of 19 Sep 2025.</t>
  </si>
  <si>
    <t xml:space="preserve">https://www.scconline.com/blog/post/2025/10/28/cam-advises-everest-reinsurance-ifsc-insurance-office-gift-city/</t>
  </si>
  <si>
    <t xml:space="preserve">SCC Online post dated 28 Oct 2025 confirms 19 Sep 2025 registration under IFSCA (Registration of Insurance Business) Regulations, 2021.</t>
  </si>
  <si>
    <t xml:space="preserve">No publicly verified information found on internal audit (same searches). No dedicated India branch head named in extracts beyond Bogardus (regional).</t>
  </si>
  <si>
    <t xml:space="preserve">Primary: Insurance Operations (IFSCA IIO registration 19 Sep 2025; property, casualty and specialty reinsurance under APAC head Kevin Bogardus). Technology, Finance, Internal Audit: none public for this branch.</t>
  </si>
  <si>
    <t xml:space="preserve">65</t>
  </si>
  <si>
    <t xml:space="preserve">Berkley Insurance Company</t>
  </si>
  <si>
    <t xml:space="preserve">No publicly verified information found on technology for the India branch (researcher: Berkley Insurance Company GIFT City IFSC branch; Berkley Insurance Asia India Unnati Bajpai 2026; auditor: Berkley Insurance Company IFSC Branch GIFT City dual licence Unnati Bajpai; Berkley officially begins India operations finance manager).</t>
  </si>
  <si>
    <t xml:space="preserve">(Dec 2025) The India team includes a finance manager (Harsh Jain) alongside a business support manager, indicating a small in-branch finance/support function rather than a shared-services hub.</t>
  </si>
  <si>
    <t xml:space="preserve">https://reinasia.com/berkley-officially-begins-india-operations-becomes-first-pc-insurer-in-gift-city-with-dual-licences/</t>
  </si>
  <si>
    <t xml:space="preserve">The ReinAsia URL surfaced in my search but the names Harsh Jain / Bhumika Dave were not in any extract I obtained; Kantawala as CUO was confirmed (lifeinsuranceinternational/enterpriseam extracts). Researcher's quote is verbatim and plausible; retained. Date set to Dec 2025 by inference (see Q2).</t>
  </si>
  <si>
    <t xml:space="preserve">(Dec 2024) IFSCA approved Berkley Insurance Company's IFSC Branch in GIFT City (announced 19 Dec 2024), with Unnati Bajpai (ex-Allianz) named CEO and Principal Officer; operations were expected to begin in 2025.</t>
  </si>
  <si>
    <t xml:space="preserve">https://www.businesswire.com/news/home/20241219735973/en/W.-R.-Berkley-Corporation-Establishes-Branch-Office-of-Berkley-Insurance-Company-in-India</t>
  </si>
  <si>
    <t xml:space="preserve">Dec 2024 approval confirmed, but the researcher's URL (IBM 559861) is a Dec 2025 article about dual licences; replaced with the 19 Dec 2024 Business Wire / ir.berkley.com release (company source). The 'first P&amp;C insurer with dual licences' claim moved to the Q2 bullet where it belongs chronologically.</t>
  </si>
  <si>
    <t xml:space="preserve">(Dec 2025) Operations commenced under CEO Unnati Bajpai and CUO Ashaya Kantawala (ex-TATA AIG, casualty underwriting); the branch is the first P&amp;C insurer in GIFT City holding both direct insurance and reinsurance licences, able to insure GIFT City/SEZ-located insureds and participate in Indian and cross-border reinsurance placements. Focus lines: financial lines, cyber, casualty, professional indemnity, specie and marine, targeting pharma, chemicals, technology and infrastructure.</t>
  </si>
  <si>
    <t xml:space="preserve">https://www.insurancebusinessmag.com/asia/news/breaking-news/berkley-gift-city-branch-first-pandc-with-dual-licences-559861.aspx</t>
  </si>
  <si>
    <t xml:space="preserve">Dual-licence status, lines (incl. marine, which the researcher omitted) and dual-licence scope confirmed from IBM 559861 extract; Kantawala CUO confirmed. Month was '(2025)'; IBM article id 559861 and ReinAsia ?p=103213 fall just after the Nov 2025 Korean Re items (558208 / 102063), so dated Dec 2025 (approximate). URL switched to the IBM article.</t>
  </si>
  <si>
    <t xml:space="preserve">No publicly verified information found on internal audit (same searches).</t>
  </si>
  <si>
    <t xml:space="preserve">Primary: Insurance Operations (IFSCA approval Dec 2024; operations and first dual insurance+reinsurance P&amp;C licence in GIFT City by Dec 2025; specialty lines cyber/casualty/financial lines/PI/specie/marine; CEO Unnati Bajpai, CUO Ashaya Kantawala). Finance: minimal (one in-branch finance manager, not independently re-verified). Technology: none public. Internal Audit: none public.</t>
  </si>
  <si>
    <t xml:space="preserve">66</t>
  </si>
  <si>
    <t xml:space="preserve">PartnerRe GIFT City branch</t>
  </si>
  <si>
    <t xml:space="preserve">No publicly verified information found on technology for the India branch (researcher: PartnerRe GIFT City branch IFSCA; PartnerRe appoints Ankur Gupta CEO India; auditor: PartnerRe GIFT City branch approval Ankur Gupta CEO India 2026; PartnerRe names Ankur Gupta CEO India effective).</t>
  </si>
  <si>
    <t xml:space="preserve">(Feb 2026) Received regulatory approval on 25 Feb 2026 to establish a branch in GIFT City, PartnerRe's first presence in India, within its Asia Pacific reinsurance business then led by James Beedle (CEO Partner Reinsurance Asia / CEO P&amp;C APAC); branch to serve Indian clients locally with PartnerRe's global underwriting expertise and capital strength.</t>
  </si>
  <si>
    <t xml:space="preserve">https://www.partnerre.com/news/partnerre-to-establish-a-branch-in-indias-gift-city-gujarat-international-finance-tec-city/</t>
  </si>
  <si>
    <t xml:space="preserve">Date 25 Feb 2026, first India move, Beedle leadership and purpose confirmed (partnerre.com; IBM 566985; reinsurancene.ws; businessinsurance.com). Minor edit: 'then led by' since Beedle has since retired (see Q2).</t>
  </si>
  <si>
    <t xml:space="preserve">(Jul 2026) Ankur Gupta (ex-Munich Re India head of client management 2019-2026; earlier 7+ years at ICICI Lombard international business, health reinsurance across GCC/SAARC/Africa) appointed CEO India, effective June 2026, reporting into APAC P&amp;C CEO Sasa Hu following James Beedle's retirement and APAC role changes effective 1 Jul 2026.</t>
  </si>
  <si>
    <t xml:space="preserve">https://www.reinsurancene.ws/partnerre-names-ankur-gupta-as-ceo-india/</t>
  </si>
  <si>
    <t xml:space="preserve">Appointment, effective June 2026, Munich Re and ICICI Lombard background confirmed (reinsurancene.ws, IBM 582771, ReinAsia, Asia Insurance Review 23 Jul 2026 -- announcement month Jul 2026 confirmed). Added context that Sasa Hu is now CEO APAC P&amp;C after Beedle's retirement (expanded roles 1 Jul 2026).</t>
  </si>
  <si>
    <t xml:space="preserve">Primary: Insurance Operations (GIFT City branch approval 25 Feb 2026, first India entry; CEO India Ankur Gupta from Jun 2026 under APAC P&amp;C CEO Sasa Hu). Technology, Finance, Internal Audit: none public.</t>
  </si>
  <si>
    <t xml:space="preserve">67</t>
  </si>
  <si>
    <t xml:space="preserve">IGI reinsurance branch</t>
  </si>
  <si>
    <t xml:space="preserve">No publicly verified information found on technology (researcher: IGI International General Insurance GIFT City branch IFSCA 2025 2026; auditor: IGI International General Insurance GIFT City IFSCA licence branch 2026).</t>
  </si>
  <si>
    <t xml:space="preserve">(Jun 2026) IGI secured IFSCA registration approval to operate an IFSC Insurance Office in GIFT City as a reinsurance branch of International General Insurance Company (UK) Ltd; it will open an office, recruit a local team and commence operations within 2026.</t>
  </si>
  <si>
    <t xml:space="preserve">https://www.businesswire.com/news/home/20260608431690/en</t>
  </si>
  <si>
    <t xml:space="preserve">Business Wire release dated 8 Jun 2026 confirmed; also Bernews (Jun 2026), IBM 578296, globalreinsurance.com (Jabsheh quote).</t>
  </si>
  <si>
    <t xml:space="preserve">(Jun 2026) The branch will focus on facultative and specialty treaty reinsurance for cedants and brokers in the Indian market, adding to IGI's regional offices in Oslo, Malta, Dubai, Casablanca and Kuala Lumpur (principal offices Bermuda, London, Amman).</t>
  </si>
  <si>
    <t xml:space="preserve">https://www.reinsurancene.ws/igi-to-open-a-new-branch-in-indias-gift-city-as-it-secures-license/</t>
  </si>
  <si>
    <t xml:space="preserve">Lines and office list confirmed in independent extract.</t>
  </si>
  <si>
    <t xml:space="preserve">No publicly verified information found on internal audit (same searches). Local team/head not yet named in extracts.</t>
  </si>
  <si>
    <t xml:space="preserve">Primary: Insurance Operations (IFSCA IIO approval Jun 2026; facultative and specialty treaty reinsurance; local team being recruited, operations within 2026). Technology, Finance, Internal Audit: none public.</t>
  </si>
  <si>
    <t xml:space="preserve">68</t>
  </si>
  <si>
    <t xml:space="preserve">Santam IFSC reinsurance office</t>
  </si>
  <si>
    <t xml:space="preserve">No publicly verified information found on technology (researcher: Santam GIFT City IFSC reinsurance office India 2025 2026; auditor: Santam IFSC reinsurance office GIFT City IFSCA licence first BRICS insurer).</t>
  </si>
  <si>
    <t xml:space="preserve">(Jan 2026) IFSCA granted Santam Limited a licence in January 2026 to operate an International Insurance Office (reinsurance branch) in GIFT City, making it the first BRICS-based insurer in GIFT City; the branch focuses on treaty and facultative reinsurance, with Santam Re providing capacity across property, engineering, marine and liability.</t>
  </si>
  <si>
    <t xml:space="preserve">https://www.reinsurancene.ws/santam-becomes-first-brics-based-insurer-to-set-up-presence-in-india-gift-city/</t>
  </si>
  <si>
    <t xml:space="preserve">Jan 2026 licence, first-BRICS claim and treaty/facultative focus confirmed (reinsurancene.ws, moonstone.co.za, Yahoo Finance, IBM 565900, Asia Insurance Review 20 Feb 2026). Added the lines Santam Re will provide capacity for (property, engineering, marine, liability).</t>
  </si>
  <si>
    <t xml:space="preserve">(Feb 2026) The IIO is to be run by a locally sourced team of insurance professionals, applying Santam's governance and risk-management standards; a head for the India reinsurance business has since been named (Moonstone, 2026; name not in extract).</t>
  </si>
  <si>
    <t xml:space="preserve">https://www.moonstone.co.za/santam-authorised-to-establish-ifsc-reinsurance-office-in-india/</t>
  </si>
  <si>
    <t xml:space="preserve">Moonstone URL confirmed in search. Added pointer to a later Moonstone item 'Santam names head for new India reinsurance business' (moonstone.co.za/?p=60175) whose extract did not surface the name; flagged for follow-up rather than asserted.</t>
  </si>
  <si>
    <t xml:space="preserve">No publicly verified information found on internal audit; the only governance reference is a generic statement that the local team will uphold Santam's governance standards (same searches).</t>
  </si>
  <si>
    <t xml:space="preserve">Primary: Insurance Operations (IFSCA IIO licence Jan 2026; treaty and facultative reinsurance backed by Santam Re capacity in property/engineering/marine/liability; first BRICS-based insurer in GIFT City; locally hired team, head named 2026). Technology, Finance, Internal Audit: none public.</t>
  </si>
  <si>
    <t xml:space="preserve">69</t>
  </si>
  <si>
    <t xml:space="preserve">Echo Re GIFT City branch </t>
  </si>
  <si>
    <t xml:space="preserve">1: Creation of a local operating platform</t>
  </si>
  <si>
    <t xml:space="preserve">The event is a branch opening/licence, not a technology item; no tech platform, data or AI initiative is described in any source found. The echore.com URL did not surface in search extracts (plausible but unverified).</t>
  </si>
  <si>
    <t xml:space="preserve">https://echore.com/echo-re-opens-branch-office-in-gift-city-ifsc/</t>
  </si>
  <si>
    <t xml:space="preserve">Two independent searches: all coverage (IBM 568642, reinsurancene.ws, businessinsurance.com, Asia Insurance Review 16 Mar 2026) is about the IFSCA approval of 12 Mar 2026 and the first branch outside Zurich; no technology content. Bucket logic agreed. echore.com still did not surface.</t>
  </si>
  <si>
    <t xml:space="preserve">1: Strategic investment in India's reinsurance market</t>
  </si>
  <si>
    <t xml:space="preserve">No finance-function or capital-figure content; this is a market-entry item duplicating Q bullets. URL not surfaced in extracts.</t>
  </si>
  <si>
    <t xml:space="preserve">https://www.insurancebusinessmag.com/reinsurance/news/breaking-news/echo-re-opens-first-branch-outside-zurich-in-indias-gift-city-568642.aspx</t>
  </si>
  <si>
    <t xml:space="preserve">Verdict wrong_bucket -&gt; Q agreed. Correction to note: IBM 568642 DID surface in my search ('Echo Re opens first branch outside Zurich in India's GIFT City'); its extract is market-entry content (approval 12 Mar 2026, decade-long India portfolio, DEVK ownership, GWP $482m 2024, Asia 61% of book) -- group financials, not an India finance function.</t>
  </si>
  <si>
    <t xml:space="preserve">2: India elevated to a core strategic market</t>
  </si>
  <si>
    <t xml:space="preserve">Strategic positioning statement, not a Finance item; fold into Q. URL not surfaced in extracts.</t>
  </si>
  <si>
    <t xml:space="preserve">https://www.reinsurancene.ws/echo-re-opens-branch-in-indias-fast-growing-gift-city/</t>
  </si>
  <si>
    <t xml:space="preserve">Verdict agreed. Correction: reinsurancene.ws/echo-re-opens-branch-in-indias-fast-growing-gift-city did surface in my search, so the URL is credible; still a positioning item for Q.</t>
  </si>
  <si>
    <t xml:space="preserve">1: Establishment of Echo Re's first branch office outside Zurich</t>
  </si>
  <si>
    <t xml:space="preserve">Confirmed: IFSCA approval 12 Mar 2026; first physical presence outside Zurich HQ; decade-plus India presence.</t>
  </si>
  <si>
    <t xml:space="preserve">2: Expansion of treaty reinsurance across P&amp;C and specialty lines</t>
  </si>
  <si>
    <t xml:space="preserve">Researcher marked unsupported for lack of extract; independent search surfaced supporting text. Verdict changed to confirmed.</t>
  </si>
  <si>
    <t xml:space="preserve">3: GIFT City adopted as gateway to the Indian subcontinent</t>
  </si>
  <si>
    <t xml:space="preserve">https://asiainsurancepost.com/archives/77662</t>
  </si>
  <si>
    <t xml:space="preserve">Substance now verified; URL replacement recommended; duplication point stands.</t>
  </si>
  <si>
    <t xml:space="preserve">4: Strengthening local leadership and operational presence</t>
  </si>
  <si>
    <t xml:space="preserve">https://noah-news.com/echo-re-expands-into-india-with-first-foreign-branch-in-gift-city-led-by-ankur-s-2/</t>
  </si>
  <si>
    <t xml:space="preserve">Researcher could not find the name; independent search surfaced ReinAsia, reinsurancene.ws and IBM items naming Ankur Sharma as principal officer. Verdict changed to confirmed with source swap.</t>
  </si>
  <si>
    <t xml:space="preserve">(Mar 2026) Echo Re (Zurich; wholly owned by Germany's DEVK Group; 2024 GWP $482m, Asia 61% of book), which has underwritten Indian treaty business across P&amp;C and specialty lines for over a decade, received IFSCA approval on 12 Mar 2026 to open a reinsurance branch in GIFT City -- its first branch outside Zurich and a gateway to the wider Indian subcontinent.</t>
  </si>
  <si>
    <t xml:space="preserve">Researcher's bullet said '(2026)' with ReinAsia URL; independent search gives exact approval date 12 Mar 2026, lines, ownership and scale; URL switched to IBM 568642 (which surfaced with full extract). ReinAsia URL remains valid as a secondary source.</t>
  </si>
  <si>
    <t xml:space="preserve">(Jun 2026) Appointed Rajil Khare as senior underwriter for the Indian subcontinent, effective 22 Jun 2026; he joins from Liberty General Insurance (SVP, head of reinsurance and commercial underwriting data analytics), with earlier treaty/facultative roles at AXA XL, XL Catlin and HDFC Ergo.</t>
  </si>
  <si>
    <t xml:space="preserve">https://reinasia.com/rajil-khare-joins-echo-re-as-senior-underwriter-indian-subcontinent/</t>
  </si>
  <si>
    <t xml:space="preserve">Appointment and 22 Jun date confirmed (ReinAsia, reinsurancene.ws, IBM 580290 'Echo Re hire signals India expansion push'); added career background from extract.</t>
  </si>
  <si>
    <t xml:space="preserve">(Jul 2026) Ankur Sharma appointed Principal Officer (head) of Echo Re's India IIO at GIFT City; he joins from Swiss Re after nearly a decade across its Mumbai and Bangalore offices, most recently as vice president.</t>
  </si>
  <si>
    <t xml:space="preserve">https://www.reinsurancene.ws/ankur-sharma-named-principal-officer-of-echo-res-india-branch/</t>
  </si>
  <si>
    <t xml:space="preserve">Researcher had only the IBM headline ('Swiss Re veteran'); independent search surfaced the name and background (ReinAsia, reinsurancene.ws, IBM 581978). Month inferred as Jul 2026 from IBM article-id range (581978 sits between the Jun 2026 IGI item 578296 and the Jul 2026 PartnerRe item 582771); treat month as approximate.</t>
  </si>
  <si>
    <t xml:space="preserve">No internal audit content in any extract.</t>
  </si>
  <si>
    <t xml:space="preserve">Primary: Insurance Operations (IFSCA-approved GIFT City branch 12 Mar 2026, first office outside Zurich; treaty P&amp;C and specialty lines; Principal Officer Ankur Sharma ex-Swiss Re, Jul 2026; senior underwriter Indian subcontinent Rajil Khare, Jun 2026). Technology: none (team's 'operating platform' bullet misbucketed). Finance: none. Internal Audit: none.</t>
  </si>
  <si>
    <t xml:space="preserve">70</t>
  </si>
  <si>
    <t xml:space="preserve">Saudi Re GIFT City branch</t>
  </si>
  <si>
    <t xml:space="preserve">No publicly verified information found on technology/AI at the GIFT City branch (searched: Saudi Re GIFT City branch IFSCA; Saudi Re Ruchi Jain principal officer lines of business).</t>
  </si>
  <si>
    <t xml:space="preserve">No publicly verified information found on finance functions at the India branch (same searches).</t>
  </si>
  <si>
    <t xml:space="preserve">(Jan 2026) Saudi Re obtained approvals from the Saudi Insurance Authority and India's IFSCA to open a reinsurance branch (IIO) in GIFT City, its second Asian foothold after Malaysia, with operations expected to begin in Q2 2026; it has written Indian business from Riyadh for over a decade (Asia ~22% of its portfolio) and calls India a key growth engine.</t>
  </si>
  <si>
    <t xml:space="preserve">https://www.saudiexchange.sa/wps/portal/saudiexchange/newsandreports/issuer-news/issuer-announcements/issuer-announcements-details/?anId=92665</t>
  </si>
  <si>
    <t xml:space="preserve">Saudi Exchange announcement surfaced in audit search; approvals, GIFT City branch and 'second foothold in Asia after Malaysia' confirmed. Added expected start of operations (Q2 2026) per Asia Insurance Review/enterpriseam extracts.</t>
  </si>
  <si>
    <t xml:space="preserve">(Jan 2026) Trade press on the launch: onshore GIFT City status gives Saudi Re a 10-year tax holiday and lower capital requirements to price Indian risk more competitively; India accounts for about USD 39m of Saudi Re premiums across segments.</t>
  </si>
  <si>
    <t xml:space="preserve">https://www.insurancebusinessmag.com/reinsurance/news/breaking-news/indias-gift-city-scores-another-reinsurance-heavyweight-with-saudi-re-branch-launch-563231.aspx</t>
  </si>
  <si>
    <t xml:space="preserve">Quoted phrase (10-year tax holiday, lower capital requirements, 'key growth engine' per CEO Ahmed Al-Jabr) reproduced in audit extract; USD 39m India premium figure confirmed separately (enterpriseam, Jun 2026). The exact insurancebusinessmag article URL (563231) did not itself appear in the audit result list; corroborating URLs that did: https://www.reinsurancene.ws/saudi-re-opens-gift-city-branch-following-indias-regulatory-reforms/ and https://enterpriseam.com/mena-india/2026/01/19/saudi-re-sets-up-gift-city-base-cites-india-as-key-growth-engine-2/</t>
  </si>
  <si>
    <t xml:space="preserve">(Jun 2026) Saudi Re appointed Ruchi Jain (ex-Swiss Re VP and Senior Client Underwriter; earlier Howden India and PINC Insurance) as Principal Officer of the Saudi Re IIO-GIFT City India Branch, i.e. the India team lead.</t>
  </si>
  <si>
    <t xml:space="preserve">https://www.reinsurancene.ws/ruchi-jain-named-principal-officer-of-saudi-res-iio-gift-city-india-branch/</t>
  </si>
  <si>
    <t xml:space="preserve">Appointment confirmed: enterpriseam dated 12 Jun 2026 and MEIR 15 Jun 2026 ('Saudi Re appoints Principal Officer of GIFT City branch'); Swiss Re VP/senior client underwriter background and India USD 39m premium confirmed. Reinsurance News URL not in audit list but atlas-mag/enterpriseam/MEIR corroborate.</t>
  </si>
  <si>
    <t xml:space="preserve">No publicly verified information found on internal audit/SOX at the India branch (same searches).</t>
  </si>
  <si>
    <t xml:space="preserve">Primary: Insurance Operations (reinsurance IIO approved Jan 2026, operations targeted from Q2 2026; Principal Officer Ruchi Jain appointed Jun 2026; India ~USD 39m premium book). Technology, Finance and Internal Audit: none public - small underwriting branch, not a GCC.</t>
  </si>
  <si>
    <t xml:space="preserve">71</t>
  </si>
  <si>
    <t xml:space="preserve">Qatar Islamic Insurance Group</t>
  </si>
  <si>
    <t xml:space="preserve">No publicly verified information found (searched: Qatar Islamic Insurance Group GIFT City IFSC reinsurance licence; QIIG India GIFT City branch 2026 principal officer).</t>
  </si>
  <si>
    <t xml:space="preserve">No publicly verified information found (same searches).</t>
  </si>
  <si>
    <t xml:space="preserve">(Aug 2026) Qatar Islamic Insurance Group obtained a licence from the IFSC authorities to establish an Indian branch in GIFT City to conduct reinsurance business (announced 26 Aug 2026), the latest in a long line of Gulf and global re/insurers setting up IIOs in the IFSC.</t>
  </si>
  <si>
    <t xml:space="preserve">https://qna.org.qa/en/News-Area/News/2026-8/26/qatar-islamic-insurance-group-obtains-license-to-open-branch-in-india</t>
  </si>
  <si>
    <t xml:space="preserve">Licence (26 Aug 2026, IFSC authorities, reinsurance branch in GIFT City) confirmed via Reinsurance News, Zawya and Business Insurance extracts. The qna.org.qa URL did not surface in the audit result list (Zawya alternative: https://www.zawya.com/en/business/the-world-of-islamic-finance/qatar-islamic-insurance-obtains-license-to-operate-in-india-467748). The named peer list (IGI, Kuwait Re, Echo Re, PartnerRe) was not in any extract, so softened to 'a long line of re/insurers'.</t>
  </si>
  <si>
    <t xml:space="preserve">(Aug 2026) Reinsurance News coverage of the same licence, in the context of GIFT City re/insurance volumes rising to USD 1.2bn in 2025 from USD 102m in 2020, driven by non-life and reinsurance.</t>
  </si>
  <si>
    <t xml:space="preserve">https://www.reinsurancene.ws/qatar-islamic-insurance-to-establish-its-reinsurance-branch-in-indias-gift-city/</t>
  </si>
  <si>
    <t xml:space="preserve">Reinsurance News URL surfaced and the GIFT City volume figures (USD 1.2bn in 2025 vs USD 102m in 2020, &gt;11x in five years, non-life and reinsurance led) are reproduced in the audit extract.</t>
  </si>
  <si>
    <t xml:space="preserve">Primary: Insurance Operations (IFSC reinsurance branch licence obtained Aug 2026; no India lead or lines announced). Technology, Finance, Internal Audit: none public - new, not yet operational branch.</t>
  </si>
  <si>
    <t xml:space="preserve">72</t>
  </si>
  <si>
    <t xml:space="preserve">ADNIC - IFSC Insurance Office </t>
  </si>
  <si>
    <t xml:space="preserve">No publicly verified information found (searched: ADNIC GIFT City IFSC insurance office reinsurance licence; ADNIC India GIFT City branch principal officer 2026).</t>
  </si>
  <si>
    <t xml:space="preserve">No publicly verified information found at the India branch level (ADNIC group Q1-26/H1-26 results only; same searches).</t>
  </si>
  <si>
    <t xml:space="preserve">(Jan 2026) ADNIC announced plans (28 Jan 2026) to open a reinsurance branch in GIFT City, having secured CBUAE approval with IFSCA approval to follow and a branch opening anticipated in the latter part of 2026; it builds on ADNIC's existing cross-border reinsurance book in India and follows its entry into Saudi Arabia (via Mutakamela Insurance), adding to physical offices in the UAE, Saudi Arabia and the UK.</t>
  </si>
  <si>
    <t xml:space="preserve">https://www.wam.ae/en/article/bygeu7d-adnic-open-new-branch-india</t>
  </si>
  <si>
    <t xml:space="preserve">WAM URL surfaced in audit search; announcement dated 28-29 Jan 2026 (Aletihad 28 Jan, Asia Insurance Review/MEIR 29 Jan). Extract confirms cross-border India reinsurance book, follow-on from Saudi entry (via Mutakamela Insurance) and UAE/KSA/UK footprint; added CBUAE approval and the 'opening in the latter part of 2026' expectation from the extract.</t>
  </si>
  <si>
    <t xml:space="preserve">(Apr 2026) ADNIC received the IFSCA licence to undertake reinsurance business from GIFT City, effective 1 April 2026; management frames it as diversifying revenue and serving clients across high-growth markets.</t>
  </si>
  <si>
    <t xml:space="preserve">https://meinsurancereview.com/News/ViewNewsLetterArticle/id/95245/type/MiddleEast/UAE-ADNIC-receives-licence-for-branch-in-India-s-GIFT-City</t>
  </si>
  <si>
    <t xml:space="preserve">MEIR 22 Apr 2026 and Asia Insurance Review 22 Apr 2026 ('ADNIC receives licence to operate in GIFT City') surfaced; licence effective 1 April 2026 and revenue-diversification framing confirmed.</t>
  </si>
  <si>
    <t xml:space="preserve">Primary: Insurance Operations (reinsurance IIO licence effective 1 Apr 2026, builds on cross-border India book; opening guided for later 2026; India head not yet public). Technology, Finance, Internal Audit: none public for the branch.</t>
  </si>
  <si>
    <t xml:space="preserve">73</t>
  </si>
  <si>
    <t xml:space="preserve">MS First Capital Insurance Limited</t>
  </si>
  <si>
    <t xml:space="preserve">No publicly verified information found (searched: MS First Capital GIFT City IFSC branch reinsurance; MS First Capital Vaidyanathan Venugopalan launch date).</t>
  </si>
  <si>
    <t xml:space="preserve">(Jul 2026) S. Venugopalan was named CFO of MS First Capital's GIFT City operations - the only finance-leadership item public for this branch; no shared-services or finance-hub activity is reported.</t>
  </si>
  <si>
    <t xml:space="preserve">https://www.reinsurancene.ws/ms-first-capital-begins-reinsurance-operations-from-indias-gift-city/</t>
  </si>
  <si>
    <t xml:space="preserve">Reinsurance News and ReinAsia both surfaced; CFO appointment for the GIFT City operations confirmed. Bucket correct (finance leadership move at the India entity).</t>
  </si>
  <si>
    <t xml:space="preserve">(Jul 2026) MS First Capital (Singapore, MS&amp;AD group) commenced reinsurance operations from its GIFT City branch on 29 July 2026, appointing R. Vaidyanathan as Principal Officer, to serve Indian cedants, brokers and partners as part of MS&amp;AD's Asia growth strategy.</t>
  </si>
  <si>
    <t xml:space="preserve">Commencement date 29 July 2026, Principal Officer R Vaidyanathan, Indian cedants/brokers focus and MS&amp;AD Asia strategy all confirmed in audit extract.</t>
  </si>
  <si>
    <t xml:space="preserve">(Jul 2026) ReinAsia coverage: both GIFT City appointees bring decades of Indian re/insurance market experience; branch positioned as a long-term commitment to India.</t>
  </si>
  <si>
    <t xml:space="preserve">https://reinasia.com/ms-first-capital-kicks-off-reinsurance-operations-from-gift-city/</t>
  </si>
  <si>
    <t xml:space="preserve">ReinAsia URL surfaced; 'several decades of experience in the Indian insurance market' for both appointees confirmed.</t>
  </si>
  <si>
    <t xml:space="preserve">Primary: Insurance Operations (reinsurance branch live from 29 Jul 2026; Principal Officer R. Vaidyanathan). Finance: limited (CFO S. Venugopalan appointed for GIFT City ops). Technology and Internal Audit: none public.</t>
  </si>
  <si>
    <t xml:space="preserve">74</t>
  </si>
  <si>
    <t xml:space="preserve">EarthRe Insurance IFSC Limited</t>
  </si>
  <si>
    <t xml:space="preserve">(Aug 2026) Parent InRisk Labs builds the group's technology, data and risk-intelligence stack - a platform integrating climate, geospatial, satellite, exposure and claims data for risk assessment, pricing and portfolio management - with the USD 27m Series A earmarked to scale the AI-led platform behind EarthRe.</t>
  </si>
  <si>
    <t xml:space="preserve">https://inc42.com/buzz/inrisk-labs-raises-27-mn-to-scale-ai-led-reinsurance-platform-earthre/</t>
  </si>
  <si>
    <t xml:space="preserve">inc42 URL surfaced; audit extract confirms InRisk Labs builds the technology (parametric insurance and reinsurance) and that Series A proceeds go to underwriting, actuarial, catastrophe modelling and AI capabilities. Aug 2026 date confirmed (Dealroom 5 Aug 2026; YourStory 2026/08).</t>
  </si>
  <si>
    <t xml:space="preserve">(Aug 2026) DealStreetAsia: platform integrates multiple datasets including climate, geospatial, satellite, exposure and claims data to support risk assessment, pricing and portfolio management.</t>
  </si>
  <si>
    <t xml:space="preserve">https://www.dealstreetasia.com/stories/bessemer-northpoint-inrisk-labs-491236</t>
  </si>
  <si>
    <t xml:space="preserve">DealStreetAsia URL surfaced (Aug 2026). The specific dataset wording was not reproduced in the audit extract, but the data/AI-platform claim is supported by the inc42 extract (parametric technology, cat modelling, AI capabilities); retained on the researcher's quote.</t>
  </si>
  <si>
    <t xml:space="preserve">(Aug 2026) InRisk Labs closed a USD 27m Series A co-led by Bessemer Venture Partners and Northpoint Capital, with proceeds used in part to meet regulatory capital requirements and scale subsidiary EarthRe's regulated reinsurance balance sheet in India's ~USD 10bn reinsurance market - a capital-raising rather than finance-shared-services item.</t>
  </si>
  <si>
    <t xml:space="preserve">https://yourstory.com/2026/08/insurtech-startup-inrisk-labs-raises-27-million-in-series-a</t>
  </si>
  <si>
    <t xml:space="preserve">USD 27m Series A co-led by Bessemer and Northpoint confirmed (YourStory, Dealroom, DealStreetAsia, inc42). The ~USD 70m valuation did not appear in any audit extract, so removed; added confirmed use of proceeds (regulatory capital for EarthRe). Bucket note retained: capital raise, not finance shared services.</t>
  </si>
  <si>
    <t xml:space="preserve">(Aug 2026) EarthRe Insurance IFSC Ltd secured an IFSCA reinsurance licence, becoming the first locally incorporated reinsurer licensed at GIFT City IFSC; it is a technology-led non-life reinsurer focused on NatCat/climate, property, crop and specialty risk, combining underwriting with catastrophe modelling, climate-risk analytics and parametric/structured reinsurance for India and the Global South, with Series A capital earmarked to expand into new non-life segments.</t>
  </si>
  <si>
    <t xml:space="preserve">https://www.reinsurancene.ws/earthre-gets-reinsurance-licence-for-gift-city-as-parent-inrisk-labs-closes-series-a/</t>
  </si>
  <si>
    <t xml:space="preserve">Reinsurance News URL surfaced; 'first incorporated reinsurer to receive a licence from the IFSC at GIFT City' confirmed; product focus corroborated by inc42 extract (parametric/extreme-weather, new non-life segments, parametric and structured reinsurance products).</t>
  </si>
  <si>
    <t xml:space="preserve">(Aug 2026) GIFT City-based InRisk Labs, founded 2024 by Aavrit Singhal, Siddesh Ramasubramanian, Shivakhumar R S and Malay Kumar Poddar, evolved from an insurtech/parametric-insurance platform into an integrated reinsurance group with licensed risk-bearing capacity through EarthRe.</t>
  </si>
  <si>
    <t xml:space="preserve">Founders and 2024 founding confirmed via inc42 extract (also notes InRisk Labs is GIFT City-based). The cxodigitalpulse URL did not surface in the audit result list, so URL and evidence swapped to inc42 (tier1 press).</t>
  </si>
  <si>
    <t xml:space="preserve">No publicly verified information found (searched: EarthRe Insurance IFSC GIFT City reinsurer InRisk licence; EarthRe InRisk Labs Series A date first incorporated reinsurer).</t>
  </si>
  <si>
    <t xml:space="preserve">Primary: Insurance Operations (first locally incorporated GIFT City reinsurer, NatCat/climate, property, crop, specialty; cat modelling) and Technology (AI/data risk-intelligence platform built by parent InRisk Labs). Finance: capital raise only (USD 27m Series A). Internal Audit: none public.</t>
  </si>
  <si>
    <t xml:space="preserve">75</t>
  </si>
  <si>
    <t xml:space="preserve">AWP P&amp;C S.A. - IFSC Insurance Office (IIO)</t>
  </si>
  <si>
    <t xml:space="preserve">No publicly verified information found for the IIO branch (searched: Allianz Partners AWP P&amp;C IFSC Insurance Office GIFT City; Allianz Partners GIFT City IIO India 2025 2026 news). Note: Allianz Services India (Pune/Trivandrum) tech/ops centres are a separate entity and not this branch.</t>
  </si>
  <si>
    <t xml:space="preserve">(Apr 2024; still the current set-up, no newer branch news found) Allianz Partners launched its IIO reinsurance branch of AWP P&amp;C S.A. (Paris) in GIFT City on 4 April 2024 - the first foreign reinsurer in the IFSC - writing B2B/B2B2C reinsurance across travel, mobile device and digital risk segments from within the SEZ.</t>
  </si>
  <si>
    <t xml:space="preserve">https://www.allianz-partners.com/en_IN/in-the-news/press-releases/Allianz-Partners-becomes-the-First-Foreign-Reinsurer-to-launch-operations-in-GIFT-City.html</t>
  </si>
  <si>
    <t xml:space="preserve">Allianz Partners press release URL surfaced; 4 Apr 2024 launch, first foreign reinsurer, AWP P&amp;C S.A. (Paris) branch and B2B/travel/mobile device/digital risk segments confirmed.</t>
  </si>
  <si>
    <t xml:space="preserve">(Apr 2024) Insurance Business coverage of the same launch, noting SEZ benefits (import-export advantages, tax exemptions) and the branch's aim to transform India's reinsurance landscape with B2B offerings.</t>
  </si>
  <si>
    <t xml:space="preserve">https://www.insurancebusinessmag.com/reinsurance/news/breaking-news/allianz-partners-marks-reinsurance-milestone-in-india-484363.aspx</t>
  </si>
  <si>
    <t xml:space="preserve">Insurance Business URL surfaced; SEZ import-export advantages and tax exemptions phrase confirmed.</t>
  </si>
  <si>
    <t xml:space="preserve">Primary: Insurance Operations (IIO reinsurance branch live since Apr 2024 covering travel, mobile device/digital risk, B2B2C; no newer branch news in 2025-26). Technology, Finance, Internal Audit: none public for this branch.</t>
  </si>
  <si>
    <t xml:space="preserve">76</t>
  </si>
  <si>
    <t xml:space="preserve">Singapore Reinsurance Corporation - IFSC Insurance Office (Category-2 reinsurer)</t>
  </si>
  <si>
    <t xml:space="preserve">No publicly verified information found (searched: Singapore Reinsurance Corporation Sing Re GIFT City IFSC; Singapore Re GIFT City branch commences operations principal officer).</t>
  </si>
  <si>
    <t xml:space="preserve">(Jun 2025) Sing Re secured an IFSCA reinsurance branch licence to operate an IIO in GIFT City as a Category-2 reinsurer under the Order of Preference framework, authorised to write property &amp; casualty reinsurance; Sing Re offers treaty and facultative covers across accident, agriculture, casualty, credit, energy, marine, medical, motor and property.</t>
  </si>
  <si>
    <t xml:space="preserve">https://www.insurancebusinessmag.com/reinsurance/news/breaking-news/sing-re-receives-ifsca-approval-to-open-branch-in-gift-city-540076.aspx</t>
  </si>
  <si>
    <t xml:space="preserve">Insurance Business URL surfaced; Category-2 IIO, P&amp;C reinsurance within the Order of Preference framework confirmed; Asia Insurance Review dated 16 Jun 2025 confirms month.</t>
  </si>
  <si>
    <t xml:space="preserve">(Jun 2025) Reinsurance News confirms the Category-2 P&amp;C licence; Sing Re (est. 1973) has been a Fairfax Asia subsidiary since April 2021, with Fairfax Financial the ultimate owner.</t>
  </si>
  <si>
    <t xml:space="preserve">https://www.reinsurancene.ws/singapore-re-secures-reinsurance-branch-license-to-operate-as-iio-in-indias-gift-city/</t>
  </si>
  <si>
    <t xml:space="preserve">Reinsurance News URL surfaced; est. January 1973, Fairfax Asia subsidiary since April 2021, Fairfax Financial ultimate owner confirmed.</t>
  </si>
  <si>
    <t xml:space="preserve">Primary: Insurance Operations (Category-2 P&amp;C reinsurance IIO licensed Jun 2025; India lead not public). Technology, Finance, Internal Audit: none public - small underwriting branch.</t>
  </si>
  <si>
    <t xml:space="preserve">77</t>
  </si>
  <si>
    <t xml:space="preserve">Peak Reinsurance Company Limited - IFSCA Branch (Category-2 reinsurer)</t>
  </si>
  <si>
    <t xml:space="preserve">No publicly verified information found (searched: Peak Re GIFT City IFSCA branch reinsurance India).</t>
  </si>
  <si>
    <t xml:space="preserve">No publicly verified information found (same search).</t>
  </si>
  <si>
    <t xml:space="preserve">(Feb-Mar 2025) IFSCA granted Peak Re a reinsurance branch (IIO) licence on 20 February 2025; the GIFT IFSC branch is a Category-2 reinsurer under the Order of Preference and is authorised to write both P&amp;C and Life &amp; Health reinsurance.</t>
  </si>
  <si>
    <t xml:space="preserve">https://peak-re.com/en/company/press/peak-re-secures-licence-to-operate-in-gift-ifsc-india/</t>
  </si>
  <si>
    <t xml:space="preserve">Peak Re press release URL surfaced; 20 Feb 2025 licence, Category 2 reinsurer, P&amp;C and Life &amp; Health authorisation confirmed (Asia Insurance Review coverage 1 Apr 2025).</t>
  </si>
  <si>
    <t xml:space="preserve">(Mar 2025) Sudhir Salian, Managing Director and Head of India at Peak Re, was designated to oversee the development of the IFSCA branch, as part of Peak Re's strategy to deepen its footprint in emerging Asian markets.</t>
  </si>
  <si>
    <t xml:space="preserve">https://www.reinsurancene.ws/peak-re-granted-licence-to-operate-in-gift-ifsc-india/</t>
  </si>
  <si>
    <t xml:space="preserve">Reinsurance News URL surfaced; Sudhir Salian designation confirmed.</t>
  </si>
  <si>
    <t xml:space="preserve">(Sep 2025) In a Peak Re-branded viewpoint in The Insurer, India head Sudhir Salian said the new GIFT IFSC licence deepens Peak Re's commitment to India's 'Insurance for All by 2047' growth story, citing 11% insurance CAGR (2020-23) and P&amp;C penetration of just 1.0% vs 3.9% globally as the opportunity for the branch.</t>
  </si>
  <si>
    <t xml:space="preserve">https://www.theinsurer.com/ti/viewpoint/peak-re-dedicated-to-growing-the-indian-market-2025-09-09</t>
  </si>
  <si>
    <t xml:space="preserve">The Insurer URL surfaced and the audit extract gives the article's content, which the researcher's evidence (a URL slug only) did not. Text rewritten with the actual content; flagged as a Peak Re-branded viewpoint (sponsored content), so weaker as evidence of activity.</t>
  </si>
  <si>
    <t xml:space="preserve">Primary: Insurance Operations (Category-2 IIO licensed 20 Feb 2025 for P&amp;C and L&amp;H reinsurance; India head Sudhir Salian). Technology, Finance, Internal Audit: none public for the branch.</t>
  </si>
  <si>
    <t xml:space="preserve">78</t>
  </si>
  <si>
    <t xml:space="preserve">Doha Insurance Group</t>
  </si>
  <si>
    <t xml:space="preserve">No publicly verified information found (searched: Doha Insurance Group GIFT City IFSC reinsurance office India; plus QIIG search surfacing DIG items).</t>
  </si>
  <si>
    <t xml:space="preserve">(Dec 2024) Doha Insurance Group obtained Qatar Central Bank approval to establish an International Insurance Office in GIFT City focused on reinsurance, and was granted an IFSCA Certificate of Registration for a reinsurance branch in India.</t>
  </si>
  <si>
    <t xml:space="preserve">https://thegroup.com.qa/groupdownload/newsreport//NEWS202412250856025968.html</t>
  </si>
  <si>
    <t xml:space="preserve">Qatar Stock Exchange disclosure URL (thegroup.com.qa, 25 Dec 2024) surfaced; Qatar Central Bank approval (Dec 2024) and IFSCA Certificate of Registration for a reinsurance branch confirmed. Source is an exchange disclosure (company filing) rather than a regulator statement; quality relabelled.</t>
  </si>
  <si>
    <t xml:space="preserve">(Mar 2025) The Doha Insurance Group IFSC Branch started operations on 26 March 2025, managed by Rony Daniel, former COO of DIG, as the India branch lead.</t>
  </si>
  <si>
    <t xml:space="preserve">https://atlas-mag.net/en/articles/doha-insurance-group-expands-reinsurance-operations-india</t>
  </si>
  <si>
    <t xml:space="preserve">Atlas Magazine URL surfaced; 26 March 2025 start and Rony Daniel (former COO) as branch manager confirmed.</t>
  </si>
  <si>
    <t xml:space="preserve">(Jan 2025) Business Insurance / MEIR coverage of DIG's reinsurance expansion into India via the GIFT City IIO.</t>
  </si>
  <si>
    <t xml:space="preserve">https://www.businessinsurance.com/doha-insurance-expands-reinsurance-operation-to-india/</t>
  </si>
  <si>
    <t xml:space="preserve">Business Insurance URL surfaced; MEIR item dated 2 Jan 2025 ('Qatar Doha insurance set to launch India reinsurance branch') corroborates the Jan 2025 timing. Evidence is headline-level only; the bullet adds little beyond bullets 1-2 and could be dropped for brevity.</t>
  </si>
  <si>
    <t xml:space="preserve">Primary: Insurance Operations (reinsurance IIO operational since 26 Mar 2025, led by Rony Daniel, ex-COO). Technology, Finance, Internal Audit: none public - small branch.</t>
  </si>
  <si>
    <t xml:space="preserve">Sr</t>
  </si>
  <si>
    <t xml:space="preserve">Focus bucket</t>
  </si>
  <si>
    <t xml:space="preserve">Team entry (earlier)</t>
  </si>
  <si>
    <t xml:space="preserve">Verdict</t>
  </si>
  <si>
    <t xml:space="preserve">Verified content (Oct 2026)</t>
  </si>
  <si>
    <t xml:space="preserve">Source link(s)</t>
  </si>
  <si>
    <t xml:space="preserve">Audit note</t>
  </si>
  <si>
    <t xml:space="preserve">sheet row 4</t>
  </si>
  <si>
    <t xml:space="preserve">confidence: medium</t>
  </si>
  <si>
    <t xml:space="preserve">Added (verified)</t>
  </si>
  <si>
    <t xml:space="preserve">thecompanycheck page did not surface in the audit search (one search on the revenue figure returned no financial data). MCA-mirror figure is plausible but unverified; also note a legal-entity revenue figure is weak evidence of a finance *function* focus.</t>
  </si>
  <si>
    <t xml:space="preserve">Nothing public</t>
  </si>
  <si>
    <t xml:space="preserve">Key Trends note (col S)</t>
  </si>
  <si>
    <t xml:space="preserve">incorrect</t>
  </si>
  <si>
    <t xml:space="preserve">wrong bucket</t>
  </si>
  <si>
    <t xml:space="preserve">confirmed</t>
  </si>
  <si>
    <t xml:space="preserve">unsupported</t>
  </si>
  <si>
    <t xml:space="preserve">sheet row 5</t>
  </si>
  <si>
    <t xml:space="preserve">sheet row 6</t>
  </si>
  <si>
    <t xml:space="preserve">confidence: low</t>
  </si>
  <si>
    <t xml:space="preserve">sheet row 7</t>
  </si>
  <si>
    <t xml:space="preserve">sheet row 8</t>
  </si>
  <si>
    <t xml:space="preserve">sheet row 9</t>
  </si>
  <si>
    <t xml:space="preserve">confidence: high</t>
  </si>
  <si>
    <t xml:space="preserve">sheet row 10</t>
  </si>
  <si>
    <t xml:space="preserve">Tracxn financials did not surface in the audit search; figure unverified. Also weak as a Finance-bucket item (entity revenue, not finance-function news).</t>
  </si>
  <si>
    <t xml:space="preserve">sheet row 11</t>
  </si>
  <si>
    <t xml:space="preserve">sheet row 12</t>
  </si>
  <si>
    <t xml:space="preserve">sheet row 13</t>
  </si>
  <si>
    <t xml:space="preserve">sheet row 14</t>
  </si>
  <si>
    <t xml:space="preserve">1. FM leased approximately 220,000 sq. ft. at Bhartiya Centre for Information Technology</t>
  </si>
  <si>
    <t xml:space="preserve">Correct</t>
  </si>
  <si>
    <t xml:space="preserve">Confirmed by audit.</t>
  </si>
  <si>
    <t xml:space="preserve">2. The Bengaluru Centre of Excellence was established to expand FM's artificial intelligence, scientific research</t>
  </si>
  <si>
    <t xml:space="preserve">1. The Bengaluru centre was created to enhance client risk-engineering services</t>
  </si>
  <si>
    <t xml:space="preserve">2. FM announced a Bengaluru Client Experience Centre for training and demonstrations</t>
  </si>
  <si>
    <t xml:space="preserve">sheet row 15</t>
  </si>
  <si>
    <t xml:space="preserve">1. First American (India) appointed Gautam Mukherjee as Chief Technology Officer, India</t>
  </si>
  <si>
    <t xml:space="preserve">1. First American (India) combines data and analytics capabilities with software, infrastructure and business operations</t>
  </si>
  <si>
    <t xml:space="preserve">1. The India software-services function states that its enterprise implementations support standardisation, audit compliance</t>
  </si>
  <si>
    <t xml:space="preserve">No credible source</t>
  </si>
  <si>
    <t xml:space="preserve">No publicly verified information found (researcher + auditor); existing R bullet is unsupported.</t>
  </si>
  <si>
    <t xml:space="preserve">sheet row 16</t>
  </si>
  <si>
    <t xml:space="preserve">3. Gallagher's India leadership structure includes a dedicated Head of Reinsurance</t>
  </si>
  <si>
    <t xml:space="preserve">Wrong bucket → Q (context only)</t>
  </si>
  <si>
    <t xml:space="preserve">Incorrect</t>
  </si>
  <si>
    <t xml:space="preserve">No publicly verified information found (researcher + auditor searches of the GCoE page and GCoE news). Existing ERM/CCO bullets do not evidence an internal-audit function.</t>
  </si>
  <si>
    <t xml:space="preserve">sheet row 17</t>
  </si>
  <si>
    <t xml:space="preserve">No publicly verified information found (researcher + auditor: Hannover Re India branch Mumbai P&amp;C L&amp;H; no technology/analytics item surfaced).</t>
  </si>
  <si>
    <t xml:space="preserve">Hannover Re India continues offering tailored financial solutions to help insurers meet capital</t>
  </si>
  <si>
    <t xml:space="preserve">Wrong bucket → Insurance Operations</t>
  </si>
  <si>
    <t xml:space="preserve">Hannover Re India continues expanding innovative Life &amp; Health reinsurance product offerings</t>
  </si>
  <si>
    <t xml:space="preserve">sheet row 18</t>
  </si>
  <si>
    <t xml:space="preserve">In June 2025, Markel partnered with Insurate, an insurtech firm, to leverage artificial intelligence</t>
  </si>
  <si>
    <t xml:space="preserve">Mar' 26 - Markel International ... appointment of Maureen Tomlinson to Head of AI, alongside the launch of their AI Centre</t>
  </si>
  <si>
    <t xml:space="preserve">No publicly verified information found (searched: Markel Services India 2026 underwriting/claims hire; Markel AI CoE; Markel India CUO/casualty).</t>
  </si>
  <si>
    <t xml:space="preserve">Ravi Jain was appointed Business Development and Distribution Lead for India (Mar'26)</t>
  </si>
  <si>
    <t xml:space="preserve">Shubhi Nigam became Markel's first dedicated Warranty &amp; Indemnity underwriter in India (Mar 2026)</t>
  </si>
  <si>
    <t xml:space="preserve">Sarika Sagar Gadekar was appointed as a Mumbai-based Marine Claims Adjuster (Jul 2026)</t>
  </si>
  <si>
    <t xml:space="preserve">No publicly verified information found (same searches; no internal audit/SOX items for India).</t>
  </si>
  <si>
    <t xml:space="preserve">sheet row 19</t>
  </si>
  <si>
    <t xml:space="preserve">MMGS highlighted AI, cybersecurity, engineering and digital fluency as critical future capabilities (Sep 2026)</t>
  </si>
  <si>
    <t xml:space="preserve">No publicly verified information found on finance-hub expansion in the window (searched: MMGS 2026 GCC AI technology finance; MMGS built-to-scale/Andrea Bono; MMGS Dinesh Deo finance shared services internal audit SOX). Finance Operations/AR/payroll remain in col E as live functions but no 2024-26 news.</t>
  </si>
  <si>
    <t xml:space="preserve">Marsh highlighted increasing ownership of end-to-end business outcomes and specialized capabilities within GCCs (Sep 2026)</t>
  </si>
  <si>
    <t xml:space="preserve">Andrea Bono was appointed CEO, India, Middle East and Africa, effective January 2026</t>
  </si>
  <si>
    <t xml:space="preserve">MMGS publicly identifies Legal &amp; Compliance as a core capability in India (Jan 2024)</t>
  </si>
  <si>
    <t xml:space="preserve">sheet row 20</t>
  </si>
  <si>
    <t xml:space="preserve">The Hyderabad GCC is a major contributor to software development, QA, cloud, data science, and therefore a key execution arm for this AI-driven SDLC</t>
  </si>
  <si>
    <t xml:space="preserve">Outdated</t>
  </si>
  <si>
    <t xml:space="preserve">MassMutual India expanded beyond technology into Wealth Management Operations and business-support functions</t>
  </si>
  <si>
    <t xml:space="preserve">Global Procurement was identified among the business functions scaled within MassMutual India</t>
  </si>
  <si>
    <t xml:space="preserve">MassMutual India expanded into Insurance Operations alongside technology delivery</t>
  </si>
  <si>
    <t xml:space="preserve">MassMutual India added Digital Operations as part of its operating model evolution</t>
  </si>
  <si>
    <t xml:space="preserve">The Hyderabad GCC expanded from technology into operations, procurement, wealth, legal and compliance functions</t>
  </si>
  <si>
    <t xml:space="preserve">MassMutual India added Legal, Risk and Compliance support functions as part of its capability expansion</t>
  </si>
  <si>
    <t xml:space="preserve">sheet row 21</t>
  </si>
  <si>
    <t xml:space="preserve">MetLife launched technology hubs in Hyderabad and Pune (May 2025)</t>
  </si>
  <si>
    <t xml:space="preserve">MGCC is deploying AI-powered solutions to simplify the insurance claims lifecycle</t>
  </si>
  <si>
    <t xml:space="preserve">Basis hiring actgivity Pune is building cloud-data engineering capability</t>
  </si>
  <si>
    <t xml:space="preserve">Regular hiring for Finance and supply-chain technology capability expanding including P2P, R2R, AR etc</t>
  </si>
  <si>
    <t xml:space="preserve">MetLife's India operations expanded with new Hyderabad and Pune hubs that will support advanced analytics and customer-experience</t>
  </si>
  <si>
    <t xml:space="preserve">Wrong bucket → Technology</t>
  </si>
  <si>
    <t xml:space="preserve">Not publicly verified but some hiring description includes, information security, risk mitigation and technology governance</t>
  </si>
  <si>
    <t xml:space="preserve">No publicly verified information found (searched: MetLife MGCC Hyderabad Pune Noida 2025-26; MetLife tech hubs May 2025/Noida lease; MetLife India finance R2R internal audit).</t>
  </si>
  <si>
    <t xml:space="preserve">sheet row 22</t>
  </si>
  <si>
    <t xml:space="preserve">No significant Finance-specific expansion was identified</t>
  </si>
  <si>
    <t xml:space="preserve">No publicly verified information found (searched: Swiss Re GBS India 2026 Kalra successor; Hyderabad office/50% tech talent/GenAI; ET GCC model/IIRM MoU).</t>
  </si>
  <si>
    <t xml:space="preserve">Swiss Re India evolved from a shared-services operation into a fully integrated business center ... spans underwriting, actuarial, operations</t>
  </si>
  <si>
    <t xml:space="preserve">Finance-control automation and internal-control design activities are embedded within risk-governance functions</t>
  </si>
  <si>
    <t xml:space="preserve">sheet row 23</t>
  </si>
  <si>
    <t xml:space="preserve">The Standard established India GCC operations to accelerate technology transformation ... AI, data, analytics and software engineering as core growth capabilities (Aug 2026)</t>
  </si>
  <si>
    <t xml:space="preserve">Mohua Sengupta was given responsibility for financial, regulatory and compliance oversight across India operations (Nov 2025)</t>
  </si>
  <si>
    <t xml:space="preserve">The Standard entered India following its acquisition of Allstate's Employer Voluntary Benefits business (Apr 2025)</t>
  </si>
  <si>
    <t xml:space="preserve">Leadership stated that the GCC is being built as a business transformation and customer-experience center rather than a traditional offshore</t>
  </si>
  <si>
    <t xml:space="preserve">No public evidence identified for a dedicated Internal Audit, SOX or ICFR CoE in India</t>
  </si>
  <si>
    <t xml:space="preserve">No publicly verified information found (searched: The Standard India GCC Sengupta 2026; 400 employees by year-end; Bengaluru inauguration Apr 2026 insurance ops finance compliance).</t>
  </si>
  <si>
    <t xml:space="preserve">sheet row 24</t>
  </si>
  <si>
    <t xml:space="preserve">India is becoming a key global delivery hub for AI-enabled and technology-led transformation (27-04-2026 press release)</t>
  </si>
  <si>
    <t xml:space="preserve">AI-enabled tools, automation and scalable enterprise solutions are becoming central to the India mandate (publicnow)</t>
  </si>
  <si>
    <t xml:space="preserve">India is supporting enterprise-scale operational transformation (27-04-2026)</t>
  </si>
  <si>
    <t xml:space="preserve">India's expanded role aligns with a broader group transformation agenda (10-12-2025)</t>
  </si>
  <si>
    <t xml:space="preserve">Internal audit's group mandate is moving toward broader risk-based assurance, insight and foresight (IA charter PDF)</t>
  </si>
  <si>
    <t xml:space="preserve">sheet row 25</t>
  </si>
  <si>
    <t xml:space="preserve">India is moving from technology delivery to global engineering leadership and enterprise transformation</t>
  </si>
  <si>
    <t xml:space="preserve">Chubb is building an AI-first, insurance-domain-led talent and engineering model in India</t>
  </si>
  <si>
    <t xml:space="preserve">Chubb Business Services India reached a reported FY2025 revenue range of Rs500 crore to Rs1,000 crore</t>
  </si>
  <si>
    <t xml:space="preserve">No publicly verified information found on a finance/F&amp;A function at Chubb India (researcher searches plus audit search: Chubb Business Services India Hyderabad finance shared services internal audit SOX 2025 2026).</t>
  </si>
  <si>
    <t xml:space="preserve">India engineering teams are increasingly supporting core underwriting, risk-pricing and claims processes</t>
  </si>
  <si>
    <t xml:space="preserve">The proposed Chennai GCC expands India's analytics and engineering network</t>
  </si>
  <si>
    <t xml:space="preserve">No India Related Internal Audit key trends. Global underwriting audit strategy strengthened, but not attributed to India</t>
  </si>
  <si>
    <t xml:space="preserve">sheet row 26</t>
  </si>
  <si>
    <t xml:space="preserve">The India technology model is shifting from a captive GCC to a dedicated strategic business unit</t>
  </si>
  <si>
    <t xml:space="preserve">AI-led modernisation is becoming the core technology mandate of the dedicated India unit</t>
  </si>
  <si>
    <t xml:space="preserve">Guardian India returned to strong revenue growth in FY2026 after a decline in FY2025</t>
  </si>
  <si>
    <t xml:space="preserve">The GCC moved from captive ownership to a long-term managed-service commercial model</t>
  </si>
  <si>
    <t xml:space="preserve">No publicly verified information found on a finance function at Guardian India (researcher + audit searches). Entity is no longer a captive GCC after 31 Jul 2026.</t>
  </si>
  <si>
    <t xml:space="preserve">The India delivery mandate is expanding across four major business areas</t>
  </si>
  <si>
    <t xml:space="preserve">Insurance operations are moving toward AI-enabled, product-aligned delivery</t>
  </si>
  <si>
    <t xml:space="preserve">No publicly verified information found on India internal audit (audit search: Guardian India Operations Gurugram Chennai finance shared services internal audit SOX 2025 2026).</t>
  </si>
  <si>
    <t xml:space="preserve">sheet row 27</t>
  </si>
  <si>
    <t xml:space="preserve">TIAA Global Capabilities is scaling as an AI-powered GCC supporting enterprise technology transformation</t>
  </si>
  <si>
    <t xml:space="preserve">India's GCC role is expanding from technology support into broader technology, data, risk and client-experience delivery</t>
  </si>
  <si>
    <t xml:space="preserve">The India entity recorded significant FY2025 revenue growth and profitability</t>
  </si>
  <si>
    <t xml:space="preserve">Profit, EBITDA, net worth and total assets increased during FY2025</t>
  </si>
  <si>
    <t xml:space="preserve">The India centre is expanding its capacity for global technology, operations and shared services</t>
  </si>
  <si>
    <t xml:space="preserve">TIAA is making a substantial long-term investment in its Pune delivery footprint</t>
  </si>
  <si>
    <t xml:space="preserve">A separate corporate database reports that TIAA Global Capabilities Private Limited generated more than Rs1,000 crore in revenue</t>
  </si>
  <si>
    <t xml:space="preserve">sheet row 28</t>
  </si>
  <si>
    <t xml:space="preserve">SLGS India is scaling GenAI from experimentation toward global deployment</t>
  </si>
  <si>
    <t xml:space="preserve">AI is becoming part of SLGS India's enterprise value-creation model, with governance remaining central</t>
  </si>
  <si>
    <t xml:space="preserve">SLGS India delivered strong FY2025 revenue growth and remained profitable</t>
  </si>
  <si>
    <t xml:space="preserve">Finance, investment operations and actuarial capabilities are becoming part of an integrated enterprise hub</t>
  </si>
  <si>
    <t xml:space="preserve">SLGS India has evolved from an operations and application-maintenance centre into an integrated insurance and asset-management capability hub</t>
  </si>
  <si>
    <t xml:space="preserve">SLGS India is moving toward accountability for upstream business and client outcomes</t>
  </si>
  <si>
    <t xml:space="preserve">Client care and process efficiency are being integrated with digital modernisation</t>
  </si>
  <si>
    <t xml:space="preserve">AI governance and responsible innovation are visible</t>
  </si>
  <si>
    <t xml:space="preserve">Sun Life released its 2025 Annual Report ... responsible AI ... more than 50 strategic GenAI tools</t>
  </si>
  <si>
    <t xml:space="preserve">sheet row 29</t>
  </si>
  <si>
    <t xml:space="preserve">Optum India is moving from delivery execution toward AI-led healthcare innovation and outcome ownership</t>
  </si>
  <si>
    <t xml:space="preserve">Responsible AI, explainability and healthcare impact are becoming central to the India GCC's technology direction</t>
  </si>
  <si>
    <t xml:space="preserve">The principal India GCC entity reported strong FY2025 revenue and profitability</t>
  </si>
  <si>
    <t xml:space="preserve">A separate Optum health-technology entity recorded material FY2025 growth</t>
  </si>
  <si>
    <t xml:space="preserve">No publicly verified information found on finance-function developments (researcher searches plus audit search 'Optum India ... internal audit SOX finance').</t>
  </si>
  <si>
    <t xml:space="preserve">India's operating model is shifting toward integrated, capability-led ownership across the healthcare value chain</t>
  </si>
  <si>
    <t xml:space="preserve">Healthcare operations are increasingly being integrated with advanced analytics and technology</t>
  </si>
  <si>
    <t xml:space="preserve">A major Chennai GCC expansion increased Optum's India operating footprint</t>
  </si>
  <si>
    <t xml:space="preserve">No publicly verified information found on India internal audit/SOX (same searches).</t>
  </si>
  <si>
    <t xml:space="preserve">sheet row 30</t>
  </si>
  <si>
    <t xml:space="preserve">Bengaluru has been established as one of Prudential plc's two global technology and operations hubs</t>
  </si>
  <si>
    <t xml:space="preserve">The India hub is supporting digital customer, agency, data and security platforms</t>
  </si>
  <si>
    <t xml:space="preserve">The technology strategy is focused on modernising Prudential's core insurance operating environment</t>
  </si>
  <si>
    <t xml:space="preserve">The Indian legal entity reached material operating scale by FY2025</t>
  </si>
  <si>
    <t xml:space="preserve">The centre is designed to generate economies of skill and scale, but no separate finance-transformation programme is disclosed</t>
  </si>
  <si>
    <t xml:space="preserve">The Bengaluru hub centralises operational support for Prudential's Asia and Africa businesses</t>
  </si>
  <si>
    <t xml:space="preserve">Customer and agency servicing are moving toward digital platform-based delivery</t>
  </si>
  <si>
    <t xml:space="preserve">Prudential Services India was established with cybersecurity as one of its core capability areas</t>
  </si>
  <si>
    <t xml:space="preserve">No audit or control programme can be inferred from automated testing</t>
  </si>
  <si>
    <t xml:space="preserve">No publicly verified information found on internal audit/SOX teams in India (audit search: 'Prudential Services India' Bengaluru finance internal audit SOX ... 2026); only a finance role mentioning SOX/audit coordination.</t>
  </si>
  <si>
    <t xml:space="preserve">sheet row 31</t>
  </si>
  <si>
    <t xml:space="preserve">Principal maintains a distributed GCC footprint across Pune and Hyderabad</t>
  </si>
  <si>
    <t xml:space="preserve">PGS continues to operate as a large-scale technology and support-services organization</t>
  </si>
  <si>
    <t xml:space="preserve">Strong FY2025 revenue growth and profitability</t>
  </si>
  <si>
    <t xml:space="preserve">Revenue, profit and net-worth expansion continued during FY2025</t>
  </si>
  <si>
    <t xml:space="preserve">Multi-city operating model supports long-term GCC scale</t>
  </si>
  <si>
    <t xml:space="preserve">sheet row 32</t>
  </si>
  <si>
    <t xml:space="preserve">N2G established its first India GCC to strengthen IT capability (tta.in)</t>
  </si>
  <si>
    <t xml:space="preserve">Technology capability is being brought in-house through the India GCC (barandbench)</t>
  </si>
  <si>
    <t xml:space="preserve">Newly incorporated India services entity (tracxn)</t>
  </si>
  <si>
    <t xml:space="preserve">Investment in building an India GCC (barandbench)</t>
  </si>
  <si>
    <t xml:space="preserve">No publicly verified information found (searched: N2G Global Services Pune GCC; N2G India GCC TT&amp;A Nationwide Generali 2026; audit search 'N2G Global Services' Pune 2026). Only set-up coverage exists; no finance-function news.</t>
  </si>
  <si>
    <t xml:space="preserve">India GCC established to support insurance operations (barandbench)</t>
  </si>
  <si>
    <t xml:space="preserve">Support of multinational commercial insurance business (n2g.com/home.html)</t>
  </si>
  <si>
    <t xml:space="preserve">No publicly verified information found (same searches). No audit/SOX items for the India entity.</t>
  </si>
  <si>
    <t xml:space="preserve">sheet row 33</t>
  </si>
  <si>
    <t xml:space="preserve">ET&amp;S India is becoming a core technology hub supporting ERGO's global digital-transformation agenda</t>
  </si>
  <si>
    <t xml:space="preserve">ET&amp;S India continues to expand technology capability and workforce scale (greatplacetowork)</t>
  </si>
  <si>
    <t xml:space="preserve">ET&amp;S India has received significant capital investment to support GCC growth (tracxn)</t>
  </si>
  <si>
    <t xml:space="preserve">FY2025 performance indicators suggest continued scale-up (tofler)</t>
  </si>
  <si>
    <t xml:space="preserve">No publicly verified information found (searched: ERGO Technology &amp; Services India Mumbai 2026 news; ET&amp;S India AI GenAI hub expansion hiring; ERGO GenAI 130m Mark Klein India; audit: 'ERGO Technology &amp; Services' India Mumbai 2026 employees hiring expansion). ET&amp;S is an IT-only entity.</t>
  </si>
  <si>
    <t xml:space="preserve">India supports technology delivery across the insurance value chain (expertise page)</t>
  </si>
  <si>
    <t xml:space="preserve">ET&amp;S India is supporting ERGO's broader digital-insurance transformation</t>
  </si>
  <si>
    <t xml:space="preserve">ET&amp;S contributes to customer-centric insurance product development</t>
  </si>
  <si>
    <t xml:space="preserve">No publicly verified information found (same searches). No claims/underwriting/actuarial work in India; team's CamCom item is a Bengaluru vendor deal with ERGO Group, not ET&amp;S India work.</t>
  </si>
  <si>
    <t xml:space="preserve">sheet row 34</t>
  </si>
  <si>
    <t xml:space="preserve">The Hartford expanded its technology footprint by opening a new Columbus tech hub ... reaffirming Hyderabad (Jan'26)</t>
  </si>
  <si>
    <t xml:space="preserve">The Hartford highlighted AI as a strategic underwriting and risk-management capability (insights-center research study)</t>
  </si>
  <si>
    <t xml:space="preserve">The Hartford reported strong Q2 2026 results with $1.3B net income (Jul'26)</t>
  </si>
  <si>
    <t xml:space="preserve">The Hartford continues to focus on reserve development, catastrophe management ... no major new public reinsurance-operating model announcement (Jul'26)</t>
  </si>
  <si>
    <t xml:space="preserve">Business Insurance segment delivered 5% written-premium growth in Q2 2026 (Jul'26)</t>
  </si>
  <si>
    <t xml:space="preserve">No publicly verified information found (searched: Hartford Hyderabad technology center 2026 1,200 jobs; Hartford India Pritam Banerjee AI; Hartford Hyderabad Capgemini finance operations claims underwriting; Hartford Hyderabad Capgemini Deepa Soni Sep 2025; audit searches 5-8). No finance-function work in India reported.</t>
  </si>
  <si>
    <t xml:space="preserve">The Hartford To Acquire Equitable's Employee Benefits Business (Aug'26)</t>
  </si>
  <si>
    <t xml:space="preserve">sheet row 35</t>
  </si>
  <si>
    <t xml:space="preserve">Cytora Partnership update ... reducing manual underwriting triage time by 80% (May'26)</t>
  </si>
  <si>
    <t xml:space="preserve">Zurich Insurance Group reported record H1 2026 results with BOP of USD 4.8 billion (Aug'26)</t>
  </si>
  <si>
    <t xml:space="preserve">Beazley Acquisition ... GBP 8.1 billion acquisition of Beazley (Oct'26)</t>
  </si>
  <si>
    <t xml:space="preserve">Group M&amp;A with no India operations link; beinsure.com is a weak source. Not an India insurance-operations trend.</t>
  </si>
  <si>
    <t xml:space="preserve">Zurich's GenAI-powered 'Voice IQ' solution analyzes customer calls in real time</t>
  </si>
  <si>
    <t xml:space="preserve">No publicly verified information found (searched: Zurich GCC Hyderabad Amit Kalra; Zurich Hyderabad engineering data business operations hiring 2026; Ganesh Rao Zurich COO; audit searches 9-11). Only the COO's site-level 'risk and compliance' remit is mentioned.</t>
  </si>
  <si>
    <t xml:space="preserve">sheet row 36</t>
  </si>
  <si>
    <t xml:space="preserve">Carelon Global Solutions India is positioning GCCs as innovation-led enterprises focused on digital transformation... (carelonglobal.in newsroom)</t>
  </si>
  <si>
    <t xml:space="preserve">No publicly verified information found (searched: Carelon Global Solutions India 2026 news; Carelon India AI GenAI claims automation; Carelon India finance shared services internal audit SOX; Carelon India Saisekar expansion hiring; audit searches 12-14, 20).</t>
  </si>
  <si>
    <t xml:space="preserve">Carelon continues expanding healthcare operations across claims, provider services, clinical operations, risk adjustment and BPaaS (carelon.com capabilities)</t>
  </si>
  <si>
    <t xml:space="preserve">Carelon uses automation and analytics to modernize end-to-end claims operations while maintaining 99.4% audited claims-processing accuracy</t>
  </si>
  <si>
    <t xml:space="preserve">Same US parent page; the 99.4% figure is not attributed to India in any search result.</t>
  </si>
  <si>
    <t xml:space="preserve">99.4% figure did not surface in any audit search.</t>
  </si>
  <si>
    <t xml:space="preserve">Pawan Sachdeva promoted to Managing Director &amp; Head of Technology - India (techdisruptormedia)</t>
  </si>
  <si>
    <t xml:space="preserve">A technology-leadership move belongs in Technology. ET GCC Summit 2024 profile already lists him as 'Managing Director - Technology', so the 'promotion' may pre-date the window; techdisruptormedia is a weak source.</t>
  </si>
  <si>
    <t xml:space="preserve">No publicly verified information found for India (same searches); the only SOX/SOC1 internal-audit role found is Elevance's Puerto Rico listing.</t>
  </si>
  <si>
    <t xml:space="preserve">sheet row 37</t>
  </si>
  <si>
    <t xml:space="preserve">Intact continues expanding AI, analytics and automation capabilities through its Intact Lab, with over 500-600 AI models (insurebench)</t>
  </si>
  <si>
    <t xml:space="preserve">Intact appointed Sameer Madan as CFTO for India GCC to oversee finance, technology, reporting and operations (Mar'26)</t>
  </si>
  <si>
    <t xml:space="preserve">Artificial intelligence has moved from experimentation to execution at Intact Insurance ... specialty lines (Mar'26)</t>
  </si>
  <si>
    <t xml:space="preserve">Rory Meleniclis appointed chief information officer for its global specialty lines business</t>
  </si>
  <si>
    <t xml:space="preserve">No publicly verified information found (searched: Intact India GCC Sameer Madan CFTO; Intact India RSA finance transformation AI Guidewire 2025-26; Intact India internal audit claims actuarial underwriting; intactinsurance.co.uk India branch leadership; audit search 21).</t>
  </si>
  <si>
    <t xml:space="preserve">sheet row 38</t>
  </si>
  <si>
    <t xml:space="preserve">1.The new facility, located in Gurugram's DLF Cyber City, will serve as the base for its gro</t>
  </si>
  <si>
    <t xml:space="preserve">2.Prudential Financial reported over 260 AI use cases and more than 2,300 employees using ag</t>
  </si>
  <si>
    <t xml:space="preserve">2.Prudential uses AI to reduce underwriting timelines from weeks to days and improve customer</t>
  </si>
  <si>
    <t xml:space="preserve">Duplicate parent-level AI claim from the same news.prudential.com page; not India-specific and not surfaced in search.</t>
  </si>
  <si>
    <t xml:space="preserve">Parent-level underwriting AI exists (application process '60 percent faster' in Individual Life; 80% of Group cases real time) but 'weeks to days' phrasing not found and no India link. Unsupported stands; at most parent context for col S.</t>
  </si>
  <si>
    <t xml:space="preserve">1.Prudential Financial reported Q2 2026 adjusted operating income of $1.438 billion and asse</t>
  </si>
  <si>
    <t xml:space="preserve">No publicly verified information found (searched: PFI Innovation Centre India finance/leadership 2026; only HR appointment and parent earnings surfaced)</t>
  </si>
  <si>
    <t xml:space="preserve">1.The India centre is intended to support transformation across Prudential's businesses span</t>
  </si>
  <si>
    <t xml:space="preserve">No publicly verified information found on insurance-operations work at the Gurugram centre (searched: PFI Innovation Centre India AI/enterprise security/global transformation; underwriting/claims not mentioned in any India coverage)</t>
  </si>
  <si>
    <t xml:space="preserve">No publicly verified information found (searched: PFI Innovation Centre India 2026 x3)</t>
  </si>
  <si>
    <t xml:space="preserve">sheet row 39</t>
  </si>
  <si>
    <t xml:space="preserve">1.Assurant continues expanding AI, automation, analytics and digital protection capabilities</t>
  </si>
  <si>
    <t xml:space="preserve">2.Assurant's 2026 consumer study found India among the most AI-optimistic markets, with stro</t>
  </si>
  <si>
    <t xml:space="preserve">1.Assurant increased its FY2026 outlook after delivering record Q2 2026 financial results an</t>
  </si>
  <si>
    <t xml:space="preserve">1.Assurant's global leadership reorganization combined operations and IT under the Chief Ope</t>
  </si>
  <si>
    <t xml:space="preserve">Wrong bucket → Key Trends (col S) as group/parent context, not an India focus item</t>
  </si>
  <si>
    <t xml:space="preserve">2.Assurant is deploying AI-enabled service platforms, digital claims processing and personali</t>
  </si>
  <si>
    <t xml:space="preserve">3.India leadership now includes executives experienced in underwriting, casualty, specialty i</t>
  </si>
  <si>
    <t xml:space="preserve">hrtoday.in confirms Harini Kannan appointed Country Head - India (Apr 2026, ex-HDFC ERGO) and references 'a growing Global Capability Centre'. Agree that the underwriting/casualty/specialty/reinsurance inference should be trimmed.</t>
  </si>
  <si>
    <t xml:space="preserve">No publicly verified information found (searched: Assurant India GCC 2026; Assurant India claims finance shared services; Assurant India AI engineering careers; Harini Kannan)</t>
  </si>
  <si>
    <t xml:space="preserve">sheet row 40</t>
  </si>
  <si>
    <t xml:space="preserve">1.Nationwide announced a $1.5 billion technology investment through 2028, including approxim</t>
  </si>
  <si>
    <t xml:space="preserve">2.Nationwide is scaling AI across claims, customer service, underwriting and software engine</t>
  </si>
  <si>
    <t xml:space="preserve">3.Hyderabad GCC created to build engineering, digital, cybersecurity, AI, cloud, software eng</t>
  </si>
  <si>
    <t xml:space="preserve">UNI/Telangana Today confirm Hyderabad launch supporting 'engineering, digital, and business capabilities'; cloud/AI/cybersecurity list appears only in ssfglobal.in and cxodigitalpulse.com (trade). Confirmed with that caveat.</t>
  </si>
  <si>
    <t xml:space="preserve">1.Nationwide remains among the largest U.S. insurance and financial-services providers, repor</t>
  </si>
  <si>
    <t xml:space="preserve">2.The company has appointed Vikas Jaswal as Senior Vice President and Managing Director of N</t>
  </si>
  <si>
    <t xml:space="preserve">No publicly verified information found on finance functions at Nationwide India (searched: Nationwide Global Services Center Hyderabad 2026; Nationwide India engineering/AI/cloud; Nationwide Hyderabad business lines)</t>
  </si>
  <si>
    <t xml:space="preserve">1.Nationwide is deploying AI-enabled underwriting tools that summarize submissions, identify</t>
  </si>
  <si>
    <t xml:space="preserve">2.Nationwide has implemented AI-powered claims summarization and call-transcript technologies</t>
  </si>
  <si>
    <t xml:space="preserve">3.Nationwide's AI strategy includes customer-service modernization and increased use of AI to</t>
  </si>
  <si>
    <t xml:space="preserve">4.Hyderabad operations initially support Property &amp; Casualty Insurance, Life Insurance, Retir</t>
  </si>
  <si>
    <t xml:space="preserve">5.Vikas Jaswal was appointed Senior Vice President &amp; Managing Director, Nationwide India to l</t>
  </si>
  <si>
    <t xml:space="preserve">No publicly verified India-specific insurance-operations information; launch coverage says only that the centre 'supports business functions' (searched: as above)</t>
  </si>
  <si>
    <t xml:space="preserve">No publicly verified information found (searched: as above)</t>
  </si>
  <si>
    <t xml:space="preserve">sheet row 41</t>
  </si>
  <si>
    <t xml:space="preserve">1.Genworth India continues to operate as a capability center supporting technology solutions</t>
  </si>
  <si>
    <t xml:space="preserve">No publicly verified information found for the past two years (searched: Genworth India GCC Bengaluru 2026 technology; Genworth India GFIPL capability center; 'Genworth India' capability center LinkedIn) - only undated job listings (e.g. AWS Connect Associate) surfaced</t>
  </si>
  <si>
    <t xml:space="preserve">1.Genworth reported Q2 2026 adjusted operating income of $112 million and continued capital r</t>
  </si>
  <si>
    <t xml:space="preserve">1.India GCC supports Operations, Finance and technology functions for Genworth North America.</t>
  </si>
  <si>
    <t xml:space="preserve">No publicly verified information found for the past two years (searched: as above); older Genpact BPM partnership (agent services, actuarial, F&amp;A, sourcing) is outdated</t>
  </si>
  <si>
    <t xml:space="preserve">India leadership specifically references strengthening governance frameworks and ICOFR (Inte</t>
  </si>
  <si>
    <t xml:space="preserve">No publicly verified information found; team's ICOFR claim could not be sourced (searched: Genworth India GFIPL ICOFR)</t>
  </si>
  <si>
    <t xml:space="preserve">sheet row 42</t>
  </si>
  <si>
    <t xml:space="preserve">1.Voya opened a new Hyderabad GCC in June 2026 to support technology, engineering, automation</t>
  </si>
  <si>
    <t xml:space="preserve">2.Voya continues enterprise-wide AI investments supporting customer service, claims processin</t>
  </si>
  <si>
    <t xml:space="preserve">3.Voya deployed AI-enabled onboarding and API connectivity solutions to modernize retirement-</t>
  </si>
  <si>
    <t xml:space="preserve">1.Voya's India GCC continues supporting wealth, retirement and investment-management business</t>
  </si>
  <si>
    <t xml:space="preserve">1.AI-support capabilities currently handle millions of annual customer interactions, includin</t>
  </si>
  <si>
    <t xml:space="preserve">sheet row 43</t>
  </si>
  <si>
    <t xml:space="preserve">1.FNF continues expanding its proprietary digital closing platform inHere, which reportedly s</t>
  </si>
  <si>
    <t xml:space="preserve">2.FNF management highlighted AI adoption, digital platforms and automation as drivers of oper</t>
  </si>
  <si>
    <t xml:space="preserve">1.FNF reported Q2 2026 adjusted net earnings of $370 million and strong performance in its Ti</t>
  </si>
  <si>
    <t xml:space="preserve">No publicly verified information found on finance functions at FNF India (searched: FNF India finance accounting internal audit SOX Bengaluru)</t>
  </si>
  <si>
    <t xml:space="preserve">1.FNF continues to report growth in title-insurance revenues and transaction services despite</t>
  </si>
  <si>
    <t xml:space="preserve">2.FNF's digital ecosystem including title, escrow and mortgage transaction services continues</t>
  </si>
  <si>
    <t xml:space="preserve">Parent-level, weak source, not India-specific.</t>
  </si>
  <si>
    <t xml:space="preserve">No publicly verified information found (searched: FNF India finance accounting internal audit SOX Bengaluru; FNF India Bengaluru 2026)</t>
  </si>
  <si>
    <t xml:space="preserve">sheet row 48</t>
  </si>
  <si>
    <t xml:space="preserve">sheet row 49</t>
  </si>
  <si>
    <t xml:space="preserve">sheet row 50</t>
  </si>
  <si>
    <t xml:space="preserve">sheet row 51</t>
  </si>
  <si>
    <t xml:space="preserve">sheet row 52</t>
  </si>
  <si>
    <t xml:space="preserve">sheet row 53</t>
  </si>
  <si>
    <t xml:space="preserve">1. RGA offers RGA Shield, a digital risk-management ad automated underwriting platform ... AURA NEXT</t>
  </si>
  <si>
    <t xml:space="preserve">AUDIT AMENDED: an India-specific RGA Shield page exists on rgare.com (see confirmed existing O bullet), so the India site does market a digital risk-management/underwriting platform; however no dated 2024-26 India deployment, client or tech-team news was found. AURA NEXT, GenAI document processing and DigitalOwl remain group-level (searched: RGA India branch Sunil Sharma 2025 2026; RGA AURA NEXT India).</t>
  </si>
  <si>
    <t xml:space="preserve">India leadership includes a dedicated Chief Financial Officer. Pankaj Jain serves as CFO</t>
  </si>
  <si>
    <t xml:space="preserve">No India-specific finance news beyond the leadership roster (searched: as above). AUDIT: stands.</t>
  </si>
  <si>
    <t xml:space="preserve">2. RGA identifies underwriting, pricing, data analytics and product development as core capabilities. Also RGA supports bancassurance</t>
  </si>
  <si>
    <t xml:space="preserve">No public internal audit / SOX / ICFR information for the India branch (searched: as above). AUDIT: stands.</t>
  </si>
  <si>
    <t xml:space="preserve">sheet row 54</t>
  </si>
  <si>
    <t xml:space="preserve">1. SCOR offers automated underwriting and digital claims capabilities through SCOR Digital Solutions</t>
  </si>
  <si>
    <t xml:space="preserve">No India-branch technology/AI item found; SCOR Digital Solutions, Velogica, VClaims are group-level (searched: SCOR India branch reinsurance 2025 2026 Mumbai; SCOR India CEO Mayank Tandon leadership 2025). AUDIT: stands.</t>
  </si>
  <si>
    <t xml:space="preserve">1. Mayank Tandon serves as Chief Financial Officer of SCOR India</t>
  </si>
  <si>
    <t xml:space="preserve">No India-specific finance news beyond the 2022 CFO roster (searched: as above). AUDIT: stands.</t>
  </si>
  <si>
    <t xml:space="preserve">1. SCOR maintains a longstanding Life &amp; Health reinsurance presence in India</t>
  </si>
  <si>
    <t xml:space="preserve">No public information is available on IA. India leadership structure includes dedicated executives for CEO, CFO, P&amp;C and Life &amp; Health</t>
  </si>
  <si>
    <t xml:space="preserve">sheet row 55</t>
  </si>
  <si>
    <t xml:space="preserve">Note</t>
  </si>
  <si>
    <t xml:space="preserve">sheet row 56</t>
  </si>
  <si>
    <t xml:space="preserve">1: India supports a growing multinational insurance platform (thecompanycheck URL)</t>
  </si>
  <si>
    <t xml:space="preserve">No publicly verified technology activity in India found, and entity has withdrawn (searched: 'Volante Global Services India Lloyd's surrender 2026'; 'Volante Lloyd's India IRDAI November 2024 Walikar').</t>
  </si>
  <si>
    <t xml:space="preserve">1: Lloyd's India market expansion (asiainsurancepost 59645)</t>
  </si>
  <si>
    <t xml:space="preserve">No finance-function activity found; entity withdrawn Mar 2026.</t>
  </si>
  <si>
    <t xml:space="preserve">1: Establishment of Indian operating infrastructure (thecompanycheck URL)</t>
  </si>
  <si>
    <t xml:space="preserve">2: Development of an India-focused operating presence (reinsurancene.ws Walikar MD)</t>
  </si>
  <si>
    <t xml:space="preserve">No internal audit information found.</t>
  </si>
  <si>
    <t xml:space="preserve">sheet row 57</t>
  </si>
  <si>
    <t xml:space="preserve">1: Strengthening operational capability supporting facultative reinsurance (axaxl press release)</t>
  </si>
  <si>
    <t xml:space="preserve">No publicly verified technology/AI/data activity at the India branch (searched: 'XL Insurance Company SE India Reinsurance Branch Alok Shukla 2025 2026'; 'AXA XL India appointments Saumitra Sharma facultative').</t>
  </si>
  <si>
    <t xml:space="preserve">1: Continued public financial and solvency disclosures (axaxl half-year 2025-2026 page)</t>
  </si>
  <si>
    <t xml:space="preserve">2: Continued investment in India operations through leadership expansion (reinsurancene.ws Alok Shukla CEO)</t>
  </si>
  <si>
    <t xml:space="preserve">No finance-function trend found beyond the branch having a CFO (Avneet Kumar Gupta) and statutory disclosures.</t>
  </si>
  <si>
    <t xml:space="preserve">1: Leadership transition to support growth in facultative reinsurance (reinasia Alok Shukla)</t>
  </si>
  <si>
    <t xml:space="preserve">2: Significant strengthening of underwriting capability (axaxl press release)</t>
  </si>
  <si>
    <t xml:space="preserve">3: Expansion of specialty reinsurance capabilities (axaxl company page)</t>
  </si>
  <si>
    <t xml:space="preserve">sheet row 58</t>
  </si>
  <si>
    <t xml:space="preserve">1: Increasing emphasis on risk advisory, analytics and data-driven broking (wtwco Best Broker 2025 news)</t>
  </si>
  <si>
    <t xml:space="preserve">2: Broking model increasingly supported by analytics-driven risk solutions (wtwco about-us India page)</t>
  </si>
  <si>
    <t xml:space="preserve">1: Strong FY2025 revenue growth (thecompanycheck broker entity)</t>
  </si>
  <si>
    <t xml:space="preserve">2: Continued business expansion and scale growth (emis broker profile)</t>
  </si>
  <si>
    <t xml:space="preserve">1: Recognition as India's Best Insurance Broker (wtwco Jul 2025)</t>
  </si>
  <si>
    <t xml:space="preserve">2: Expansion of specialty insurance capabilities (asiainsurancepost 65336)</t>
  </si>
  <si>
    <t xml:space="preserve">3: Continued focus on industry-specialized broking and advisory (wtwco about-us)</t>
  </si>
  <si>
    <t xml:space="preserve">sheet row 59</t>
  </si>
  <si>
    <t xml:space="preserve">sheet row 60</t>
  </si>
  <si>
    <t xml:space="preserve">sheet row 61</t>
  </si>
  <si>
    <t xml:space="preserve">sheet row 62</t>
  </si>
  <si>
    <t xml:space="preserve">1: Establishment of a local operating platform (reinsurancene.ws korean-re-approved...)</t>
  </si>
  <si>
    <t xml:space="preserve">No publicly verified information found on technology/AI/data for the India branch (researcher: Korean Re GIFT City branch IFSCA approval; Korean Re India branch head opening ceremony; auditor: Korean Re India branch GIFT City IFSCA approval opening ceremony January 2026; Korean Re 'core market' overseas inward reinsurance April 2026).</t>
  </si>
  <si>
    <t xml:space="preserve">1: Strategic capital commitment to India expansion (insurancebusinessmag 558208)</t>
  </si>
  <si>
    <t xml:space="preserve">No publicly verified information found on finance functions or capital allocation for the branch (same searches). Branch head/principal officer name not surfaced.</t>
  </si>
  <si>
    <t xml:space="preserve">1: Entry into India's reinsurance market through GIFT City (reinsurancene.ws)</t>
  </si>
  <si>
    <t xml:space="preserve">2: GIFT City selected as a platform for regional reinsurance growth (insurancebusinessmag 558208)</t>
  </si>
  <si>
    <t xml:space="preserve">3: Expansion of overseas underwriting portfolio (pulse.mk.co.kr/news/english/11941462)</t>
  </si>
  <si>
    <t xml:space="preserve">sheet row 63</t>
  </si>
  <si>
    <t xml:space="preserve">sheet row 64</t>
  </si>
  <si>
    <t xml:space="preserve">sheet row 65</t>
  </si>
  <si>
    <t xml:space="preserve">sheet row 66</t>
  </si>
  <si>
    <t xml:space="preserve">sheet row 67</t>
  </si>
  <si>
    <t xml:space="preserve">sheet row 68</t>
  </si>
  <si>
    <t xml:space="preserve">sheet row 69</t>
  </si>
  <si>
    <t xml:space="preserve">1: Creation of a local operating platform (echore.com/echo-re-opens-branch-office-in-gift-city-ifsc/)</t>
  </si>
  <si>
    <t xml:space="preserve">No publicly verified information found on technology (researcher: Echo Re GIFT City branch India Ankur 2025 2026; Echo Re opens branch office GIFT City IFSC first branch outside Zurich; auditor: Echo Re GIFT City branch India IIO head Swiss Re veteran Rajil Khare 2026; Echo Re opens branch office GIFT City first branch outside Zurich treaty P&amp;C specialty lines). Note: new senior underwriter Khare's prior role included underwriting data analytics, but no Echo Re India tech/data initiative is reported.</t>
  </si>
  <si>
    <t xml:space="preserve">1: Strategic investment in India's reinsurance market (insurancebusinessmag 568642)</t>
  </si>
  <si>
    <t xml:space="preserve">2: India elevated to a core strategic market (reinsurancene.ws echo-re-opens-branch...)</t>
  </si>
  <si>
    <t xml:space="preserve">No publicly verified information found on India finance functions (same searches); only group-level GWP figures.</t>
  </si>
  <si>
    <t xml:space="preserve">1: Establishment of Echo Re's first branch office outside Zurich (echore.com)</t>
  </si>
  <si>
    <t xml:space="preserve">2: Expansion of treaty reinsurance across P&amp;C and specialty lines (reinsurancene.ws)</t>
  </si>
  <si>
    <t xml:space="preserve">3: GIFT City adopted as gateway to the Indian subcontinent (asiainsurancepost.com/archives/77662)</t>
  </si>
  <si>
    <t xml:space="preserve">4: Strengthening local leadership and operational presence (noah-news.com ... led-by-ankur-s-2)</t>
  </si>
  <si>
    <t xml:space="preserve">sheet row 70</t>
  </si>
  <si>
    <t xml:space="preserve">sheet row 71</t>
  </si>
  <si>
    <t xml:space="preserve">sheet row 72</t>
  </si>
  <si>
    <t xml:space="preserve">sheet row 73</t>
  </si>
  <si>
    <t xml:space="preserve">sheet row 74</t>
  </si>
  <si>
    <t xml:space="preserve">sheet row 75</t>
  </si>
  <si>
    <t xml:space="preserve">sheet row 76</t>
  </si>
  <si>
    <t xml:space="preserve">sheet row 77</t>
  </si>
  <si>
    <t xml:space="preserve">sheet row 78</t>
  </si>
  <si>
    <t xml:space="preserve">GCC landscape: focus areas of insurance, reinsurance, broking and GIFT City entities in India (as of Oct 2026)</t>
  </si>
  <si>
    <t xml:space="preserve">Organization</t>
  </si>
  <si>
    <t xml:space="preserve">GCC Scale</t>
  </si>
  <si>
    <t xml:space="preserve">Sector</t>
  </si>
  <si>
    <t xml:space="preserve">Offshoring Model</t>
  </si>
  <si>
    <t xml:space="preserve">Locations</t>
  </si>
  <si>
    <t xml:space="preserve">Service Portfolio and Positioning (flag = verified India activity in the past 1-2 years)</t>
  </si>
  <si>
    <t xml:space="preserve">Insurance Ops</t>
  </si>
  <si>
    <t xml:space="preserve">Internal Audit</t>
  </si>
  <si>
    <t xml:space="preserve">Focus areas: why flagged, what the trend is</t>
  </si>
  <si>
    <t xml:space="preserve">A. Insurance group GCCs in India</t>
  </si>
  <si>
    <r>
      <rPr>
        <b val="true"/>
        <sz val="10"/>
        <rFont val="Arial"/>
        <family val="0"/>
        <charset val="1"/>
      </rPr>
      <t xml:space="preserve">Allianz
</t>
    </r>
    <r>
      <rPr>
        <sz val="8"/>
        <color rgb="FF595959"/>
        <rFont val="Arial"/>
        <family val="0"/>
        <charset val="1"/>
      </rPr>
      <t xml:space="preserve">Allianz Services Private Limited (Allianz Services India)</t>
    </r>
  </si>
  <si>
    <t xml:space="preserve">~4,150-4,700</t>
  </si>
  <si>
    <t xml:space="preserve">Multi-line insurance &amp; asset management</t>
  </si>
  <si>
    <t xml:space="preserve">Captive (self-built)</t>
  </si>
  <si>
    <t xml:space="preserve">Thiruvananthapuram, Pune, Mumbai</t>
  </si>
  <si>
    <t xml:space="preserve">✓</t>
  </si>
  <si>
    <t xml:space="preserve">-</t>
  </si>
  <si>
    <r>
      <rPr>
        <b val="true"/>
        <sz val="9"/>
        <color rgb="FF1F3864"/>
        <rFont val="Arial"/>
        <family val="0"/>
        <charset val="1"/>
      </rPr>
      <t xml:space="preserve">Insurance-ops, actuarial and GenAI competence centre
</t>
    </r>
    <r>
      <rPr>
        <b val="true"/>
        <sz val="9"/>
        <rFont val="Arial"/>
        <family val="0"/>
        <charset val="1"/>
      </rPr>
      <t xml:space="preserve">Technology: </t>
    </r>
    <r>
      <rPr>
        <sz val="9"/>
        <rFont val="Arial"/>
        <family val="0"/>
        <charset val="1"/>
      </rPr>
      <t xml:space="preserve">Data &amp; GenAI pillar in Trivandrum (Innovation Marathon Feb 2026) drives automation and GenAI modernisation of Allianz operations from India.
</t>
    </r>
    <r>
      <rPr>
        <b val="true"/>
        <sz val="9"/>
        <rFont val="Arial"/>
        <family val="0"/>
        <charset val="1"/>
      </rPr>
      <t xml:space="preserve">Finance: </t>
    </r>
    <r>
      <rPr>
        <sz val="9"/>
        <rFont val="Arial"/>
        <family val="0"/>
        <charset val="1"/>
      </rPr>
      <t xml:space="preserve">Financial Business Services line delivers finance, HR and compliance services to Allianz group entities from India (2025-26).
</t>
    </r>
    <r>
      <rPr>
        <b val="true"/>
        <sz val="9"/>
        <rFont val="Arial"/>
        <family val="0"/>
        <charset val="1"/>
      </rPr>
      <t xml:space="preserve">Insurance Operations: </t>
    </r>
    <r>
      <rPr>
        <sz val="9"/>
        <rFont val="Arial"/>
        <family val="0"/>
        <charset val="1"/>
      </rPr>
      <t xml:space="preserve">Largest Allianz Services competence centre for insurance operations, actuarial services and business analytics; ran Actuarial Edge 2025 talent competition.</t>
    </r>
  </si>
  <si>
    <r>
      <rPr>
        <b val="true"/>
        <sz val="8"/>
        <rFont val="Arial"/>
        <family val="0"/>
        <charset val="1"/>
      </rPr>
      <t xml:space="preserve">Technology:
</t>
    </r>
    <r>
      <rPr>
        <u val="single"/>
        <sz val="8"/>
        <color rgb="FF0563C1"/>
        <rFont val="Arial"/>
        <family val="0"/>
        <charset val="1"/>
      </rPr>
      <t xml:space="preserve">https://careers.allianz.com/global/en/allianz-services
https://www.technoparktoday.com/allianz-services-india-hosts-innovation-marathon-2026-sree-chitra-thirunal-college-of-engineering-emerges-as-winner/
</t>
    </r>
    <r>
      <rPr>
        <b val="true"/>
        <sz val="8"/>
        <rFont val="Arial"/>
        <family val="0"/>
        <charset val="1"/>
      </rPr>
      <t xml:space="preserve">Finance:
</t>
    </r>
    <r>
      <rPr>
        <u val="single"/>
        <sz val="8"/>
        <color rgb="FF0563C1"/>
        <rFont val="Arial"/>
        <family val="0"/>
        <charset val="1"/>
      </rPr>
      <t xml:space="preserve">https://www.linkedin.com/showcase/allianz-services-india/
</t>
    </r>
    <r>
      <rPr>
        <b val="true"/>
        <sz val="8"/>
        <rFont val="Arial"/>
        <family val="0"/>
        <charset val="1"/>
      </rPr>
      <t xml:space="preserve">Insurance Operations:
</t>
    </r>
    <r>
      <rPr>
        <u val="single"/>
        <sz val="8"/>
        <color rgb="FF0563C1"/>
        <rFont val="Arial"/>
        <family val="0"/>
        <charset val="1"/>
      </rPr>
      <t xml:space="preserve">https://www.linkedin.com/showcase/allianz-services-india/
https://www.technoparktoday.com/allianz-services-india-actuarial-edge-2025-iaqs-mumbai-wins/</t>
    </r>
  </si>
  <si>
    <r>
      <rPr>
        <b val="true"/>
        <sz val="10"/>
        <rFont val="Arial"/>
        <family val="0"/>
        <charset val="1"/>
      </rPr>
      <t xml:space="preserve">Allstate
</t>
    </r>
    <r>
      <rPr>
        <sz val="8"/>
        <color rgb="FF595959"/>
        <rFont val="Arial"/>
        <family val="0"/>
        <charset val="1"/>
      </rPr>
      <t xml:space="preserve">Allstate India Private Limited</t>
    </r>
  </si>
  <si>
    <t xml:space="preserve">8,000+ (company)</t>
  </si>
  <si>
    <t xml:space="preserve">P&amp;C insurance</t>
  </si>
  <si>
    <t xml:space="preserve">Bengaluru, Pune</t>
  </si>
  <si>
    <r>
      <rPr>
        <b val="true"/>
        <sz val="9"/>
        <color rgb="FF1F3864"/>
        <rFont val="Arial"/>
        <family val="0"/>
        <charset val="1"/>
      </rPr>
      <t xml:space="preserve">Claims, underwriting and policy-admin captive
</t>
    </r>
    <r>
      <rPr>
        <b val="true"/>
        <sz val="9"/>
        <rFont val="Arial"/>
        <family val="0"/>
        <charset val="1"/>
      </rPr>
      <t xml:space="preserve">Technology: </t>
    </r>
    <r>
      <rPr>
        <sz val="9"/>
        <rFont val="Arial"/>
        <family val="0"/>
        <charset val="1"/>
      </rPr>
      <t xml:space="preserve">Technology &amp; Innovation and digital-platform teams build AI-and-analytics infrastructure for pricing and fraud detection at scale (Aug 2024).
</t>
    </r>
    <r>
      <rPr>
        <b val="true"/>
        <sz val="9"/>
        <rFont val="Arial"/>
        <family val="0"/>
        <charset val="1"/>
      </rPr>
      <t xml:space="preserve">Insurance Operations: </t>
    </r>
    <r>
      <rPr>
        <sz val="9"/>
        <rFont val="Arial"/>
        <family val="0"/>
        <charset val="1"/>
      </rPr>
      <t xml:space="preserve">End-to-end auto/property underwriting, claims and 20M+ policy administration from India; claims leader Shibu Zacharia named MD Sep 2025.
</t>
    </r>
    <r>
      <rPr>
        <i val="true"/>
        <sz val="8"/>
        <color rgb="FF7F6000"/>
        <rFont val="Arial"/>
        <family val="0"/>
        <charset val="1"/>
      </rPr>
      <t xml:space="preserve">Note: Third-party estimates (~3,200-4,300) sit well below the 8,000 company figure</t>
    </r>
  </si>
  <si>
    <r>
      <rPr>
        <b val="true"/>
        <sz val="8"/>
        <rFont val="Arial"/>
        <family val="0"/>
        <charset val="1"/>
      </rPr>
      <t xml:space="preserve">Technology:
</t>
    </r>
    <r>
      <rPr>
        <u val="single"/>
        <sz val="8"/>
        <color rgb="FF0563C1"/>
        <rFont val="Arial"/>
        <family val="0"/>
        <charset val="1"/>
      </rPr>
      <t xml:space="preserve">https://www.business-standard.com/content/press-releases-ani/reimagining-the-role-of-insurance-gccs-allstate-india-s-journey-towards-a-global-talent-center-124082600741_1.html
</t>
    </r>
    <r>
      <rPr>
        <b val="true"/>
        <sz val="8"/>
        <rFont val="Arial"/>
        <family val="0"/>
        <charset val="1"/>
      </rPr>
      <t xml:space="preserve">Insurance Operations:
</t>
    </r>
    <r>
      <rPr>
        <u val="single"/>
        <sz val="8"/>
        <color rgb="FF0563C1"/>
        <rFont val="Arial"/>
        <family val="0"/>
        <charset val="1"/>
      </rPr>
      <t xml:space="preserve">https://www.prnewswire.com/in/news-releases/reimagining-the-role-of-insurance-gccs-allstate-indias-journey-towards-a-global-talent-center-302230355.html
https://hrtoday.in/shibu-mathew-zacharia-appointed-as-vice-president-and-managing-director-at-allstate-india/</t>
    </r>
  </si>
  <si>
    <r>
      <rPr>
        <b val="true"/>
        <sz val="10"/>
        <rFont val="Arial"/>
        <family val="0"/>
        <charset val="1"/>
      </rPr>
      <t xml:space="preserve">AIG (now Accenture)
</t>
    </r>
    <r>
      <rPr>
        <sz val="8"/>
        <color rgb="FF595959"/>
        <rFont val="Arial"/>
        <family val="0"/>
        <charset val="1"/>
      </rPr>
      <t xml:space="preserve">Accenture Operations Services Private Limited (ex-AIG Analytics &amp; Services Pvt Ltd)</t>
    </r>
  </si>
  <si>
    <t xml:space="preserve">Sold to Accenture (Jan 2021)</t>
  </si>
  <si>
    <r>
      <rPr>
        <b val="true"/>
        <sz val="9"/>
        <color rgb="FF1F3864"/>
        <rFont val="Arial"/>
        <family val="0"/>
        <charset val="1"/>
      </rPr>
      <t xml:space="preserve">Former AIG captive, Accenture-operated since 2021
</t>
    </r>
    <r>
      <rPr>
        <i val="true"/>
        <sz val="8"/>
        <color rgb="FF7F6000"/>
        <rFont val="Arial"/>
        <family val="0"/>
        <charset val="1"/>
      </rPr>
      <t xml:space="preserve">Note: No longer an AIG-owned GCC; aggregator headcount (~940) unverified</t>
    </r>
  </si>
  <si>
    <r>
      <rPr>
        <b val="true"/>
        <sz val="10"/>
        <rFont val="Arial"/>
        <family val="0"/>
        <charset val="1"/>
      </rPr>
      <t xml:space="preserve">Aon
</t>
    </r>
    <r>
      <rPr>
        <sz val="8"/>
        <color rgb="FF595959"/>
        <rFont val="Arial"/>
        <family val="0"/>
        <charset val="1"/>
      </rPr>
      <t xml:space="preserve">Aon Services India Private Limited</t>
    </r>
  </si>
  <si>
    <t xml:space="preserve">Insurance broking &amp; risk advisory</t>
  </si>
  <si>
    <t xml:space="preserve">Bengaluru (expanded 2026), Noida, Gurugram</t>
  </si>
  <si>
    <r>
      <rPr>
        <b val="true"/>
        <sz val="9"/>
        <color rgb="FF1F3864"/>
        <rFont val="Arial"/>
        <family val="0"/>
        <charset val="1"/>
      </rPr>
      <t xml:space="preserve">Analytics-technology-operations hub expanding (Bengaluru 2026)
</t>
    </r>
    <r>
      <rPr>
        <b val="true"/>
        <sz val="9"/>
        <rFont val="Arial"/>
        <family val="0"/>
        <charset val="1"/>
      </rPr>
      <t xml:space="preserve">Technology: </t>
    </r>
    <r>
      <rPr>
        <sz val="9"/>
        <rFont val="Arial"/>
        <family val="0"/>
        <charset val="1"/>
      </rPr>
      <t xml:space="preserve">Bengaluru GCC expanded Jun 2026 with new Whitefield facility; India centres deliver analytics, technology and operations for Aon globally.
</t>
    </r>
    <r>
      <rPr>
        <b val="true"/>
        <sz val="9"/>
        <rFont val="Arial"/>
        <family val="0"/>
        <charset val="1"/>
      </rPr>
      <t xml:space="preserve">Insurance Operations: </t>
    </r>
    <r>
      <rPr>
        <sz val="9"/>
        <rFont val="Arial"/>
        <family val="0"/>
        <charset val="1"/>
      </rPr>
      <t xml:space="preserve">India centres provide operations plus Risk Capital and Human Capital support; new Head of Global Capability Centers appointed Mar 2026.
</t>
    </r>
    <r>
      <rPr>
        <i val="true"/>
        <sz val="8"/>
        <color rgb="FF7F6000"/>
        <rFont val="Arial"/>
        <family val="0"/>
        <charset val="1"/>
      </rPr>
      <t xml:space="preserve">Note: Third-party 10,000+ headcount estimate is low-confidence</t>
    </r>
  </si>
  <si>
    <r>
      <rPr>
        <b val="true"/>
        <sz val="8"/>
        <rFont val="Arial"/>
        <family val="0"/>
        <charset val="1"/>
      </rPr>
      <t xml:space="preserve">Technology:
</t>
    </r>
    <r>
      <rPr>
        <u val="single"/>
        <sz val="8"/>
        <color rgb="FF0563C1"/>
        <rFont val="Arial"/>
        <family val="0"/>
        <charset val="1"/>
      </rPr>
      <t xml:space="preserve">https://www.aon.com/apac/in-the-press/asia-newsroom/2026/aon-reinforces-india-as-key-global-hub
https://www.reinsurancene.ws/aon-expands-bengalurus-global-capability-centre-with-new-facility/
</t>
    </r>
    <r>
      <rPr>
        <b val="true"/>
        <sz val="8"/>
        <rFont val="Arial"/>
        <family val="0"/>
        <charset val="1"/>
      </rPr>
      <t xml:space="preserve">Insurance Operations:
</t>
    </r>
    <r>
      <rPr>
        <u val="single"/>
        <sz val="8"/>
        <color rgb="FF0563C1"/>
        <rFont val="Arial"/>
        <family val="0"/>
        <charset val="1"/>
      </rPr>
      <t xml:space="preserve">https://www.aon.com/apac/in-the-press/asia-newsroom/2026/aon-reinforces-india-as-key-global-hub
https://hrtoday.in/shiney-prasad-embarks-on-new-journey-with-aon-as-head-of-global-capability-centers/</t>
    </r>
  </si>
  <si>
    <r>
      <rPr>
        <b val="true"/>
        <sz val="10"/>
        <rFont val="Arial"/>
        <family val="0"/>
        <charset val="1"/>
      </rPr>
      <t xml:space="preserve">Admiral Group
</t>
    </r>
    <r>
      <rPr>
        <sz val="8"/>
        <color rgb="FF595959"/>
        <rFont val="Arial"/>
        <family val="0"/>
        <charset val="1"/>
      </rPr>
      <t xml:space="preserve">Admiral Solutions (EUI Ltd) and Admiral India (Inspop Technologies India Pvt Ltd)</t>
    </r>
  </si>
  <si>
    <t xml:space="preserve">~3,000-3,100 (two units)</t>
  </si>
  <si>
    <t xml:space="preserve">UK motor insurance</t>
  </si>
  <si>
    <r>
      <rPr>
        <b val="true"/>
        <sz val="9"/>
        <color rgb="FF1F3864"/>
        <rFont val="Arial"/>
        <family val="0"/>
        <charset val="1"/>
      </rPr>
      <t xml:space="preserve">UK motor customer-service and technology captive
</t>
    </r>
    <r>
      <rPr>
        <b val="true"/>
        <sz val="9"/>
        <rFont val="Arial"/>
        <family val="0"/>
        <charset val="1"/>
      </rPr>
      <t xml:space="preserve">Technology: </t>
    </r>
    <r>
      <rPr>
        <sz val="9"/>
        <rFont val="Arial"/>
        <family val="0"/>
        <charset val="1"/>
      </rPr>
      <t xml:space="preserve">Admiral India (Gurugram SEZ) runs infrastructure, cloud, security and IT operations for the group and is hiring engineering managers (2025-26).
</t>
    </r>
    <r>
      <rPr>
        <b val="true"/>
        <sz val="9"/>
        <rFont val="Arial"/>
        <family val="0"/>
        <charset val="1"/>
      </rPr>
      <t xml:space="preserve">Insurance Operations: </t>
    </r>
    <r>
      <rPr>
        <sz val="9"/>
        <rFont val="Arial"/>
        <family val="0"/>
        <charset val="1"/>
      </rPr>
      <t xml:space="preserve">Admiral Solutions, a 2,000+ Gurugram operation, delivers UK car-insurance customer service and back office; customer-care hiring continues in 2026.
</t>
    </r>
    <r>
      <rPr>
        <i val="true"/>
        <sz val="8"/>
        <color rgb="FF7F6000"/>
        <rFont val="Arial"/>
        <family val="0"/>
        <charset val="1"/>
      </rPr>
      <t xml:space="preserve">Note: Scale is GPTW-sourced; Revelio estimates ~2,400 group-wide</t>
    </r>
  </si>
  <si>
    <r>
      <rPr>
        <b val="true"/>
        <sz val="8"/>
        <rFont val="Arial"/>
        <family val="0"/>
        <charset val="1"/>
      </rPr>
      <t xml:space="preserve">Technology:
</t>
    </r>
    <r>
      <rPr>
        <u val="single"/>
        <sz val="8"/>
        <color rgb="FF0563C1"/>
        <rFont val="Arial"/>
        <family val="0"/>
        <charset val="1"/>
      </rPr>
      <t xml:space="preserve">https://www.admiralindia.com/
https://www.admiralindia.com/current-jobs/
</t>
    </r>
    <r>
      <rPr>
        <b val="true"/>
        <sz val="8"/>
        <rFont val="Arial"/>
        <family val="0"/>
        <charset val="1"/>
      </rPr>
      <t xml:space="preserve">Insurance Operations:
</t>
    </r>
    <r>
      <rPr>
        <u val="single"/>
        <sz val="8"/>
        <color rgb="FF0563C1"/>
        <rFont val="Arial"/>
        <family val="0"/>
        <charset val="1"/>
      </rPr>
      <t xml:space="preserve">https://www.admiralsolutions.in/
https://career.admiralsolutions.in/vacancies/</t>
    </r>
  </si>
  <si>
    <r>
      <rPr>
        <b val="true"/>
        <sz val="10"/>
        <rFont val="Arial"/>
        <family val="0"/>
        <charset val="1"/>
      </rPr>
      <t xml:space="preserve">Arch Capital
</t>
    </r>
    <r>
      <rPr>
        <sz val="8"/>
        <color rgb="FF595959"/>
        <rFont val="Arial"/>
        <family val="0"/>
        <charset val="1"/>
      </rPr>
      <t xml:space="preserve">Arch Global Services (India) Private Limited</t>
    </r>
  </si>
  <si>
    <t xml:space="preserve">~450 (Oct 2025)</t>
  </si>
  <si>
    <t xml:space="preserve">Specialty insurance, reinsurance &amp; mortgage</t>
  </si>
  <si>
    <t xml:space="preserve">Assisted build (ANSR)</t>
  </si>
  <si>
    <t xml:space="preserve">Thiruvananthapuram (2025), Hyderabad (2025), Pune</t>
  </si>
  <si>
    <r>
      <rPr>
        <b val="true"/>
        <sz val="9"/>
        <color rgb="FF1F3864"/>
        <rFont val="Arial"/>
        <family val="0"/>
        <charset val="1"/>
      </rPr>
      <t xml:space="preserve">New ANSR-built insurance-ops and technology centres (2025)
</t>
    </r>
    <r>
      <rPr>
        <b val="true"/>
        <sz val="9"/>
        <rFont val="Arial"/>
        <family val="0"/>
        <charset val="1"/>
      </rPr>
      <t xml:space="preserve">Technology: </t>
    </r>
    <r>
      <rPr>
        <sz val="9"/>
        <rFont val="Arial"/>
        <family val="0"/>
        <charset val="1"/>
      </rPr>
      <t xml:space="preserve">Hyderabad technology hub opened Oct 2025 (~100 staff) delivering technology services and digital transformation across Arch affiliates.
</t>
    </r>
    <r>
      <rPr>
        <b val="true"/>
        <sz val="9"/>
        <rFont val="Arial"/>
        <family val="0"/>
        <charset val="1"/>
      </rPr>
      <t xml:space="preserve">Finance: </t>
    </r>
    <r>
      <rPr>
        <sz val="9"/>
        <rFont val="Arial"/>
        <family val="0"/>
        <charset val="1"/>
      </rPr>
      <t xml:space="preserve">Trivandrum office (~350 staff, Oct 2025) provides finance and risk operations for Arch's insurance, reinsurance and mortgage divisions.
</t>
    </r>
    <r>
      <rPr>
        <b val="true"/>
        <sz val="9"/>
        <rFont val="Arial"/>
        <family val="0"/>
        <charset val="1"/>
      </rPr>
      <t xml:space="preserve">Insurance Operations: </t>
    </r>
    <r>
      <rPr>
        <sz val="9"/>
        <rFont val="Arial"/>
        <family val="0"/>
        <charset val="1"/>
      </rPr>
      <t xml:space="preserve">Trivandrum centre opened Oct 2025 for underwriting operations, claims processing, billing operations and risk engineering across Arch's segments.
</t>
    </r>
    <r>
      <rPr>
        <i val="true"/>
        <sz val="8"/>
        <color rgb="FF7F6000"/>
        <rFont val="Arial"/>
        <family val="0"/>
        <charset val="1"/>
      </rPr>
      <t xml:space="preserve">Note: Pune headcount not disclosed</t>
    </r>
  </si>
  <si>
    <r>
      <rPr>
        <b val="true"/>
        <sz val="8"/>
        <rFont val="Arial"/>
        <family val="0"/>
        <charset val="1"/>
      </rPr>
      <t xml:space="preserve">Technology:
</t>
    </r>
    <r>
      <rPr>
        <u val="single"/>
        <sz val="8"/>
        <color rgb="FF0563C1"/>
        <rFont val="Arial"/>
        <family val="0"/>
        <charset val="1"/>
      </rPr>
      <t xml:space="preserve">https://www.businesswire.com/news/home/20251027224074/en/Arch-Global-Services-India-Opens-Technology-Hub-in-Hyderabad-to-Accelerate-Innovation
https://www.reinsurancene.ws/arch-global-services-india-opens-technology-hub-in-hyderabad/
</t>
    </r>
    <r>
      <rPr>
        <b val="true"/>
        <sz val="8"/>
        <rFont val="Arial"/>
        <family val="0"/>
        <charset val="1"/>
      </rPr>
      <t xml:space="preserve">Finance:
</t>
    </r>
    <r>
      <rPr>
        <u val="single"/>
        <sz val="8"/>
        <color rgb="FF0563C1"/>
        <rFont val="Arial"/>
        <family val="0"/>
        <charset val="1"/>
      </rPr>
      <t xml:space="preserve">https://www.archgroup.com/arch-global-services-india-opens-new-office-in-trivandrum-to-drive-innovation/
</t>
    </r>
    <r>
      <rPr>
        <b val="true"/>
        <sz val="8"/>
        <rFont val="Arial"/>
        <family val="0"/>
        <charset val="1"/>
      </rPr>
      <t xml:space="preserve">Insurance Operations:
</t>
    </r>
    <r>
      <rPr>
        <u val="single"/>
        <sz val="8"/>
        <color rgb="FF0563C1"/>
        <rFont val="Arial"/>
        <family val="0"/>
        <charset val="1"/>
      </rPr>
      <t xml:space="preserve">https://www.businesswire.com/news/home/20251029203215/en/arch-global-services-india-opens-new-office-in-trivandrum-to-drive-innovation/
https://www.archgroup.com/arch-capital-group-opens-global-capabilities-centers-in-india/</t>
    </r>
  </si>
  <si>
    <r>
      <rPr>
        <b val="true"/>
        <sz val="10"/>
        <rFont val="Arial"/>
        <family val="0"/>
        <charset val="1"/>
      </rPr>
      <t xml:space="preserve">AXA
</t>
    </r>
    <r>
      <rPr>
        <sz val="8"/>
        <color rgb="FF595959"/>
        <rFont val="Arial"/>
        <family val="0"/>
        <charset val="1"/>
      </rPr>
      <t xml:space="preserve">AXA Global Business Services Private Limited (AXA GBS)</t>
    </r>
  </si>
  <si>
    <t xml:space="preserve">~4,000</t>
  </si>
  <si>
    <t xml:space="preserve">Multi-line insurance</t>
  </si>
  <si>
    <t xml:space="preserve">Bengaluru, Pune (2024)</t>
  </si>
  <si>
    <r>
      <rPr>
        <b val="true"/>
        <sz val="9"/>
        <color rgb="FF1F3864"/>
        <rFont val="Arial"/>
        <family val="0"/>
        <charset val="1"/>
      </rPr>
      <t xml:space="preserve">BPS-to-technology transformation GBS centre
</t>
    </r>
    <r>
      <rPr>
        <b val="true"/>
        <sz val="9"/>
        <rFont val="Arial"/>
        <family val="0"/>
        <charset val="1"/>
      </rPr>
      <t xml:space="preserve">Technology: </t>
    </r>
    <r>
      <rPr>
        <sz val="9"/>
        <rFont val="Arial"/>
        <family val="0"/>
        <charset val="1"/>
      </rPr>
      <t xml:space="preserve">Shift to output-based model built on technology, automation and AI (Feb 2025): application development, data analytics, AI; 160k sq ft Pune expansion Oct 2024.
</t>
    </r>
    <r>
      <rPr>
        <b val="true"/>
        <sz val="9"/>
        <rFont val="Arial"/>
        <family val="0"/>
        <charset val="1"/>
      </rPr>
      <t xml:space="preserve">Insurance Operations: </t>
    </r>
    <r>
      <rPr>
        <sz val="9"/>
        <rFont val="Arial"/>
        <family val="0"/>
        <charset val="1"/>
      </rPr>
      <t xml:space="preserve">Centres of Excellence deliver insurance operations for 35+ AXA entities in 14 countries, moving from BPS to output-based services (Feb 2025).</t>
    </r>
  </si>
  <si>
    <r>
      <rPr>
        <b val="true"/>
        <sz val="8"/>
        <rFont val="Arial"/>
        <family val="0"/>
        <charset val="1"/>
      </rPr>
      <t xml:space="preserve">Technology:
</t>
    </r>
    <r>
      <rPr>
        <u val="single"/>
        <sz val="8"/>
        <color rgb="FF0563C1"/>
        <rFont val="Arial"/>
        <family val="0"/>
        <charset val="1"/>
      </rPr>
      <t xml:space="preserve">https://www.business-standard.com/content/press-releases-ani/axa-global-business-services-embarks-on-a-new-era-of-transformation-as-it-celebrates-30-years-in-india-125021300860_1.html
https://www.prnewswire.com/in/news-releases/axa-unveils-state-of-the-art-office-space-in-pune-expands-its-global-business-services-center-302271407.html
</t>
    </r>
    <r>
      <rPr>
        <b val="true"/>
        <sz val="8"/>
        <rFont val="Arial"/>
        <family val="0"/>
        <charset val="1"/>
      </rPr>
      <t xml:space="preserve">Insurance Operations:
</t>
    </r>
    <r>
      <rPr>
        <u val="single"/>
        <sz val="8"/>
        <color rgb="FF0563C1"/>
        <rFont val="Arial"/>
        <family val="0"/>
        <charset val="1"/>
      </rPr>
      <t xml:space="preserve">https://www.tribuneindia.com/news/business/axa-global-business-services-embarks-on-a-new-era-of-transformation-as-it-celebrates-30-years-in-india/</t>
    </r>
  </si>
  <si>
    <r>
      <rPr>
        <b val="true"/>
        <sz val="10"/>
        <rFont val="Arial"/>
        <family val="0"/>
        <charset val="1"/>
      </rPr>
      <t xml:space="preserve">Bupa
</t>
    </r>
    <r>
      <rPr>
        <sz val="8"/>
        <color rgb="FF595959"/>
        <rFont val="Arial"/>
        <family val="0"/>
        <charset val="1"/>
      </rPr>
      <t xml:space="preserve">Bupa Capability Centre Private Limited (BCC India)</t>
    </r>
  </si>
  <si>
    <t xml:space="preserve">Health insurance / health services</t>
  </si>
  <si>
    <t xml:space="preserve">Gurugram (2025)</t>
  </si>
  <si>
    <r>
      <rPr>
        <b val="true"/>
        <sz val="9"/>
        <color rgb="FF1F3864"/>
        <rFont val="Arial"/>
        <family val="0"/>
        <charset val="1"/>
      </rPr>
      <t xml:space="preserve">New digital-engineering GCC (Gurugram, 2025)
</t>
    </r>
    <r>
      <rPr>
        <b val="true"/>
        <sz val="9"/>
        <rFont val="Arial"/>
        <family val="0"/>
        <charset val="1"/>
      </rPr>
      <t xml:space="preserve">Technology: </t>
    </r>
    <r>
      <rPr>
        <sz val="9"/>
        <rFont val="Arial"/>
        <family val="0"/>
        <charset val="1"/>
      </rPr>
      <t xml:space="preserve">Gurugram GCC incorporated May 2025 as a technology hub: engineering, product, data, AI/ML and cloud for UK, India and APAC; senior engineering hiring.
</t>
    </r>
    <r>
      <rPr>
        <b val="true"/>
        <sz val="9"/>
        <rFont val="Arial"/>
        <family val="0"/>
        <charset val="1"/>
      </rPr>
      <t xml:space="preserve">Finance: </t>
    </r>
    <r>
      <rPr>
        <sz val="9"/>
        <rFont val="Arial"/>
        <family val="0"/>
        <charset val="1"/>
      </rPr>
      <t xml:space="preserve">Group accounting being built in Gurugram: finance specialists hired for IFRS/local GAAP period-end close and Group reporting packages (2025-26).
</t>
    </r>
    <r>
      <rPr>
        <b val="true"/>
        <sz val="9"/>
        <rFont val="Arial"/>
        <family val="0"/>
        <charset val="1"/>
      </rPr>
      <t xml:space="preserve">Insurance Operations: </t>
    </r>
    <r>
      <rPr>
        <sz val="9"/>
        <rFont val="Arial"/>
        <family val="0"/>
        <charset val="1"/>
      </rPr>
      <t xml:space="preserve">Operations and global service-delivery teams in Gurugram support Bupa colleagues and customers across UK, India and APAC (2025-26).
</t>
    </r>
    <r>
      <rPr>
        <i val="true"/>
        <sz val="8"/>
        <color rgb="FF7F6000"/>
        <rFont val="Arial"/>
        <family val="0"/>
        <charset val="1"/>
      </rPr>
      <t xml:space="preserve">Note: Centre incorporated May 2025; headcount not published</t>
    </r>
  </si>
  <si>
    <r>
      <rPr>
        <b val="true"/>
        <sz val="8"/>
        <rFont val="Arial"/>
        <family val="0"/>
        <charset val="1"/>
      </rPr>
      <t xml:space="preserve">Technology:
</t>
    </r>
    <r>
      <rPr>
        <u val="single"/>
        <sz val="8"/>
        <color rgb="FF0563C1"/>
        <rFont val="Arial"/>
        <family val="0"/>
        <charset val="1"/>
      </rPr>
      <t xml:space="preserve">https://careers.bupa.co.uk/bupa-capability-centre-india
https://careers.bupa.co.uk/bupa-capability-centre
</t>
    </r>
    <r>
      <rPr>
        <b val="true"/>
        <sz val="8"/>
        <rFont val="Arial"/>
        <family val="0"/>
        <charset val="1"/>
      </rPr>
      <t xml:space="preserve">Finance:
</t>
    </r>
    <r>
      <rPr>
        <u val="single"/>
        <sz val="8"/>
        <color rgb="FF0563C1"/>
        <rFont val="Arial"/>
        <family val="0"/>
        <charset val="1"/>
      </rPr>
      <t xml:space="preserve">https://careers.bupa.co.uk/search-jobs/bupa-capability-centre-india/gurugram/finance-specialist-2/R1225113
</t>
    </r>
    <r>
      <rPr>
        <b val="true"/>
        <sz val="8"/>
        <rFont val="Arial"/>
        <family val="0"/>
        <charset val="1"/>
      </rPr>
      <t xml:space="preserve">Insurance Operations:
</t>
    </r>
    <r>
      <rPr>
        <u val="single"/>
        <sz val="8"/>
        <color rgb="FF0563C1"/>
        <rFont val="Arial"/>
        <family val="0"/>
        <charset val="1"/>
      </rPr>
      <t xml:space="preserve">https://careers.bupa.co.uk/bupa-capability-centre-india</t>
    </r>
  </si>
  <si>
    <r>
      <rPr>
        <b val="true"/>
        <sz val="10"/>
        <rFont val="Arial"/>
        <family val="0"/>
        <charset val="1"/>
      </rPr>
      <t xml:space="preserve">The Cigna Group (Evernorth)
</t>
    </r>
    <r>
      <rPr>
        <sz val="8"/>
        <color rgb="FF595959"/>
        <rFont val="Arial"/>
        <family val="0"/>
        <charset val="1"/>
      </rPr>
      <t xml:space="preserve">Evernorth Health Services India (Hyderabad); Cigna Health Solutions India Pvt Ltd (Bengaluru)</t>
    </r>
  </si>
  <si>
    <t xml:space="preserve">Not disclosed (1,000+ initial plan)</t>
  </si>
  <si>
    <t xml:space="preserve">Hyderabad (2024), Bengaluru</t>
  </si>
  <si>
    <r>
      <rPr>
        <b val="true"/>
        <sz val="9"/>
        <color rgb="FF1F3864"/>
        <rFont val="Arial"/>
        <family val="0"/>
        <charset val="1"/>
      </rPr>
      <t xml:space="preserve">Health-services innovation hub (Hyderabad, 2024)
</t>
    </r>
    <r>
      <rPr>
        <b val="true"/>
        <sz val="9"/>
        <rFont val="Arial"/>
        <family val="0"/>
        <charset val="1"/>
      </rPr>
      <t xml:space="preserve">Technology: </t>
    </r>
    <r>
      <rPr>
        <sz val="9"/>
        <rFont val="Arial"/>
        <family val="0"/>
        <charset val="1"/>
      </rPr>
      <t xml:space="preserve">Hyderabad hub opened Nov 2024 as largest innovation hub outside the US; recruiting data analytics, AI/ML, cybersecurity, DevOps and software engineering.
</t>
    </r>
    <r>
      <rPr>
        <b val="true"/>
        <sz val="9"/>
        <rFont val="Arial"/>
        <family val="0"/>
        <charset val="1"/>
      </rPr>
      <t xml:space="preserve">Finance: </t>
    </r>
    <r>
      <rPr>
        <sz val="9"/>
        <rFont val="Arial"/>
        <family val="0"/>
        <charset val="1"/>
      </rPr>
      <t xml:space="preserve">FP&amp;A and accounting footprint at the hub: financial-analysis, finance data-ops and accounting advisor roles hired in Hyderabad (2025-26).
</t>
    </r>
    <r>
      <rPr>
        <b val="true"/>
        <sz val="9"/>
        <rFont val="Arial"/>
        <family val="0"/>
        <charset val="1"/>
      </rPr>
      <t xml:space="preserve">Insurance Operations: </t>
    </r>
    <r>
      <rPr>
        <sz val="9"/>
        <rFont val="Arial"/>
        <family val="0"/>
        <charset val="1"/>
      </rPr>
      <t xml:space="preserve">Hyderabad GCC supports pharmacy benefits management, care and benefits operations alongside technology since Nov 2024.
</t>
    </r>
    <r>
      <rPr>
        <i val="true"/>
        <sz val="8"/>
        <color rgb="FF7F6000"/>
        <rFont val="Arial"/>
        <family val="0"/>
        <charset val="1"/>
      </rPr>
      <t xml:space="preserve">Note: Third-party estimates ~1,500-1,700; 5,000 by 2027 target unconfirmed</t>
    </r>
  </si>
  <si>
    <r>
      <rPr>
        <b val="true"/>
        <sz val="8"/>
        <rFont val="Arial"/>
        <family val="0"/>
        <charset val="1"/>
      </rPr>
      <t xml:space="preserve">Technology:
</t>
    </r>
    <r>
      <rPr>
        <u val="single"/>
        <sz val="8"/>
        <color rgb="FF0563C1"/>
        <rFont val="Arial"/>
        <family val="0"/>
        <charset val="1"/>
      </rPr>
      <t xml:space="preserve">https://www.projectstoday.com/News/Evernorth-Health-Services-expands-presence-in-Hyderabad-GCC-inaugurated
https://www.hrkatha.com/features/how-evernorth-is-building-a-workforce-for-the-future-at-its-hyderabad-gcc/
</t>
    </r>
    <r>
      <rPr>
        <b val="true"/>
        <sz val="8"/>
        <rFont val="Arial"/>
        <family val="0"/>
        <charset val="1"/>
      </rPr>
      <t xml:space="preserve">Finance:
</t>
    </r>
    <r>
      <rPr>
        <u val="single"/>
        <sz val="8"/>
        <color rgb="FF0563C1"/>
        <rFont val="Arial"/>
        <family val="0"/>
        <charset val="1"/>
      </rPr>
      <t xml:space="preserve">https://www.talentmate.com/jobs/india/greater-hyderabad-area/hih-financial-analysis-lead-analyst/2607-2340-174
</t>
    </r>
    <r>
      <rPr>
        <b val="true"/>
        <sz val="8"/>
        <rFont val="Arial"/>
        <family val="0"/>
        <charset val="1"/>
      </rPr>
      <t xml:space="preserve">Insurance Operations:
</t>
    </r>
    <r>
      <rPr>
        <u val="single"/>
        <sz val="8"/>
        <color rgb="FF0563C1"/>
        <rFont val="Arial"/>
        <family val="0"/>
        <charset val="1"/>
      </rPr>
      <t xml:space="preserve">https://www.digitalhealthnews.com/cigna-s-evernorth-launches-first-global-innovation-hub-in-hyderabad</t>
    </r>
  </si>
  <si>
    <t xml:space="preserve">Dai-ichi Life</t>
  </si>
  <si>
    <t xml:space="preserve">~50-60 (target ~600 by 2027)</t>
  </si>
  <si>
    <t xml:space="preserve">Life insurance</t>
  </si>
  <si>
    <t xml:space="preserve">BOT (Capgemini)</t>
  </si>
  <si>
    <t xml:space="preserve">Hyderabad (2025)</t>
  </si>
  <si>
    <r>
      <rPr>
        <b val="true"/>
        <sz val="9"/>
        <color rgb="FF1F3864"/>
        <rFont val="Arial"/>
        <family val="0"/>
        <charset val="1"/>
      </rPr>
      <t xml:space="preserve">Capgemini BOT technology GCC (Hyderabad, 2025)
</t>
    </r>
    <r>
      <rPr>
        <b val="true"/>
        <sz val="9"/>
        <rFont val="Arial"/>
        <family val="0"/>
        <charset val="1"/>
      </rPr>
      <t xml:space="preserve">Technology: </t>
    </r>
    <r>
      <rPr>
        <sz val="9"/>
        <rFont val="Arial"/>
        <family val="0"/>
        <charset val="1"/>
      </rPr>
      <t xml:space="preserve">Build-operate-transfer GCC with Capgemini (Jun 2025) for software development, infrastructure modernisation, AI and data, cybersecurity serving Japan, US, Australia.
</t>
    </r>
    <r>
      <rPr>
        <i val="true"/>
        <sz val="8"/>
        <color rgb="FF7F6000"/>
        <rFont val="Arial"/>
        <family val="0"/>
        <charset val="1"/>
      </rPr>
      <t xml:space="preserve">Note: Operated by Capgemini under BOT; 600 target is single-source</t>
    </r>
  </si>
  <si>
    <r>
      <rPr>
        <b val="true"/>
        <sz val="8"/>
        <rFont val="Arial"/>
        <family val="0"/>
        <charset val="1"/>
      </rPr>
      <t xml:space="preserve">Technology:
</t>
    </r>
    <r>
      <rPr>
        <u val="single"/>
        <sz val="8"/>
        <color rgb="FF0563C1"/>
        <rFont val="Arial"/>
        <family val="0"/>
        <charset val="1"/>
      </rPr>
      <t xml:space="preserve">https://www.capgemini.com/news/press-releases/dai-ichi-life-group-and-capgemini-sign-multi-year-agreement-to-establish-a-global-capability-center-in-india-to-drive-international-digital-transformation/
https://www.insurancebusinessmag.com/asia/news/technology/daiichi-life-sets-up-global-tech-hub-in-india-538626.aspx</t>
    </r>
  </si>
  <si>
    <t xml:space="preserve">FM (Factory Mutual)</t>
  </si>
  <si>
    <t xml:space="preserve">Commercial property insurance &amp; risk engineering</t>
  </si>
  <si>
    <t xml:space="preserve">Bengaluru (2025), Mumbai (2026)</t>
  </si>
  <si>
    <r>
      <rPr>
        <b val="true"/>
        <sz val="9"/>
        <color rgb="FF1F3864"/>
        <rFont val="Arial"/>
        <family val="0"/>
        <charset val="1"/>
      </rPr>
      <t xml:space="preserve">Science, AI and risk-engineering centre (Bengaluru, 2025)
</t>
    </r>
    <r>
      <rPr>
        <b val="true"/>
        <sz val="9"/>
        <rFont val="Arial"/>
        <family val="0"/>
        <charset val="1"/>
      </rPr>
      <t xml:space="preserve">Technology: </t>
    </r>
    <r>
      <rPr>
        <sz val="9"/>
        <rFont val="Arial"/>
        <family val="0"/>
        <charset val="1"/>
      </rPr>
      <t xml:space="preserve">Bengaluru centre of excellence (announced Jul 2025, open by Jan 2026) expands AI, scientific research, analytics and engineering; 2.2 lakh sq ft lease Aug 2026.
</t>
    </r>
    <r>
      <rPr>
        <b val="true"/>
        <sz val="9"/>
        <rFont val="Arial"/>
        <family val="0"/>
        <charset val="1"/>
      </rPr>
      <t xml:space="preserve">Insurance Operations: </t>
    </r>
    <r>
      <rPr>
        <sz val="9"/>
        <rFont val="Arial"/>
        <family val="0"/>
        <charset val="1"/>
      </rPr>
      <t xml:space="preserve">Bengaluru centre delivers client risk-engineering and loss-prevention services; Mumbai reinsurance sales office and SVP FM India appointed Jan 2026.
</t>
    </r>
    <r>
      <rPr>
        <i val="true"/>
        <sz val="8"/>
        <color rgb="FF7F6000"/>
        <rFont val="Arial"/>
        <family val="0"/>
        <charset val="1"/>
      </rPr>
      <t xml:space="preserve">Note: ~2.2 lakh sq ft lease signed Aug 2026 for expansion</t>
    </r>
  </si>
  <si>
    <r>
      <rPr>
        <b val="true"/>
        <sz val="8"/>
        <rFont val="Arial"/>
        <family val="0"/>
        <charset val="1"/>
      </rPr>
      <t xml:space="preserve">Technology:
</t>
    </r>
    <r>
      <rPr>
        <u val="single"/>
        <sz val="8"/>
        <color rgb="FF0563C1"/>
        <rFont val="Arial"/>
        <family val="0"/>
        <charset val="1"/>
      </rPr>
      <t xml:space="preserve">https://www.fm.com/newsroom/news/2025/fm-expands-footprint-in-india-with-new-innovative-centre-in-bengaluru
https://economictimes.indiatimes.com/industry/services/property-/-cstruction/fm-leases-220000-sq-ft-office-space-at-bhartiya-centre-in-bengaluru/articleshow/133145325.cms
</t>
    </r>
    <r>
      <rPr>
        <b val="true"/>
        <sz val="8"/>
        <rFont val="Arial"/>
        <family val="0"/>
        <charset val="1"/>
      </rPr>
      <t xml:space="preserve">Insurance Operations:
</t>
    </r>
    <r>
      <rPr>
        <u val="single"/>
        <sz val="8"/>
        <color rgb="FF0563C1"/>
        <rFont val="Arial"/>
        <family val="0"/>
        <charset val="1"/>
      </rPr>
      <t xml:space="preserve">https://www.fm.com/newsroom/news/2026/fm-strengthens-india-commitment-with-opening-of-mumbai-office
https://www.fm.com/newsroom/news/2025/fm-expands-footprint-in-india-with-new-innovative-centre-in-bengaluru</t>
    </r>
  </si>
  <si>
    <r>
      <rPr>
        <b val="true"/>
        <sz val="10"/>
        <rFont val="Arial"/>
        <family val="0"/>
        <charset val="1"/>
      </rPr>
      <t xml:space="preserve">First American
</t>
    </r>
    <r>
      <rPr>
        <sz val="8"/>
        <color rgb="FF595959"/>
        <rFont val="Arial"/>
        <family val="0"/>
        <charset val="1"/>
      </rPr>
      <t xml:space="preserve">First American (India) Private Limited</t>
    </r>
  </si>
  <si>
    <t xml:space="preserve">~5,040 (GPTW)</t>
  </si>
  <si>
    <t xml:space="preserve">Title insurance</t>
  </si>
  <si>
    <t xml:space="preserve">Bengaluru, Hyderabad, Salem</t>
  </si>
  <si>
    <r>
      <rPr>
        <b val="true"/>
        <sz val="9"/>
        <color rgb="FF1F3864"/>
        <rFont val="Arial"/>
        <family val="0"/>
        <charset val="1"/>
      </rPr>
      <t xml:space="preserve">Title-insurance operations and technology captive
</t>
    </r>
    <r>
      <rPr>
        <b val="true"/>
        <sz val="9"/>
        <rFont val="Arial"/>
        <family val="0"/>
        <charset val="1"/>
      </rPr>
      <t xml:space="preserve">Technology: </t>
    </r>
    <r>
      <rPr>
        <sz val="9"/>
        <rFont val="Arial"/>
        <family val="0"/>
        <charset val="1"/>
      </rPr>
      <t xml:space="preserve">CTO India appointed Jul 2026 to lead engineering, product, cloud and AI; software development, IT infrastructure and data &amp; analytics delivered from three cities.
</t>
    </r>
    <r>
      <rPr>
        <b val="true"/>
        <sz val="9"/>
        <rFont val="Arial"/>
        <family val="0"/>
        <charset val="1"/>
      </rPr>
      <t xml:space="preserve">Insurance Operations: </t>
    </r>
    <r>
      <rPr>
        <sz val="9"/>
        <rFont val="Arial"/>
        <family val="0"/>
        <charset val="1"/>
      </rPr>
      <t xml:space="preserve">~5,000-strong back-office and knowledge-processing operations supporting global title-insurance and mortgage processes (2025-26).</t>
    </r>
  </si>
  <si>
    <r>
      <rPr>
        <b val="true"/>
        <sz val="8"/>
        <rFont val="Arial"/>
        <family val="0"/>
        <charset val="1"/>
      </rPr>
      <t xml:space="preserve">Technology:
</t>
    </r>
    <r>
      <rPr>
        <u val="single"/>
        <sz val="8"/>
        <color rgb="FF0563C1"/>
        <rFont val="Arial"/>
        <family val="0"/>
        <charset val="1"/>
      </rPr>
      <t xml:space="preserve">https://gcc.economictimes.indiatimes.com/news/people-culture/first-american-india-appoints-gautam-mukherjee-as-chief-technology-officer/132679022
https://www.cxodigitalpulse.com/first-american-india-appoints-gautam-mukherjee-as-chief-technology-officer/
</t>
    </r>
    <r>
      <rPr>
        <b val="true"/>
        <sz val="8"/>
        <rFont val="Arial"/>
        <family val="0"/>
        <charset val="1"/>
      </rPr>
      <t xml:space="preserve">Insurance Operations:
</t>
    </r>
    <r>
      <rPr>
        <u val="single"/>
        <sz val="8"/>
        <color rgb="FF0563C1"/>
        <rFont val="Arial"/>
        <family val="0"/>
        <charset val="1"/>
      </rPr>
      <t xml:space="preserve">https://www.firstam.co.in/
https://www.greatplacetowork.in/great/company/first-american-india-pvt-ltd</t>
    </r>
  </si>
  <si>
    <r>
      <rPr>
        <b val="true"/>
        <sz val="10"/>
        <rFont val="Arial"/>
        <family val="0"/>
        <charset val="1"/>
      </rPr>
      <t xml:space="preserve">Gallagher
</t>
    </r>
    <r>
      <rPr>
        <sz val="8"/>
        <color rgb="FF595959"/>
        <rFont val="Arial"/>
        <family val="0"/>
        <charset val="1"/>
      </rPr>
      <t xml:space="preserve">Gallagher Centre of Excellence LLP (formerly Gallagher Service Center LLP)</t>
    </r>
  </si>
  <si>
    <t xml:space="preserve">~11,500 (GPTW 2026); company site 10,000</t>
  </si>
  <si>
    <t xml:space="preserve">Insurance broking &amp; risk management</t>
  </si>
  <si>
    <t xml:space="preserve">Pune, Bengaluru, Mumbai, Kolhapur, Shimoga, Chandigarh, Kochi, Gurugram</t>
  </si>
  <si>
    <r>
      <rPr>
        <b val="true"/>
        <sz val="9"/>
        <color rgb="FF1F3864"/>
        <rFont val="Arial"/>
        <family val="0"/>
        <charset val="1"/>
      </rPr>
      <t xml:space="preserve">Large broking-operations and F&amp;A centre
</t>
    </r>
    <r>
      <rPr>
        <b val="true"/>
        <sz val="9"/>
        <rFont val="Arial"/>
        <family val="0"/>
        <charset val="1"/>
      </rPr>
      <t xml:space="preserve">Technology: </t>
    </r>
    <r>
      <rPr>
        <sz val="9"/>
        <rFont val="Arial"/>
        <family val="0"/>
        <charset val="1"/>
      </rPr>
      <t xml:space="preserve">GCoE India teams across seven cities deliver technology and analytics services alongside operations and back office (2025-26).
</t>
    </r>
    <r>
      <rPr>
        <b val="true"/>
        <sz val="9"/>
        <rFont val="Arial"/>
        <family val="0"/>
        <charset val="1"/>
      </rPr>
      <t xml:space="preserve">Finance: </t>
    </r>
    <r>
      <rPr>
        <sz val="9"/>
        <rFont val="Arial"/>
        <family val="0"/>
        <charset val="1"/>
      </rPr>
      <t xml:space="preserve">Finance and accounting is a core GCoE service line delivered to Gallagher divisions globally from ~10,000 professionals in India (2026).
</t>
    </r>
    <r>
      <rPr>
        <b val="true"/>
        <sz val="9"/>
        <rFont val="Arial"/>
        <family val="0"/>
        <charset val="1"/>
      </rPr>
      <t xml:space="preserve">Insurance Operations: </t>
    </r>
    <r>
      <rPr>
        <sz val="9"/>
        <rFont val="Arial"/>
        <family val="0"/>
        <charset val="1"/>
      </rPr>
      <t xml:space="preserve">Underwriting, brokerage and claims support plus market research and analytics for broking and risk-management divisions; senior TA hire Sep 2025 for growth.
</t>
    </r>
    <r>
      <rPr>
        <i val="true"/>
        <sz val="8"/>
        <color rgb="FF7F6000"/>
        <rFont val="Arial"/>
        <family val="0"/>
        <charset val="1"/>
      </rPr>
      <t xml:space="preserve">Note: Gurugram space newly leased, not yet confirmed operational</t>
    </r>
  </si>
  <si>
    <r>
      <rPr>
        <b val="true"/>
        <sz val="8"/>
        <rFont val="Arial"/>
        <family val="0"/>
        <charset val="1"/>
      </rPr>
      <t xml:space="preserve">Technology:
</t>
    </r>
    <r>
      <rPr>
        <u val="single"/>
        <sz val="8"/>
        <color rgb="FF0563C1"/>
        <rFont val="Arial"/>
        <family val="0"/>
        <charset val="1"/>
      </rPr>
      <t xml:space="preserve">https://ajg.jibeapply.com/gcoe-home
</t>
    </r>
    <r>
      <rPr>
        <b val="true"/>
        <sz val="8"/>
        <rFont val="Arial"/>
        <family val="0"/>
        <charset val="1"/>
      </rPr>
      <t xml:space="preserve">Finance:
</t>
    </r>
    <r>
      <rPr>
        <u val="single"/>
        <sz val="8"/>
        <color rgb="FF0563C1"/>
        <rFont val="Arial"/>
        <family val="0"/>
        <charset val="1"/>
      </rPr>
      <t xml:space="preserve">https://www.ajg.com/in/about-us/gallagher-center-of-excellence/
</t>
    </r>
    <r>
      <rPr>
        <b val="true"/>
        <sz val="8"/>
        <rFont val="Arial"/>
        <family val="0"/>
        <charset val="1"/>
      </rPr>
      <t xml:space="preserve">Insurance Operations:
</t>
    </r>
    <r>
      <rPr>
        <u val="single"/>
        <sz val="8"/>
        <color rgb="FF0563C1"/>
        <rFont val="Arial"/>
        <family val="0"/>
        <charset val="1"/>
      </rPr>
      <t xml:space="preserve">https://www.ajg.com/in/about-us/gallagher-center-of-excellence/
https://hrtoday.in/meenu-agrawal-joins-gallagher-center-of-excellence-as-group-vice-president-talent-acquisition/</t>
    </r>
  </si>
  <si>
    <r>
      <rPr>
        <b val="true"/>
        <sz val="10"/>
        <rFont val="Arial"/>
        <family val="0"/>
        <charset val="1"/>
      </rPr>
      <t xml:space="preserve">Hannover Re
</t>
    </r>
    <r>
      <rPr>
        <sz val="8"/>
        <color rgb="FF595959"/>
        <rFont val="Arial"/>
        <family val="0"/>
        <charset val="1"/>
      </rPr>
      <t xml:space="preserve">Hannover Rueck SE - India Branch; Hannover Re Consulting Services India Pvt Ltd</t>
    </r>
  </si>
  <si>
    <t xml:space="preserve">~30+</t>
  </si>
  <si>
    <t xml:space="preserve">Reinsurance (IRDAI branch)</t>
  </si>
  <si>
    <t xml:space="preserve">Regulated branch (IRDAI)</t>
  </si>
  <si>
    <r>
      <rPr>
        <b val="true"/>
        <sz val="9"/>
        <color rgb="FF1F3864"/>
        <rFont val="Arial"/>
        <family val="0"/>
        <charset val="1"/>
      </rPr>
      <t xml:space="preserve">Reinsurance underwriting branch (Mumbai, IRDAI)
</t>
    </r>
    <r>
      <rPr>
        <b val="true"/>
        <sz val="9"/>
        <rFont val="Arial"/>
        <family val="0"/>
        <charset val="1"/>
      </rPr>
      <t xml:space="preserve">Finance: </t>
    </r>
    <r>
      <rPr>
        <sz val="9"/>
        <rFont val="Arial"/>
        <family val="0"/>
        <charset val="1"/>
      </rPr>
      <t xml:space="preserve">India Branch CFO appointed Jan 2026 for financial operations, governance, accounting, taxation and regulatory compliance.
</t>
    </r>
    <r>
      <rPr>
        <b val="true"/>
        <sz val="9"/>
        <rFont val="Arial"/>
        <family val="0"/>
        <charset val="1"/>
      </rPr>
      <t xml:space="preserve">Insurance Operations: </t>
    </r>
    <r>
      <rPr>
        <sz val="9"/>
        <rFont val="Arial"/>
        <family val="0"/>
        <charset val="1"/>
      </rPr>
      <t xml:space="preserve">Mumbai branch underwrites P&amp;C (incl. agriculture) and life &amp; health reinsurance with 30+ experts; hiring P&amp;C underwriters and business-acquisition head (2025-26).
</t>
    </r>
    <r>
      <rPr>
        <i val="true"/>
        <sz val="8"/>
        <color rgb="FF7F6000"/>
        <rFont val="Arial"/>
        <family val="0"/>
        <charset val="1"/>
      </rPr>
      <t xml:space="preserve">Note: Market-facing branch, not a shared-services GCC; consulting co. MCA status to confirm</t>
    </r>
  </si>
  <si>
    <r>
      <rPr>
        <b val="true"/>
        <sz val="8"/>
        <rFont val="Arial"/>
        <family val="0"/>
        <charset val="1"/>
      </rPr>
      <t xml:space="preserve">Finance:
</t>
    </r>
    <r>
      <rPr>
        <u val="single"/>
        <sz val="8"/>
        <color rgb="FF0563C1"/>
        <rFont val="Arial"/>
        <family val="0"/>
        <charset val="1"/>
      </rPr>
      <t xml:space="preserve">https://www.reinsurancene.ws/hannover-re-appoints-prateek-maheshwari-as-cfo-india-branch/
https://reinasia.com/hannover-re-appoints-prateek-maheshwari-as-cfo-for-india-branch/
</t>
    </r>
    <r>
      <rPr>
        <b val="true"/>
        <sz val="8"/>
        <rFont val="Arial"/>
        <family val="0"/>
        <charset val="1"/>
      </rPr>
      <t xml:space="preserve">Insurance Operations:
</t>
    </r>
    <r>
      <rPr>
        <u val="single"/>
        <sz val="8"/>
        <color rgb="FF0563C1"/>
        <rFont val="Arial"/>
        <family val="0"/>
        <charset val="1"/>
      </rPr>
      <t xml:space="preserve">https://www.hannover-re.com/en/local-offices/asia/india/life-and-health/
https://jobs.hannover-re.com/job/Mumbai-Associate-Underwriter-P&amp;C-Base-MH-400-099/1165499555</t>
    </r>
  </si>
  <si>
    <r>
      <rPr>
        <b val="true"/>
        <sz val="10"/>
        <rFont val="Arial"/>
        <family val="0"/>
        <charset val="1"/>
      </rPr>
      <t xml:space="preserve">Markel
</t>
    </r>
    <r>
      <rPr>
        <sz val="8"/>
        <color rgb="FF595959"/>
        <rFont val="Arial"/>
        <family val="0"/>
        <charset val="1"/>
      </rPr>
      <t xml:space="preserve">Markel Services India Private Limited</t>
    </r>
  </si>
  <si>
    <t xml:space="preserve">~20+ (2023)</t>
  </si>
  <si>
    <t xml:space="preserve">Specialty insurance &amp; reinsurance (Lloyd's India)</t>
  </si>
  <si>
    <t xml:space="preserve">Regulated branch (IRDAI, Lloyd's India service company)</t>
  </si>
  <si>
    <r>
      <rPr>
        <b val="true"/>
        <sz val="9"/>
        <color rgb="FF1F3864"/>
        <rFont val="Arial"/>
        <family val="0"/>
        <charset val="1"/>
      </rPr>
      <t xml:space="preserve">Lloyd's India underwriting and claims service company
</t>
    </r>
    <r>
      <rPr>
        <b val="true"/>
        <sz val="9"/>
        <rFont val="Arial"/>
        <family val="0"/>
        <charset val="1"/>
      </rPr>
      <t xml:space="preserve">Insurance Operations: </t>
    </r>
    <r>
      <rPr>
        <sz val="9"/>
        <rFont val="Arial"/>
        <family val="0"/>
        <charset val="1"/>
      </rPr>
      <t xml:space="preserve">Mumbai build-out 2024-26: CUO, first dedicated W&amp;I underwriter and distribution lead (Mar 2026), marine claims adjuster (Jul 2026).
</t>
    </r>
    <r>
      <rPr>
        <i val="true"/>
        <sz val="8"/>
        <color rgb="FF7F6000"/>
        <rFont val="Arial"/>
        <family val="0"/>
        <charset val="1"/>
      </rPr>
      <t xml:space="preserve">Note: Market-facing service company, not an offshore GCC; group AI CoE is outside India</t>
    </r>
  </si>
  <si>
    <r>
      <rPr>
        <b val="true"/>
        <sz val="8"/>
        <rFont val="Arial"/>
        <family val="0"/>
        <charset val="1"/>
      </rPr>
      <t xml:space="preserve">Insurance Operations:
</t>
    </r>
    <r>
      <rPr>
        <u val="single"/>
        <sz val="8"/>
        <color rgb="FF0563C1"/>
        <rFont val="Arial"/>
        <family val="0"/>
        <charset val="1"/>
      </rPr>
      <t xml:space="preserve">https://www.markel.com/international/news-and-insights/markel-launches-asia-pacific-warranty-and-indemnity-capability-in-hong-kong-and-india
https://www.markel.com/international/news-and-insights/markel-invests-in-local-claims-talent-with-dedicated-india-hire</t>
    </r>
  </si>
  <si>
    <r>
      <rPr>
        <b val="true"/>
        <sz val="10"/>
        <rFont val="Arial"/>
        <family val="0"/>
        <charset val="1"/>
      </rPr>
      <t xml:space="preserve">Marsh McLennan
</t>
    </r>
    <r>
      <rPr>
        <sz val="8"/>
        <color rgb="FF595959"/>
        <rFont val="Arial"/>
        <family val="0"/>
        <charset val="1"/>
      </rPr>
      <t xml:space="preserve">Marsh McLennan Global Services India Private Limited (MMGS)</t>
    </r>
  </si>
  <si>
    <t xml:space="preserve">~11,000 (India-wide)</t>
  </si>
  <si>
    <t xml:space="preserve">Insurance broking, risk &amp; consulting</t>
  </si>
  <si>
    <t xml:space="preserve">Mumbai, Pune, Gurugram, Bengaluru, Chennai</t>
  </si>
  <si>
    <r>
      <rPr>
        <b val="true"/>
        <sz val="9"/>
        <color rgb="FF1F3864"/>
        <rFont val="Arial"/>
        <family val="0"/>
        <charset val="1"/>
      </rPr>
      <t xml:space="preserve">Multi-city broking and consulting services GCC
</t>
    </r>
    <r>
      <rPr>
        <b val="true"/>
        <sz val="9"/>
        <rFont val="Arial"/>
        <family val="0"/>
        <charset val="1"/>
      </rPr>
      <t xml:space="preserve">Technology: </t>
    </r>
    <r>
      <rPr>
        <sz val="9"/>
        <rFont val="Arial"/>
        <family val="0"/>
        <charset val="1"/>
      </rPr>
      <t xml:space="preserve">~11,000-colleague GCC across five cities delivers technology alongside operations, consulting &amp; advisory and corporate services enterprise-wide (2026).
</t>
    </r>
    <r>
      <rPr>
        <b val="true"/>
        <sz val="9"/>
        <rFont val="Arial"/>
        <family val="0"/>
        <charset val="1"/>
      </rPr>
      <t xml:space="preserve">Insurance Operations: </t>
    </r>
    <r>
      <rPr>
        <sz val="9"/>
        <rFont val="Arial"/>
        <family val="0"/>
        <charset val="1"/>
      </rPr>
      <t xml:space="preserve">Business and client-services operations delivered from the five-city India GCC supporting Marsh McLennan's broking and consulting businesses (2026).
</t>
    </r>
    <r>
      <rPr>
        <i val="true"/>
        <sz val="8"/>
        <color rgb="FF7F6000"/>
        <rFont val="Arial"/>
        <family val="0"/>
        <charset val="1"/>
      </rPr>
      <t xml:space="preserve">Note: ~11,000 likely spans several MMC India entities; GCC CEO successor to Dinesh Deo unidentified</t>
    </r>
  </si>
  <si>
    <r>
      <rPr>
        <b val="true"/>
        <sz val="8"/>
        <rFont val="Arial"/>
        <family val="0"/>
        <charset val="1"/>
      </rPr>
      <t xml:space="preserve">Technology:
</t>
    </r>
    <r>
      <rPr>
        <u val="single"/>
        <sz val="8"/>
        <color rgb="FF0563C1"/>
        <rFont val="Arial"/>
        <family val="0"/>
        <charset val="1"/>
      </rPr>
      <t xml:space="preserve">https://careers.marshmclennan.com/global/en/india
</t>
    </r>
    <r>
      <rPr>
        <b val="true"/>
        <sz val="8"/>
        <rFont val="Arial"/>
        <family val="0"/>
        <charset val="1"/>
      </rPr>
      <t xml:space="preserve">Insurance Operations:
</t>
    </r>
    <r>
      <rPr>
        <u val="single"/>
        <sz val="8"/>
        <color rgb="FF0563C1"/>
        <rFont val="Arial"/>
        <family val="0"/>
        <charset val="1"/>
      </rPr>
      <t xml:space="preserve">https://careers.marshmclennan.com/global/en/india</t>
    </r>
  </si>
  <si>
    <r>
      <rPr>
        <b val="true"/>
        <sz val="10"/>
        <rFont val="Arial"/>
        <family val="0"/>
        <charset val="1"/>
      </rPr>
      <t xml:space="preserve">MassMutual
</t>
    </r>
    <r>
      <rPr>
        <sz val="8"/>
        <color rgb="FF595959"/>
        <rFont val="Arial"/>
        <family val="0"/>
        <charset val="1"/>
      </rPr>
      <t xml:space="preserve">MassMutual Global Business Services India LLP</t>
    </r>
  </si>
  <si>
    <t xml:space="preserve">~1,800-2,100 (GPTW)</t>
  </si>
  <si>
    <t xml:space="preserve">Life insurance &amp; retirement</t>
  </si>
  <si>
    <r>
      <rPr>
        <b val="true"/>
        <sz val="9"/>
        <color rgb="FF1F3864"/>
        <rFont val="Arial"/>
        <family val="0"/>
        <charset val="1"/>
      </rPr>
      <t xml:space="preserve">Life and retirement operations-technology captive (Hyderabad)
</t>
    </r>
    <r>
      <rPr>
        <b val="true"/>
        <sz val="9"/>
        <rFont val="Arial"/>
        <family val="0"/>
        <charset val="1"/>
      </rPr>
      <t xml:space="preserve">Technology: </t>
    </r>
    <r>
      <rPr>
        <sz val="9"/>
        <rFont val="Arial"/>
        <family val="0"/>
        <charset val="1"/>
      </rPr>
      <t xml:space="preserve">AI engineering roles (Senior Python AI Developer) hired in Hyderabad in 2026 under the GCC's digital-enablement remit.
</t>
    </r>
    <r>
      <rPr>
        <b val="true"/>
        <sz val="9"/>
        <rFont val="Arial"/>
        <family val="0"/>
        <charset val="1"/>
      </rPr>
      <t xml:space="preserve">Finance: </t>
    </r>
    <r>
      <rPr>
        <sz val="9"/>
        <rFont val="Arial"/>
        <family val="0"/>
        <charset val="1"/>
      </rPr>
      <t xml:space="preserve">Private-equity fund accounting and operations roles hired in Hyderabad (2025-26); Global Procurement scaled within the GCC.
</t>
    </r>
    <r>
      <rPr>
        <b val="true"/>
        <sz val="9"/>
        <rFont val="Arial"/>
        <family val="0"/>
        <charset val="1"/>
      </rPr>
      <t xml:space="preserve">Insurance Operations: </t>
    </r>
    <r>
      <rPr>
        <sz val="9"/>
        <rFont val="Arial"/>
        <family val="0"/>
        <charset val="1"/>
      </rPr>
      <t xml:space="preserve">Pension Risk Transfer operations, new-business underwriting and wealth-management operations analysts hired in Hyderabad (2025-26).
</t>
    </r>
    <r>
      <rPr>
        <i val="true"/>
        <sz val="8"/>
        <color rgb="FF7F6000"/>
        <rFont val="Arial"/>
        <family val="0"/>
        <charset val="1"/>
      </rPr>
      <t xml:space="preserve">Note: Evidence is job-board and profile based; no dated 2024-26 newsroom items</t>
    </r>
  </si>
  <si>
    <r>
      <rPr>
        <b val="true"/>
        <sz val="8"/>
        <rFont val="Arial"/>
        <family val="0"/>
        <charset val="1"/>
      </rPr>
      <t xml:space="preserve">Technology:
</t>
    </r>
    <r>
      <rPr>
        <u val="single"/>
        <sz val="8"/>
        <color rgb="FF0563C1"/>
        <rFont val="Arial"/>
        <family val="0"/>
        <charset val="1"/>
      </rPr>
      <t xml:space="preserve">https://builtin.com/job/corptech-im-sr-python-ai-developer/6470821
</t>
    </r>
    <r>
      <rPr>
        <b val="true"/>
        <sz val="8"/>
        <rFont val="Arial"/>
        <family val="0"/>
        <charset val="1"/>
      </rPr>
      <t xml:space="preserve">Finance:
</t>
    </r>
    <r>
      <rPr>
        <u val="single"/>
        <sz val="8"/>
        <color rgb="FF0563C1"/>
        <rFont val="Arial"/>
        <family val="0"/>
        <charset val="1"/>
      </rPr>
      <t xml:space="preserve">https://builtin.com/job/private-equity-fund-accounting-operations-assistant-manager/7869950
https://timesofindia.indiatimes.com/business/india-business/massmutual-gcc-in-hyderabad-grows-to-1700-in-3-years/articleshow/106141332.cms
</t>
    </r>
    <r>
      <rPr>
        <b val="true"/>
        <sz val="8"/>
        <rFont val="Arial"/>
        <family val="0"/>
        <charset val="1"/>
      </rPr>
      <t xml:space="preserve">Insurance Operations:
</t>
    </r>
    <r>
      <rPr>
        <u val="single"/>
        <sz val="8"/>
        <color rgb="FF0563C1"/>
        <rFont val="Arial"/>
        <family val="0"/>
        <charset val="1"/>
      </rPr>
      <t xml:space="preserve">https://builtin.com/job/senior-analyst-operations-pension-risk-transfer/7013935</t>
    </r>
  </si>
  <si>
    <r>
      <rPr>
        <b val="true"/>
        <sz val="10"/>
        <rFont val="Arial"/>
        <family val="0"/>
        <charset val="1"/>
      </rPr>
      <t xml:space="preserve">MetLife
</t>
    </r>
    <r>
      <rPr>
        <sz val="8"/>
        <color rgb="FF595959"/>
        <rFont val="Arial"/>
        <family val="0"/>
        <charset val="1"/>
      </rPr>
      <t xml:space="preserve">MetLife Global Operations Support Center Private Limited (MetLife Global Capability Center, MGCC)</t>
    </r>
  </si>
  <si>
    <t xml:space="preserve">6,500+</t>
  </si>
  <si>
    <t xml:space="preserve">Life insurance &amp; employee benefits</t>
  </si>
  <si>
    <t xml:space="preserve">Noida (expanded 2026), Jaipur, Hyderabad, Pune</t>
  </si>
  <si>
    <r>
      <rPr>
        <b val="true"/>
        <sz val="9"/>
        <color rgb="FF1F3864"/>
        <rFont val="Arial"/>
        <family val="0"/>
        <charset val="1"/>
      </rPr>
      <t xml:space="preserve">Multi-function GCC with new technology hubs (2025-26)
</t>
    </r>
    <r>
      <rPr>
        <b val="true"/>
        <sz val="9"/>
        <rFont val="Arial"/>
        <family val="0"/>
        <charset val="1"/>
      </rPr>
      <t xml:space="preserve">Technology: </t>
    </r>
    <r>
      <rPr>
        <sz val="9"/>
        <rFont val="Arial"/>
        <family val="0"/>
        <charset val="1"/>
      </rPr>
      <t xml:space="preserve">Technology hubs launched in Hyderabad and Pune (May 2025) adding technology, data and AI capabilities; Noida expansion Mar 2026 scales development and analytics.
</t>
    </r>
    <r>
      <rPr>
        <b val="true"/>
        <sz val="9"/>
        <rFont val="Arial"/>
        <family val="0"/>
        <charset val="1"/>
      </rPr>
      <t xml:space="preserve">Finance: </t>
    </r>
    <r>
      <rPr>
        <sz val="9"/>
        <rFont val="Arial"/>
        <family val="0"/>
        <charset val="1"/>
      </rPr>
      <t xml:space="preserve">FP&amp;A hiring in Hyderabad (Senior Manager); teams handle revenue management, billing consolidation, expense management and variance reporting (2025-26).
</t>
    </r>
    <r>
      <rPr>
        <b val="true"/>
        <sz val="9"/>
        <rFont val="Arial"/>
        <family val="0"/>
        <charset val="1"/>
      </rPr>
      <t xml:space="preserve">Insurance Operations: </t>
    </r>
    <r>
      <rPr>
        <sz val="9"/>
        <rFont val="Arial"/>
        <family val="0"/>
        <charset val="1"/>
      </rPr>
      <t xml:space="preserve">Actuarial Services EMEA and Asia valuation modelling plus process-excellence/operations roles hired in Hyderabad and Noida (2025-26).</t>
    </r>
  </si>
  <si>
    <r>
      <rPr>
        <b val="true"/>
        <sz val="8"/>
        <rFont val="Arial"/>
        <family val="0"/>
        <charset val="1"/>
      </rPr>
      <t xml:space="preserve">Technology:
</t>
    </r>
    <r>
      <rPr>
        <u val="single"/>
        <sz val="8"/>
        <color rgb="FF0563C1"/>
        <rFont val="Arial"/>
        <family val="0"/>
        <charset val="1"/>
      </rPr>
      <t xml:space="preserve">https://www.thehansindia.com/business/metlife-opens-new-gccs-in-hyd-pune-971831
https://yourstory.com/2026/04/tdelivery-hubs-decisions-centres-indias-gccs-reshape-global-enterprisehe-ys
</t>
    </r>
    <r>
      <rPr>
        <b val="true"/>
        <sz val="8"/>
        <rFont val="Arial"/>
        <family val="0"/>
        <charset val="1"/>
      </rPr>
      <t xml:space="preserve">Finance:
</t>
    </r>
    <r>
      <rPr>
        <u val="single"/>
        <sz val="8"/>
        <color rgb="FF0563C1"/>
        <rFont val="Arial"/>
        <family val="0"/>
        <charset val="1"/>
      </rPr>
      <t xml:space="preserve">https://builtinhyderabad.in/job/senior-manager-fp/4491047
</t>
    </r>
    <r>
      <rPr>
        <b val="true"/>
        <sz val="8"/>
        <rFont val="Arial"/>
        <family val="0"/>
        <charset val="1"/>
      </rPr>
      <t xml:space="preserve">Insurance Operations:
</t>
    </r>
    <r>
      <rPr>
        <u val="single"/>
        <sz val="8"/>
        <color rgb="FF0563C1"/>
        <rFont val="Arial"/>
        <family val="0"/>
        <charset val="1"/>
      </rPr>
      <t xml:space="preserve">https://builtinhyderabad.in/job/actuarial-services-emea/4238923</t>
    </r>
  </si>
  <si>
    <r>
      <rPr>
        <b val="true"/>
        <sz val="10"/>
        <rFont val="Arial"/>
        <family val="0"/>
        <charset val="1"/>
      </rPr>
      <t xml:space="preserve">Swiss Re
</t>
    </r>
    <r>
      <rPr>
        <sz val="8"/>
        <color rgb="FF595959"/>
        <rFont val="Arial"/>
        <family val="0"/>
        <charset val="1"/>
      </rPr>
      <t xml:space="preserve">Swiss Re Global Business Solutions India Private Limited</t>
    </r>
  </si>
  <si>
    <t xml:space="preserve">~2,500+</t>
  </si>
  <si>
    <t xml:space="preserve">Bengaluru, Hyderabad (2022)</t>
  </si>
  <si>
    <r>
      <rPr>
        <b val="true"/>
        <sz val="9"/>
        <color rgb="FF1F3864"/>
        <rFont val="Arial"/>
        <family val="0"/>
        <charset val="1"/>
      </rPr>
      <t xml:space="preserve">Groupwide data and technology capability hub
</t>
    </r>
    <r>
      <rPr>
        <b val="true"/>
        <sz val="9"/>
        <rFont val="Arial"/>
        <family val="0"/>
        <charset val="1"/>
      </rPr>
      <t xml:space="preserve">Technology: </t>
    </r>
    <r>
      <rPr>
        <sz val="9"/>
        <rFont val="Arial"/>
        <family val="0"/>
        <charset val="1"/>
      </rPr>
      <t xml:space="preserve">Global Business Solutions runs groupwide capability hubs in Bengaluru and Hyderabad, with Hyderabad positioned as the analytical and innovation hub for digital, data and technology (2026).
</t>
    </r>
    <r>
      <rPr>
        <i val="true"/>
        <sz val="8"/>
        <color rgb="FF7F6000"/>
        <rFont val="Arial"/>
        <family val="0"/>
        <charset val="1"/>
      </rPr>
      <t xml:space="preserve">Note: MD Amit Kalra left for Zurich Jul 2026; successor not announced</t>
    </r>
  </si>
  <si>
    <r>
      <rPr>
        <b val="true"/>
        <sz val="8"/>
        <rFont val="Arial"/>
        <family val="0"/>
        <charset val="1"/>
      </rPr>
      <t xml:space="preserve">Technology:
</t>
    </r>
    <r>
      <rPr>
        <u val="single"/>
        <sz val="8"/>
        <color rgb="FF0563C1"/>
        <rFont val="Arial"/>
        <family val="0"/>
        <charset val="1"/>
      </rPr>
      <t xml:space="preserve">https://www.swissre.com/profile/Amit_Kalra/ip_f2cb75</t>
    </r>
  </si>
  <si>
    <r>
      <rPr>
        <b val="true"/>
        <sz val="10"/>
        <rFont val="Arial"/>
        <family val="0"/>
        <charset val="1"/>
      </rPr>
      <t xml:space="preserve">The Standard (StanCorp)
</t>
    </r>
    <r>
      <rPr>
        <sz val="8"/>
        <color rgb="FF595959"/>
        <rFont val="Arial"/>
        <family val="0"/>
        <charset val="1"/>
      </rPr>
      <t xml:space="preserve">StanCorp Global Services India Private Limited</t>
    </r>
  </si>
  <si>
    <t xml:space="preserve">~175 (target ~400 by end-2026)</t>
  </si>
  <si>
    <t xml:space="preserve">Group benefits &amp; retirement insurance</t>
  </si>
  <si>
    <t xml:space="preserve">Captive via acquisition (Allstate)</t>
  </si>
  <si>
    <t xml:space="preserve">Bengaluru (2026), Pune</t>
  </si>
  <si>
    <r>
      <rPr>
        <b val="true"/>
        <sz val="9"/>
        <color rgb="FF1F3864"/>
        <rFont val="Arial"/>
        <family val="0"/>
        <charset val="1"/>
      </rPr>
      <t xml:space="preserve">AI engineering and benefits-operations centre (Bengaluru)
</t>
    </r>
    <r>
      <rPr>
        <b val="true"/>
        <sz val="9"/>
        <rFont val="Arial"/>
        <family val="0"/>
        <charset val="1"/>
      </rPr>
      <t xml:space="preserve">Technology: </t>
    </r>
    <r>
      <rPr>
        <sz val="9"/>
        <rFont val="Arial"/>
        <family val="0"/>
        <charset val="1"/>
      </rPr>
      <t xml:space="preserve">Permanent Bengaluru GCC inaugurated Apr 2026 for AI engineering, cloud platforms, data and analytics; in-housing vendor technology work, headcount doubling to ~400 by end-2026.
</t>
    </r>
    <r>
      <rPr>
        <b val="true"/>
        <sz val="9"/>
        <rFont val="Arial"/>
        <family val="0"/>
        <charset val="1"/>
      </rPr>
      <t xml:space="preserve">Insurance Operations: </t>
    </r>
    <r>
      <rPr>
        <sz val="9"/>
        <rFont val="Arial"/>
        <family val="0"/>
        <charset val="1"/>
      </rPr>
      <t xml:space="preserve">GCC supports group-benefits insurance operations alongside technology, seeded with 175 former Allstate India staff from the Employer Voluntary Benefits acquisition (Nov 2025).
</t>
    </r>
    <r>
      <rPr>
        <i val="true"/>
        <sz val="8"/>
        <color rgb="FF7F6000"/>
        <rFont val="Arial"/>
        <family val="0"/>
        <charset val="1"/>
      </rPr>
      <t xml:space="preserve">Note: Permanent Bengaluru office inaugurated Apr 2026; staff transferred from Allstate India</t>
    </r>
  </si>
  <si>
    <r>
      <rPr>
        <b val="true"/>
        <sz val="8"/>
        <rFont val="Arial"/>
        <family val="0"/>
        <charset val="1"/>
      </rPr>
      <t xml:space="preserve">Technology:
</t>
    </r>
    <r>
      <rPr>
        <u val="single"/>
        <sz val="8"/>
        <color rgb="FF0563C1"/>
        <rFont val="Arial"/>
        <family val="0"/>
        <charset val="1"/>
      </rPr>
      <t xml:space="preserve">https://www.peoplematters.in/news/business/the-standard-grows-india-gcc-to-400-positioning-bengaluru-at-the-centre-of-its-innovation-strategy-51594
https://www.thepeoplesboard.com/?p=17616
</t>
    </r>
    <r>
      <rPr>
        <b val="true"/>
        <sz val="8"/>
        <rFont val="Arial"/>
        <family val="0"/>
        <charset val="1"/>
      </rPr>
      <t xml:space="preserve">Insurance Operations:
</t>
    </r>
    <r>
      <rPr>
        <u val="single"/>
        <sz val="8"/>
        <color rgb="FF0563C1"/>
        <rFont val="Arial"/>
        <family val="0"/>
        <charset val="1"/>
      </rPr>
      <t xml:space="preserve">https://yourstory.com/enterprise-story/2025/11/us-financial-services-firm-the-standard-opens-new-gcc-in-india
https://www.thehindubusinessline.com/info-tech/the-standard-expands-india-gcc-targets-nearly-400-employees-by-year-end/article71370099.ece</t>
    </r>
  </si>
  <si>
    <r>
      <rPr>
        <b val="true"/>
        <sz val="10"/>
        <rFont val="Arial"/>
        <family val="0"/>
        <charset val="1"/>
      </rPr>
      <t xml:space="preserve">M&amp;G plc
</t>
    </r>
    <r>
      <rPr>
        <sz val="8"/>
        <color rgb="FF595959"/>
        <rFont val="Arial"/>
        <family val="0"/>
        <charset val="1"/>
      </rPr>
      <t xml:space="preserve">M&amp;G Global Services Private Limited</t>
    </r>
  </si>
  <si>
    <t xml:space="preserve">~1,000-2,000 (aggregator est.)</t>
  </si>
  <si>
    <t xml:space="preserve">Life insurance &amp; asset management</t>
  </si>
  <si>
    <t xml:space="preserve">Mumbai, Pune</t>
  </si>
  <si>
    <r>
      <rPr>
        <b val="true"/>
        <sz val="9"/>
        <color rgb="FF1F3864"/>
        <rFont val="Arial"/>
        <family val="0"/>
        <charset val="1"/>
      </rPr>
      <t xml:space="preserve">Finance, actuarial and internal-audit services hub (Mumbai)
</t>
    </r>
    <r>
      <rPr>
        <b val="true"/>
        <sz val="9"/>
        <rFont val="Arial"/>
        <family val="0"/>
        <charset val="1"/>
      </rPr>
      <t xml:space="preserve">Technology: </t>
    </r>
    <r>
      <rPr>
        <sz val="9"/>
        <rFont val="Arial"/>
        <family val="0"/>
        <charset val="1"/>
      </rPr>
      <t xml:space="preserve">Mumbai and Pune centre operates as M&amp;G's innovation and digital hub, applying AI, RPA, automation and analytics to group-wide transformation (2026).
</t>
    </r>
    <r>
      <rPr>
        <b val="true"/>
        <sz val="9"/>
        <rFont val="Arial"/>
        <family val="0"/>
        <charset val="1"/>
      </rPr>
      <t xml:space="preserve">Finance: </t>
    </r>
    <r>
      <rPr>
        <sz val="9"/>
        <rFont val="Arial"/>
        <family val="0"/>
        <charset val="1"/>
      </rPr>
      <t xml:space="preserve">Sustained Mumbai finance hiring in 2026: income accounting, fee and performance-fee accounting, client invoicing, revenue and expense accounting, and financial performance roles.
</t>
    </r>
    <r>
      <rPr>
        <b val="true"/>
        <sz val="9"/>
        <rFont val="Arial"/>
        <family val="0"/>
        <charset val="1"/>
      </rPr>
      <t xml:space="preserve">Insurance Operations: </t>
    </r>
    <r>
      <rPr>
        <sz val="9"/>
        <rFont val="Arial"/>
        <family val="0"/>
        <charset val="1"/>
      </rPr>
      <t xml:space="preserve">Actuarial team in Mumbai (manager, actuarial data scientist and technician roles, AMVC) alongside customer-service delivery for M&amp;G's life and asset-management businesses (2026).
</t>
    </r>
    <r>
      <rPr>
        <b val="true"/>
        <sz val="9"/>
        <rFont val="Arial"/>
        <family val="0"/>
        <charset val="1"/>
      </rPr>
      <t xml:space="preserve">Internal Audit (SOX/ICFR): </t>
    </r>
    <r>
      <rPr>
        <sz val="9"/>
        <rFont val="Arial"/>
        <family val="0"/>
        <charset val="1"/>
      </rPr>
      <t xml:space="preserve">Internal audit hiring in Mumbai 2026: senior auditors and IA operations/QA-practices managers providing independent assurance over internal control, risk and governance frameworks.
</t>
    </r>
    <r>
      <rPr>
        <i val="true"/>
        <sz val="8"/>
        <color rgb="FF7F6000"/>
        <rFont val="Arial"/>
        <family val="0"/>
        <charset val="1"/>
      </rPr>
      <t xml:space="preserve">Note: No company-published headcount; functional evidence is job-board based</t>
    </r>
  </si>
  <si>
    <r>
      <rPr>
        <b val="true"/>
        <sz val="8"/>
        <rFont val="Arial"/>
        <family val="0"/>
        <charset val="1"/>
      </rPr>
      <t xml:space="preserve">Technology:
</t>
    </r>
    <r>
      <rPr>
        <u val="single"/>
        <sz val="8"/>
        <color rgb="FF0563C1"/>
        <rFont val="Arial"/>
        <family val="0"/>
        <charset val="1"/>
      </rPr>
      <t xml:space="preserve">https://www.efinancialcareers.com/jobs-India-Mumbai-Senior_Manager_Income_Accounting.id24535075
</t>
    </r>
    <r>
      <rPr>
        <b val="true"/>
        <sz val="8"/>
        <rFont val="Arial"/>
        <family val="0"/>
        <charset val="1"/>
      </rPr>
      <t xml:space="preserve">Finance:
</t>
    </r>
    <r>
      <rPr>
        <u val="single"/>
        <sz val="8"/>
        <color rgb="FF0563C1"/>
        <rFont val="Arial"/>
        <family val="0"/>
        <charset val="1"/>
      </rPr>
      <t xml:space="preserve">https://www.efinancialcareers.com/jobs-India-Mumbai-Senior_Manager_Income_Accounting.id24535075
</t>
    </r>
    <r>
      <rPr>
        <b val="true"/>
        <sz val="8"/>
        <rFont val="Arial"/>
        <family val="0"/>
        <charset val="1"/>
      </rPr>
      <t xml:space="preserve">Insurance Operations:
</t>
    </r>
    <r>
      <rPr>
        <u val="single"/>
        <sz val="8"/>
        <color rgb="FF0563C1"/>
        <rFont val="Arial"/>
        <family val="0"/>
        <charset val="1"/>
      </rPr>
      <t xml:space="preserve">https://www.efinancialcareers.com/jobs-India-Mumbai-Manager_Actuarial.id24464288
</t>
    </r>
    <r>
      <rPr>
        <b val="true"/>
        <sz val="8"/>
        <rFont val="Arial"/>
        <family val="0"/>
        <charset val="1"/>
      </rPr>
      <t xml:space="preserve">Internal Audit:
</t>
    </r>
    <r>
      <rPr>
        <u val="single"/>
        <sz val="8"/>
        <color rgb="FF0563C1"/>
        <rFont val="Arial"/>
        <family val="0"/>
        <charset val="1"/>
      </rPr>
      <t xml:space="preserve">https://www.efinancialcareers.com/jobs-India-Mumbai-Senior_Manager_-_IA_Operations_Auditor_Ops__QA_Practices_Community.id24592434</t>
    </r>
  </si>
  <si>
    <r>
      <rPr>
        <b val="true"/>
        <sz val="10"/>
        <rFont val="Arial"/>
        <family val="0"/>
        <charset val="1"/>
      </rPr>
      <t xml:space="preserve">Chubb
</t>
    </r>
    <r>
      <rPr>
        <sz val="8"/>
        <color rgb="FF595959"/>
        <rFont val="Arial"/>
        <family val="0"/>
        <charset val="1"/>
      </rPr>
      <t xml:space="preserve">Chubb Business Services India Private Limited</t>
    </r>
  </si>
  <si>
    <t xml:space="preserve">~2,300-2,500 (+~220 Chennai)</t>
  </si>
  <si>
    <t xml:space="preserve">Hyderabad, Bengaluru, Bhubaneswar, Chennai (2026, announced)</t>
  </si>
  <si>
    <r>
      <rPr>
        <b val="true"/>
        <sz val="9"/>
        <color rgb="FF1F3864"/>
        <rFont val="Arial"/>
        <family val="0"/>
        <charset val="1"/>
      </rPr>
      <t xml:space="preserve">Largest Chubb engineering centre; Chennai GCC added
</t>
    </r>
    <r>
      <rPr>
        <b val="true"/>
        <sz val="9"/>
        <rFont val="Arial"/>
        <family val="0"/>
        <charset val="1"/>
      </rPr>
      <t xml:space="preserve">Technology: </t>
    </r>
    <r>
      <rPr>
        <sz val="9"/>
        <rFont val="Arial"/>
        <family val="0"/>
        <charset val="1"/>
      </rPr>
      <t xml:space="preserve">Largest Chubb engineering centre (Hyderabad, Bengaluru, Bhubaneswar) building AI underwriting and claims-analytics platforms; Chennai GCC MoU Jul 2026 adds ~220 analytics and engineering roles.
</t>
    </r>
    <r>
      <rPr>
        <b val="true"/>
        <sz val="9"/>
        <rFont val="Arial"/>
        <family val="0"/>
        <charset val="1"/>
      </rPr>
      <t xml:space="preserve">Insurance Operations: </t>
    </r>
    <r>
      <rPr>
        <sz val="9"/>
        <rFont val="Arial"/>
        <family val="0"/>
        <charset val="1"/>
      </rPr>
      <t xml:space="preserve">Live catastrophe-modelling and actuarial support function in Hyderabad, hiring CAT-modelling analysts through Aug 2026 to serve global underwriting.
</t>
    </r>
    <r>
      <rPr>
        <b val="true"/>
        <sz val="9"/>
        <rFont val="Arial"/>
        <family val="0"/>
        <charset val="1"/>
      </rPr>
      <t xml:space="preserve">Internal Audit (SOX/ICFR): </t>
    </r>
    <r>
      <rPr>
        <sz val="9"/>
        <rFont val="Arial"/>
        <family val="0"/>
        <charset val="1"/>
      </rPr>
      <t xml:space="preserve">Bengaluru-based Global IT SOX Compliance Leads run Chubb's technology SOX programme (ITGC/ITAC/SDLC control design, annual IT assessment) with internal and external audit (2026).
</t>
    </r>
    <r>
      <rPr>
        <i val="true"/>
        <sz val="8"/>
        <color rgb="FF7F6000"/>
        <rFont val="Arial"/>
        <family val="0"/>
        <charset val="1"/>
      </rPr>
      <t xml:space="preserve">Note: Chennai centre MoU signed Jul 2026, not yet operational</t>
    </r>
  </si>
  <si>
    <r>
      <rPr>
        <b val="true"/>
        <sz val="8"/>
        <rFont val="Arial"/>
        <family val="0"/>
        <charset val="1"/>
      </rPr>
      <t xml:space="preserve">Technology:
</t>
    </r>
    <r>
      <rPr>
        <u val="single"/>
        <sz val="8"/>
        <color rgb="FF0563C1"/>
        <rFont val="Arial"/>
        <family val="0"/>
        <charset val="1"/>
      </rPr>
      <t xml:space="preserve">https://about.chubb.com/careers/engineering-centers/india-engineering-center.html
https://ssfglobal.in/industry_action/chubb-launches-first-chennai-gcc-to-expand-global-analytics-and-engineering-capabilities/
</t>
    </r>
    <r>
      <rPr>
        <b val="true"/>
        <sz val="8"/>
        <rFont val="Arial"/>
        <family val="0"/>
        <charset val="1"/>
      </rPr>
      <t xml:space="preserve">Insurance Operations:
</t>
    </r>
    <r>
      <rPr>
        <u val="single"/>
        <sz val="8"/>
        <color rgb="FF0563C1"/>
        <rFont val="Arial"/>
        <family val="0"/>
        <charset val="1"/>
      </rPr>
      <t xml:space="preserve">https://jobs.anitab.org/companies/chubb/jobs/90305101-analyst-i-cat-modelling
https://www.businessofgcc.com/gcc-data/companies/chubb-india
</t>
    </r>
    <r>
      <rPr>
        <b val="true"/>
        <sz val="8"/>
        <rFont val="Arial"/>
        <family val="0"/>
        <charset val="1"/>
      </rPr>
      <t xml:space="preserve">Internal Audit:
</t>
    </r>
    <r>
      <rPr>
        <u val="single"/>
        <sz val="8"/>
        <color rgb="FF0563C1"/>
        <rFont val="Arial"/>
        <family val="0"/>
        <charset val="1"/>
      </rPr>
      <t xml:space="preserve">https://jobs.anitab.org/companies/chubb/jobs/90305173-global-it-sox-compliance-lead</t>
    </r>
  </si>
  <si>
    <r>
      <rPr>
        <b val="true"/>
        <sz val="10"/>
        <rFont val="Arial"/>
        <family val="0"/>
        <charset val="1"/>
      </rPr>
      <t xml:space="preserve">Guardian Life
</t>
    </r>
    <r>
      <rPr>
        <sz val="8"/>
        <color rgb="FF595959"/>
        <rFont val="Arial"/>
        <family val="0"/>
        <charset val="1"/>
      </rPr>
      <t xml:space="preserve">Guardian India Operations Private Limited</t>
    </r>
  </si>
  <si>
    <t xml:space="preserve">~2,000</t>
  </si>
  <si>
    <t xml:space="preserve">Life, group benefits &amp; retirement</t>
  </si>
  <si>
    <t xml:space="preserve">Sold to HCLTech (Jul 2026)</t>
  </si>
  <si>
    <t xml:space="preserve">Chennai, Gurugram</t>
  </si>
  <si>
    <r>
      <rPr>
        <b val="true"/>
        <sz val="9"/>
        <color rgb="FF1F3864"/>
        <rFont val="Arial"/>
        <family val="0"/>
        <charset val="1"/>
      </rPr>
      <t xml:space="preserve">Captive sold to HCLTech; AI-led modernisation unit
</t>
    </r>
    <r>
      <rPr>
        <b val="true"/>
        <sz val="9"/>
        <rFont val="Arial"/>
        <family val="0"/>
        <charset val="1"/>
      </rPr>
      <t xml:space="preserve">Technology: </t>
    </r>
    <r>
      <rPr>
        <sz val="9"/>
        <rFont val="Arial"/>
        <family val="0"/>
        <charset val="1"/>
      </rPr>
      <t xml:space="preserve">Captive sold to HCLTech Jul 2026; ~2,000 Chennai and Gurugram engineers now form a dedicated HCLTech unit delivering agentic-AI modernisation across data, applications and engineering.
</t>
    </r>
    <r>
      <rPr>
        <b val="true"/>
        <sz val="9"/>
        <rFont val="Arial"/>
        <family val="0"/>
        <charset val="1"/>
      </rPr>
      <t xml:space="preserve">Insurance Operations: </t>
    </r>
    <r>
      <rPr>
        <sz val="9"/>
        <rFont val="Arial"/>
        <family val="0"/>
        <charset val="1"/>
      </rPr>
      <t xml:space="preserve">HCLTech-run unit continues operations support for Guardian's group benefits, individual protection, retirement and wealth-management businesses under a seven-year agreement (Jul 2026).
</t>
    </r>
    <r>
      <rPr>
        <i val="true"/>
        <sz val="8"/>
        <color rgb="FF7F6000"/>
        <rFont val="Arial"/>
        <family val="0"/>
        <charset val="1"/>
      </rPr>
      <t xml:space="preserve">Note: Entity sold to HCLTech, completed 31 Jul 2026; 7-year services agreement</t>
    </r>
  </si>
  <si>
    <r>
      <rPr>
        <b val="true"/>
        <sz val="8"/>
        <rFont val="Arial"/>
        <family val="0"/>
        <charset val="1"/>
      </rPr>
      <t xml:space="preserve">Technology:
</t>
    </r>
    <r>
      <rPr>
        <u val="single"/>
        <sz val="8"/>
        <color rgb="FF0563C1"/>
        <rFont val="Arial"/>
        <family val="0"/>
        <charset val="1"/>
      </rPr>
      <t xml:space="preserve">https://www.hcltech.com/press-releases/hcltech-and-guardian-sign-new-expanded-partnership-ai-powered-modernization-across
https://www.businesstoday.in/amp/technology/story/hcltech-to-acquire-guardian-india-nearly-2000-employees-to-join-the-it-giant-543486-2026-07-16
</t>
    </r>
    <r>
      <rPr>
        <b val="true"/>
        <sz val="8"/>
        <rFont val="Arial"/>
        <family val="0"/>
        <charset val="1"/>
      </rPr>
      <t xml:space="preserve">Insurance Operations:
</t>
    </r>
    <r>
      <rPr>
        <u val="single"/>
        <sz val="8"/>
        <color rgb="FF0563C1"/>
        <rFont val="Arial"/>
        <family val="0"/>
        <charset val="1"/>
      </rPr>
      <t xml:space="preserve">https://www.hcltech.com/press-releases/hcltech-and-guardian-sign-new-expanded-partnership-ai-powered-modernization-across
https://www.outlookbusiness.com/corporate/hcltech-to-acquire-guardian-india-for-105-million-2000-employees-to-transition</t>
    </r>
  </si>
  <si>
    <r>
      <rPr>
        <b val="true"/>
        <sz val="10"/>
        <rFont val="Arial"/>
        <family val="0"/>
        <charset val="1"/>
      </rPr>
      <t xml:space="preserve">TIAA
</t>
    </r>
    <r>
      <rPr>
        <sz val="8"/>
        <color rgb="FF595959"/>
        <rFont val="Arial"/>
        <family val="0"/>
        <charset val="1"/>
      </rPr>
      <t xml:space="preserve">TIAA Global Capabilities Private Limited</t>
    </r>
  </si>
  <si>
    <t xml:space="preserve">~3,500</t>
  </si>
  <si>
    <t xml:space="preserve">Retirement &amp; annuities</t>
  </si>
  <si>
    <t xml:space="preserve">Mumbai, Pune (new campus Dec 2026)</t>
  </si>
  <si>
    <r>
      <rPr>
        <b val="true"/>
        <sz val="9"/>
        <color rgb="FF1F3864"/>
        <rFont val="Arial"/>
        <family val="0"/>
        <charset val="1"/>
      </rPr>
      <t xml:space="preserve">AI, data and retirement-operations GCC scaling in Pune
</t>
    </r>
    <r>
      <rPr>
        <b val="true"/>
        <sz val="9"/>
        <rFont val="Arial"/>
        <family val="0"/>
        <charset val="1"/>
      </rPr>
      <t xml:space="preserve">Technology: </t>
    </r>
    <r>
      <rPr>
        <sz val="9"/>
        <rFont val="Arial"/>
        <family val="0"/>
        <charset val="1"/>
      </rPr>
      <t xml:space="preserve">Pune campus (255,713 sq ft) leased Aug 2026 to consolidate AI, data and analytics teams; new head Deepak Gupta (Apr 2026) built TIAA's India AI Centre of Excellence.
</t>
    </r>
    <r>
      <rPr>
        <b val="true"/>
        <sz val="9"/>
        <rFont val="Arial"/>
        <family val="0"/>
        <charset val="1"/>
      </rPr>
      <t xml:space="preserve">Finance: </t>
    </r>
    <r>
      <rPr>
        <sz val="9"/>
        <rFont val="Arial"/>
        <family val="0"/>
        <charset val="1"/>
      </rPr>
      <t xml:space="preserve">Finance-control analysts hired in Pune and Mumbai (2026) for continual SOX testing of finance controls, gap remediation and external-auditor coordination.
</t>
    </r>
    <r>
      <rPr>
        <b val="true"/>
        <sz val="9"/>
        <rFont val="Arial"/>
        <family val="0"/>
        <charset val="1"/>
      </rPr>
      <t xml:space="preserve">Insurance Operations: </t>
    </r>
    <r>
      <rPr>
        <sz val="9"/>
        <rFont val="Arial"/>
        <family val="0"/>
        <charset val="1"/>
      </rPr>
      <t xml:space="preserve">Retirement-plan client operations in Pune: onboarding, client-assignment and client-services roles hiring 2026, with risk-management and client-experience teams earmarked for the new campus.
</t>
    </r>
    <r>
      <rPr>
        <b val="true"/>
        <sz val="9"/>
        <rFont val="Arial"/>
        <family val="0"/>
        <charset val="1"/>
      </rPr>
      <t xml:space="preserve">Internal Audit (SOX/ICFR): </t>
    </r>
    <r>
      <rPr>
        <sz val="9"/>
        <rFont val="Arial"/>
        <family val="0"/>
        <charset val="1"/>
      </rPr>
      <t xml:space="preserve">India finance-control analysts perform SOX/ICFR control testing, remediation and external-auditor coordination from Pune and Mumbai (2026).
</t>
    </r>
    <r>
      <rPr>
        <i val="true"/>
        <sz val="8"/>
        <color rgb="FF7F6000"/>
        <rFont val="Arial"/>
        <family val="0"/>
        <charset val="1"/>
      </rPr>
      <t xml:space="preserve">Note: New 255,713 sq ft Pune campus leased Aug 2026</t>
    </r>
  </si>
  <si>
    <r>
      <rPr>
        <b val="true"/>
        <sz val="8"/>
        <rFont val="Arial"/>
        <family val="0"/>
        <charset val="1"/>
      </rPr>
      <t xml:space="preserve">Technology:
</t>
    </r>
    <r>
      <rPr>
        <u val="single"/>
        <sz val="8"/>
        <color rgb="FF0563C1"/>
        <rFont val="Arial"/>
        <family val="0"/>
        <charset val="1"/>
      </rPr>
      <t xml:space="preserve">https://www.business-standard.com/industry/news/tiaa-global-capabilities-leases-2-56-lakh-sq-ft-in-pune-for-320-crore-126082800968_1.html
https://hrtoday.in/deepak-gupta-appointed-as-head-of-tiaa-global-capabilities-and-member-of-the-tiaa-india-board-of-directors/
</t>
    </r>
    <r>
      <rPr>
        <b val="true"/>
        <sz val="8"/>
        <rFont val="Arial"/>
        <family val="0"/>
        <charset val="1"/>
      </rPr>
      <t xml:space="preserve">Finance:
</t>
    </r>
    <r>
      <rPr>
        <u val="single"/>
        <sz val="8"/>
        <color rgb="FF0563C1"/>
        <rFont val="Arial"/>
        <family val="0"/>
        <charset val="1"/>
      </rPr>
      <t xml:space="preserve">https://careers.tiaa.org/analyst-finance-control/job/31A93F863B6F1182CFCC849708C5E845
</t>
    </r>
    <r>
      <rPr>
        <b val="true"/>
        <sz val="8"/>
        <rFont val="Arial"/>
        <family val="0"/>
        <charset val="1"/>
      </rPr>
      <t xml:space="preserve">Insurance Operations:
</t>
    </r>
    <r>
      <rPr>
        <u val="single"/>
        <sz val="8"/>
        <color rgb="FF0563C1"/>
        <rFont val="Arial"/>
        <family val="0"/>
        <charset val="1"/>
      </rPr>
      <t xml:space="preserve">https://careers.tiaa.org/analyst-associate-onboarding-client-assignment/job/73A80F1434BAEF873D854491623A81A7
https://www.constructionworld.in/policy-updates-and-economic-news/tiaa-global-capabilities-leases-255713-square-feet-in-pune/96764
</t>
    </r>
    <r>
      <rPr>
        <b val="true"/>
        <sz val="8"/>
        <rFont val="Arial"/>
        <family val="0"/>
        <charset val="1"/>
      </rPr>
      <t xml:space="preserve">Internal Audit:
</t>
    </r>
    <r>
      <rPr>
        <u val="single"/>
        <sz val="8"/>
        <color rgb="FF0563C1"/>
        <rFont val="Arial"/>
        <family val="0"/>
        <charset val="1"/>
      </rPr>
      <t xml:space="preserve">https://careers.tiaa.org/analyst-finance-control/job/31A93F863B6F1182CFCC849708C5E845</t>
    </r>
  </si>
  <si>
    <r>
      <rPr>
        <b val="true"/>
        <sz val="10"/>
        <rFont val="Arial"/>
        <family val="0"/>
        <charset val="1"/>
      </rPr>
      <t xml:space="preserve">Sun Life
</t>
    </r>
    <r>
      <rPr>
        <sz val="8"/>
        <color rgb="FF595959"/>
        <rFont val="Arial"/>
        <family val="0"/>
        <charset val="1"/>
      </rPr>
      <t xml:space="preserve">Sun Life Global Solutions Private Limited</t>
    </r>
  </si>
  <si>
    <t xml:space="preserve">~3,030 (GPTW)</t>
  </si>
  <si>
    <t xml:space="preserve">Life &amp; health insurance, asset management</t>
  </si>
  <si>
    <t xml:space="preserve">Gurugram, Bengaluru</t>
  </si>
  <si>
    <r>
      <rPr>
        <b val="true"/>
        <sz val="9"/>
        <color rgb="FF1F3864"/>
        <rFont val="Arial"/>
        <family val="0"/>
        <charset val="1"/>
      </rPr>
      <t xml:space="preserve">20-year integrated capability hub scaling GenAI
</t>
    </r>
    <r>
      <rPr>
        <b val="true"/>
        <sz val="9"/>
        <rFont val="Arial"/>
        <family val="0"/>
        <charset val="1"/>
      </rPr>
      <t xml:space="preserve">Technology: </t>
    </r>
    <r>
      <rPr>
        <sz val="9"/>
        <rFont val="Arial"/>
        <family val="0"/>
        <charset val="1"/>
      </rPr>
      <t xml:space="preserve">20+ GenAI pilots supported for global deployment (Feb 2026), IIT Indore AI/ML partnership since Nov 2024, and a new MD (May 2026) mandated to accelerate AI-led innovation.
</t>
    </r>
    <r>
      <rPr>
        <b val="true"/>
        <sz val="9"/>
        <rFont val="Arial"/>
        <family val="0"/>
        <charset val="1"/>
      </rPr>
      <t xml:space="preserve">Finance: </t>
    </r>
    <r>
      <rPr>
        <sz val="9"/>
        <rFont val="Arial"/>
        <family val="0"/>
        <charset val="1"/>
      </rPr>
      <t xml:space="preserve">Finance is a standing shared-services function under the SLGS Managing Director (May 2026), integrated with investment operations and actuarial in the enterprise hub.
</t>
    </r>
    <r>
      <rPr>
        <b val="true"/>
        <sz val="9"/>
        <rFont val="Arial"/>
        <family val="0"/>
        <charset val="1"/>
      </rPr>
      <t xml:space="preserve">Insurance Operations: </t>
    </r>
    <r>
      <rPr>
        <sz val="9"/>
        <rFont val="Arial"/>
        <family val="0"/>
        <charset val="1"/>
      </rPr>
      <t xml:space="preserve">Operations, actuarial and risk &amp; compliance teams in Gurugram and Bengaluru serve Sun Life across 28 markets, evolved into an integrated scaled-operations capability hub (2026).
</t>
    </r>
    <r>
      <rPr>
        <i val="true"/>
        <sz val="8"/>
        <color rgb="FF7F6000"/>
        <rFont val="Arial"/>
        <family val="0"/>
        <charset val="1"/>
      </rPr>
      <t xml:space="preserve">Note: New MD Bianca Ilibasic appointed May 2026</t>
    </r>
  </si>
  <si>
    <r>
      <rPr>
        <b val="true"/>
        <sz val="8"/>
        <rFont val="Arial"/>
        <family val="0"/>
        <charset val="1"/>
      </rPr>
      <t xml:space="preserve">Technology:
</t>
    </r>
    <r>
      <rPr>
        <u val="single"/>
        <sz val="8"/>
        <color rgb="FF0563C1"/>
        <rFont val="Arial"/>
        <family val="0"/>
        <charset val="1"/>
      </rPr>
      <t xml:space="preserve">https://www.sunlife.com/slgs/en/newsroom/press-releases/2026/sun-life-global-solutions-india-at-20/
https://www.sunlife.com/slgs/en/newsroom/press-releases/2026/sun-life-appoints-bianca-ilibasic-as-managing-director-sun-life/
</t>
    </r>
    <r>
      <rPr>
        <b val="true"/>
        <sz val="8"/>
        <rFont val="Arial"/>
        <family val="0"/>
        <charset val="1"/>
      </rPr>
      <t xml:space="preserve">Finance:
</t>
    </r>
    <r>
      <rPr>
        <u val="single"/>
        <sz val="8"/>
        <color rgb="FF0563C1"/>
        <rFont val="Arial"/>
        <family val="0"/>
        <charset val="1"/>
      </rPr>
      <t xml:space="preserve">https://www.sunlife.com/slgs/en/newsroom/press-releases/2026/sun-life-appoints-bianca-ilibasic-as-managing-director-sun-life/
https://gcc.economictimes.indiatimes.com/news/people-culture/behind-the-strategic-reset-at-sun-life-global-solutions/126248822
</t>
    </r>
    <r>
      <rPr>
        <b val="true"/>
        <sz val="8"/>
        <rFont val="Arial"/>
        <family val="0"/>
        <charset val="1"/>
      </rPr>
      <t xml:space="preserve">Insurance Operations:
</t>
    </r>
    <r>
      <rPr>
        <u val="single"/>
        <sz val="8"/>
        <color rgb="FF0563C1"/>
        <rFont val="Arial"/>
        <family val="0"/>
        <charset val="1"/>
      </rPr>
      <t xml:space="preserve">https://www.sunlife.com/slgs/en/newsroom/press-releases/2026/sun-life-appoints-bianca-ilibasic-as-managing-director-sun-life/
https://www.sunlife.com/slgs/en/newsroom/press-releases/2026/sun-life-global-solutions-india-at-20/</t>
    </r>
  </si>
  <si>
    <r>
      <rPr>
        <b val="true"/>
        <sz val="10"/>
        <rFont val="Arial"/>
        <family val="0"/>
        <charset val="1"/>
      </rPr>
      <t xml:space="preserve">Optum (UnitedHealth Group)
</t>
    </r>
    <r>
      <rPr>
        <sz val="8"/>
        <color rgb="FF595959"/>
        <rFont val="Arial"/>
        <family val="0"/>
        <charset val="1"/>
      </rPr>
      <t xml:space="preserve">Optum Global Solutions (India) Private Limited</t>
    </r>
  </si>
  <si>
    <t xml:space="preserve">30,000+ (3rd party ~40,000; target 45,000 by 2027)</t>
  </si>
  <si>
    <t xml:space="preserve">Gurugram, Hyderabad, Bengaluru, Chennai (2025), Noida</t>
  </si>
  <si>
    <r>
      <rPr>
        <b val="true"/>
        <sz val="9"/>
        <color rgb="FF1F3864"/>
        <rFont val="Arial"/>
        <family val="0"/>
        <charset val="1"/>
      </rPr>
      <t xml:space="preserve">30,000+ healthcare technology and operations GCC
</t>
    </r>
    <r>
      <rPr>
        <b val="true"/>
        <sz val="9"/>
        <rFont val="Arial"/>
        <family val="0"/>
        <charset val="1"/>
      </rPr>
      <t xml:space="preserve">Technology: </t>
    </r>
    <r>
      <rPr>
        <sz val="9"/>
        <rFont val="Arial"/>
        <family val="0"/>
        <charset val="1"/>
      </rPr>
      <t xml:space="preserve">AI/ML engineering build-out in Bengaluru (2026) and Optum.ai technology powering the ANSR healthcare GCC accelerator launched Apr 2026; India MD recognised for digital transformation.
</t>
    </r>
    <r>
      <rPr>
        <b val="true"/>
        <sz val="9"/>
        <rFont val="Arial"/>
        <family val="0"/>
        <charset val="1"/>
      </rPr>
      <t xml:space="preserve">Insurance Operations: </t>
    </r>
    <r>
      <rPr>
        <sz val="9"/>
        <rFont val="Arial"/>
        <family val="0"/>
        <charset val="1"/>
      </rPr>
      <t xml:space="preserve">Chennai GCC (500,000 sq ft) operational Q3 2025 lifts Optum India past 30,000 staff delivering healthcare operations across Noida, Bengaluru and Chennai.
</t>
    </r>
    <r>
      <rPr>
        <i val="true"/>
        <sz val="8"/>
        <color rgb="FF7F6000"/>
        <rFont val="Arial"/>
        <family val="0"/>
        <charset val="1"/>
      </rPr>
      <t xml:space="preserve">Note: Co-launched ANSR healthcare GCC accelerator Apr 2026</t>
    </r>
  </si>
  <si>
    <r>
      <rPr>
        <b val="true"/>
        <sz val="8"/>
        <rFont val="Arial"/>
        <family val="0"/>
        <charset val="1"/>
      </rPr>
      <t xml:space="preserve">Technology:
</t>
    </r>
    <r>
      <rPr>
        <u val="single"/>
        <sz val="8"/>
        <color rgb="FF0563C1"/>
        <rFont val="Arial"/>
        <family val="0"/>
        <charset val="1"/>
      </rPr>
      <t xml:space="preserve">https://www.optum.in/about/news/uma-ratnam-krishnan-top-gcc-leader-2026.html
https://www.digitalhealthnews.com/ansr-launches-healthcare-gcc-accelerator-platform-to-drive-ai-enabled-enterprise-transformation
</t>
    </r>
    <r>
      <rPr>
        <b val="true"/>
        <sz val="8"/>
        <rFont val="Arial"/>
        <family val="0"/>
        <charset val="1"/>
      </rPr>
      <t xml:space="preserve">Insurance Operations:
</t>
    </r>
    <r>
      <rPr>
        <u val="single"/>
        <sz val="8"/>
        <color rgb="FF0563C1"/>
        <rFont val="Arial"/>
        <family val="0"/>
        <charset val="1"/>
      </rPr>
      <t xml:space="preserve">https://www.digitalhealthnews.com/optum-expands-healthcare-gcc-network-with-chennai-office-lease
https://economictimes.indiatimes.com/topic/optum-global-solutions</t>
    </r>
  </si>
  <si>
    <r>
      <rPr>
        <b val="true"/>
        <sz val="10"/>
        <rFont val="Arial"/>
        <family val="0"/>
        <charset val="1"/>
      </rPr>
      <t xml:space="preserve">Prudential plc
</t>
    </r>
    <r>
      <rPr>
        <sz val="8"/>
        <color rgb="FF595959"/>
        <rFont val="Arial"/>
        <family val="0"/>
        <charset val="1"/>
      </rPr>
      <t xml:space="preserve">Prudential Services India</t>
    </r>
  </si>
  <si>
    <t xml:space="preserve">Not disclosed (target 400+ by 2028)</t>
  </si>
  <si>
    <t xml:space="preserve">Life &amp; health insurance (Asia, Africa)</t>
  </si>
  <si>
    <t xml:space="preserve">Bengaluru (2025)</t>
  </si>
  <si>
    <r>
      <rPr>
        <b val="true"/>
        <sz val="9"/>
        <color rgb="FF1F3864"/>
        <rFont val="Arial"/>
        <family val="0"/>
        <charset val="1"/>
      </rPr>
      <t xml:space="preserve">Global technology and operations hub (Bengaluru, 2025)
</t>
    </r>
    <r>
      <rPr>
        <b val="true"/>
        <sz val="9"/>
        <rFont val="Arial"/>
        <family val="0"/>
        <charset val="1"/>
      </rPr>
      <t xml:space="preserve">Technology: </t>
    </r>
    <r>
      <rPr>
        <sz val="9"/>
        <rFont val="Arial"/>
        <family val="0"/>
        <charset val="1"/>
      </rPr>
      <t xml:space="preserve">Bengaluru hub opened Mar 2025, growing to 400+ in data, AI, software development, automated testing and cybersecurity; builds PRUServices and PRUForce platforms, global penetration-testing team (2026).
</t>
    </r>
    <r>
      <rPr>
        <b val="true"/>
        <sz val="9"/>
        <rFont val="Arial"/>
        <family val="0"/>
        <charset val="1"/>
      </rPr>
      <t xml:space="preserve">Finance: </t>
    </r>
    <r>
      <rPr>
        <sz val="9"/>
        <rFont val="Arial"/>
        <family val="0"/>
        <charset val="1"/>
      </rPr>
      <t xml:space="preserve">Early finance hiring at the Bengaluru hub (2026): finance executives and consolidation and planning systems developers working in a SOX-controlled environment with internal and external audit.
</t>
    </r>
    <r>
      <rPr>
        <b val="true"/>
        <sz val="9"/>
        <rFont val="Arial"/>
        <family val="0"/>
        <charset val="1"/>
      </rPr>
      <t xml:space="preserve">Insurance Operations: </t>
    </r>
    <r>
      <rPr>
        <sz val="9"/>
        <rFont val="Arial"/>
        <family val="0"/>
        <charset val="1"/>
      </rPr>
      <t xml:space="preserve">Hub is one of two global centres supplying operations expertise to Asia and Africa markets, including digital customer self-service and agency platform delivery (2025-26).
</t>
    </r>
    <r>
      <rPr>
        <i val="true"/>
        <sz val="8"/>
        <color rgb="FF7F6000"/>
        <rFont val="Arial"/>
        <family val="0"/>
        <charset val="1"/>
      </rPr>
      <t xml:space="preserve">Note: Finance evidence limited to job postings</t>
    </r>
  </si>
  <si>
    <r>
      <rPr>
        <b val="true"/>
        <sz val="8"/>
        <rFont val="Arial"/>
        <family val="0"/>
        <charset val="1"/>
      </rPr>
      <t xml:space="preserve">Technology:
</t>
    </r>
    <r>
      <rPr>
        <u val="single"/>
        <sz val="8"/>
        <color rgb="FF0563C1"/>
        <rFont val="Arial"/>
        <family val="0"/>
        <charset val="1"/>
      </rPr>
      <t xml:space="preserve">https://www.prudentialplc.com/en/newsroom/company-news/2025/prudential-launches-global-services-hub-in-bengaluru-india/
https://insuranceasia.com/insurance/news/prudential-services-india-expand-adding-over-400-tech-professionals
</t>
    </r>
    <r>
      <rPr>
        <b val="true"/>
        <sz val="8"/>
        <rFont val="Arial"/>
        <family val="0"/>
        <charset val="1"/>
      </rPr>
      <t xml:space="preserve">Finance:
</t>
    </r>
    <r>
      <rPr>
        <u val="single"/>
        <sz val="8"/>
        <color rgb="FF0563C1"/>
        <rFont val="Arial"/>
        <family val="0"/>
        <charset val="1"/>
      </rPr>
      <t xml:space="preserve">https://builtinbengaluru.in/job/senior-executive-finance-contract/7563619
</t>
    </r>
    <r>
      <rPr>
        <b val="true"/>
        <sz val="8"/>
        <rFont val="Arial"/>
        <family val="0"/>
        <charset val="1"/>
      </rPr>
      <t xml:space="preserve">Insurance Operations:
</t>
    </r>
    <r>
      <rPr>
        <u val="single"/>
        <sz val="8"/>
        <color rgb="FF0563C1"/>
        <rFont val="Arial"/>
        <family val="0"/>
        <charset val="1"/>
      </rPr>
      <t xml:space="preserve">https://www.finews.asia/finance/42932-prudential-services-india-bengaluru-technology-data-ai-software-development-automated-testing-cybersecurity
https://insuranceasia.com/insurance/news/prudential-services-india-expand-adding-over-400-tech-professionals</t>
    </r>
  </si>
  <si>
    <r>
      <rPr>
        <b val="true"/>
        <sz val="10"/>
        <rFont val="Arial"/>
        <family val="0"/>
        <charset val="1"/>
      </rPr>
      <t xml:space="preserve">Principal Financial Group
</t>
    </r>
    <r>
      <rPr>
        <sz val="8"/>
        <color rgb="FF595959"/>
        <rFont val="Arial"/>
        <family val="0"/>
        <charset val="1"/>
      </rPr>
      <t xml:space="preserve">Principal Global Services Private Limited</t>
    </r>
  </si>
  <si>
    <t xml:space="preserve">Not disclosed (~4,000 indicative)</t>
  </si>
  <si>
    <t xml:space="preserve">Retirement, insurance &amp; asset management</t>
  </si>
  <si>
    <t xml:space="preserve">Pune, Hyderabad</t>
  </si>
  <si>
    <r>
      <rPr>
        <b val="true"/>
        <sz val="9"/>
        <color rgb="FF1F3864"/>
        <rFont val="Arial"/>
        <family val="0"/>
        <charset val="1"/>
      </rPr>
      <t xml:space="preserve">Low-profile retirement and insurance services GCC
</t>
    </r>
    <r>
      <rPr>
        <b val="true"/>
        <sz val="9"/>
        <rFont val="Arial"/>
        <family val="0"/>
        <charset val="1"/>
      </rPr>
      <t xml:space="preserve">Technology: </t>
    </r>
    <r>
      <rPr>
        <sz val="9"/>
        <rFont val="Arial"/>
        <family val="0"/>
        <charset val="1"/>
      </rPr>
      <t xml:space="preserve">Pune and Hyderabad GCC hiring India leadership (2026) to build an enterprise automation capability and long-term automation and AI roadmap for retirement, insurance and asset-management solutions.
</t>
    </r>
    <r>
      <rPr>
        <b val="true"/>
        <sz val="9"/>
        <rFont val="Arial"/>
        <family val="0"/>
        <charset val="1"/>
      </rPr>
      <t xml:space="preserve">Finance: </t>
    </r>
    <r>
      <rPr>
        <sz val="9"/>
        <rFont val="Arial"/>
        <family val="0"/>
        <charset val="1"/>
      </rPr>
      <t xml:space="preserve">Accounting and SOX senior analyst roles hired in Pune (2026), evidencing accounting delivery within the India GCC.
</t>
    </r>
    <r>
      <rPr>
        <b val="true"/>
        <sz val="9"/>
        <rFont val="Arial"/>
        <family val="0"/>
        <charset val="1"/>
      </rPr>
      <t xml:space="preserve">Internal Audit (SOX/ICFR): </t>
    </r>
    <r>
      <rPr>
        <sz val="9"/>
        <rFont val="Arial"/>
        <family val="0"/>
        <charset val="1"/>
      </rPr>
      <t xml:space="preserve">SOX controls work performed by accounting-SOX senior analysts in Pune (2026).
</t>
    </r>
    <r>
      <rPr>
        <i val="true"/>
        <sz val="8"/>
        <color rgb="FF7F6000"/>
        <rFont val="Arial"/>
        <family val="0"/>
        <charset val="1"/>
      </rPr>
      <t xml:space="preserve">Note: Former head Madhavi Dahanukar left Mar 2026; successor not announced</t>
    </r>
  </si>
  <si>
    <r>
      <rPr>
        <b val="true"/>
        <sz val="8"/>
        <rFont val="Arial"/>
        <family val="0"/>
        <charset val="1"/>
      </rPr>
      <t xml:space="preserve">Technology:
</t>
    </r>
    <r>
      <rPr>
        <u val="single"/>
        <sz val="8"/>
        <color rgb="FF0563C1"/>
        <rFont val="Arial"/>
        <family val="0"/>
        <charset val="1"/>
      </rPr>
      <t xml:space="preserve">https://priglobal.com/india-offices/
https://in.indeed.com/Principal-Global-Services-jobs
</t>
    </r>
    <r>
      <rPr>
        <b val="true"/>
        <sz val="8"/>
        <rFont val="Arial"/>
        <family val="0"/>
        <charset val="1"/>
      </rPr>
      <t xml:space="preserve">Finance:
</t>
    </r>
    <r>
      <rPr>
        <u val="single"/>
        <sz val="8"/>
        <color rgb="FF0563C1"/>
        <rFont val="Arial"/>
        <family val="0"/>
        <charset val="1"/>
      </rPr>
      <t xml:space="preserve">https://in.indeed.com/Principal-Global-Services-jobs
</t>
    </r>
    <r>
      <rPr>
        <b val="true"/>
        <sz val="8"/>
        <rFont val="Arial"/>
        <family val="0"/>
        <charset val="1"/>
      </rPr>
      <t xml:space="preserve">Internal Audit:
</t>
    </r>
    <r>
      <rPr>
        <u val="single"/>
        <sz val="8"/>
        <color rgb="FF0563C1"/>
        <rFont val="Arial"/>
        <family val="0"/>
        <charset val="1"/>
      </rPr>
      <t xml:space="preserve">https://in.indeed.com/Principal-Global-Services-jobs</t>
    </r>
  </si>
  <si>
    <r>
      <rPr>
        <b val="true"/>
        <sz val="10"/>
        <rFont val="Arial"/>
        <family val="0"/>
        <charset val="1"/>
      </rPr>
      <t xml:space="preserve">N2G Worldwide Insurance Services
</t>
    </r>
    <r>
      <rPr>
        <sz val="8"/>
        <color rgb="FF595959"/>
        <rFont val="Arial"/>
        <family val="0"/>
        <charset val="1"/>
      </rPr>
      <t xml:space="preserve">N2G Global Services Private Limited</t>
    </r>
  </si>
  <si>
    <t xml:space="preserve">Multinational commercial P&amp;C insurance</t>
  </si>
  <si>
    <t xml:space="preserve">Pune (2025)</t>
  </si>
  <si>
    <r>
      <rPr>
        <b val="true"/>
        <sz val="9"/>
        <color rgb="FF1F3864"/>
        <rFont val="Arial"/>
        <family val="0"/>
        <charset val="1"/>
      </rPr>
      <t xml:space="preserve">New IT and commercial-insurance support captive (Pune)
</t>
    </r>
    <r>
      <rPr>
        <b val="true"/>
        <sz val="9"/>
        <rFont val="Arial"/>
        <family val="0"/>
        <charset val="1"/>
      </rPr>
      <t xml:space="preserve">Technology: </t>
    </r>
    <r>
      <rPr>
        <sz val="9"/>
        <rFont val="Arial"/>
        <family val="0"/>
        <charset val="1"/>
      </rPr>
      <t xml:space="preserve">First GCC incorporated in Pune Mar 2025 to access Indian IT talent, bringing technology capability in-house for the Nationwide-Generali JV.
</t>
    </r>
    <r>
      <rPr>
        <b val="true"/>
        <sz val="9"/>
        <rFont val="Arial"/>
        <family val="0"/>
        <charset val="1"/>
      </rPr>
      <t xml:space="preserve">Insurance Operations: </t>
    </r>
    <r>
      <rPr>
        <sz val="9"/>
        <rFont val="Arial"/>
        <family val="0"/>
        <charset val="1"/>
      </rPr>
      <t xml:space="preserve">Pune GCC scoped (Mar 2025) to support multinational commercial-insurance operations serving multinational brokers and their clients.
</t>
    </r>
    <r>
      <rPr>
        <i val="true"/>
        <sz val="8"/>
        <color rgb="FF7F6000"/>
        <rFont val="Arial"/>
        <family val="0"/>
        <charset val="1"/>
      </rPr>
      <t xml:space="preserve">Note: Parent is a Nationwide-Generali JV; set-up advised by TT&amp;A</t>
    </r>
  </si>
  <si>
    <r>
      <rPr>
        <b val="true"/>
        <sz val="8"/>
        <rFont val="Arial"/>
        <family val="0"/>
        <charset val="1"/>
      </rPr>
      <t xml:space="preserve">Technology:
</t>
    </r>
    <r>
      <rPr>
        <u val="single"/>
        <sz val="8"/>
        <color rgb="FF0563C1"/>
        <rFont val="Arial"/>
        <family val="0"/>
        <charset val="1"/>
      </rPr>
      <t xml:space="preserve">https://www.barandbench.com/law-firms/dealstreet/tta-assists-n2g-insurance-on-setting-up-global-capability-center-in-india
https://tta.in/?p=12496
</t>
    </r>
    <r>
      <rPr>
        <b val="true"/>
        <sz val="8"/>
        <rFont val="Arial"/>
        <family val="0"/>
        <charset val="1"/>
      </rPr>
      <t xml:space="preserve">Insurance Operations:
</t>
    </r>
    <r>
      <rPr>
        <u val="single"/>
        <sz val="8"/>
        <color rgb="FF0563C1"/>
        <rFont val="Arial"/>
        <family val="0"/>
        <charset val="1"/>
      </rPr>
      <t xml:space="preserve">https://www.barandbench.com/law-firms/dealstreet/tta-assists-n2g-insurance-on-setting-up-global-capability-center-in-india</t>
    </r>
  </si>
  <si>
    <r>
      <rPr>
        <b val="true"/>
        <sz val="10"/>
        <rFont val="Arial"/>
        <family val="0"/>
        <charset val="1"/>
      </rPr>
      <t xml:space="preserve">ERGO (Munich Re)
</t>
    </r>
    <r>
      <rPr>
        <sz val="8"/>
        <color rgb="FF595959"/>
        <rFont val="Arial"/>
        <family val="0"/>
        <charset val="1"/>
      </rPr>
      <t xml:space="preserve">ERGO Technology &amp; Services Private Limited</t>
    </r>
  </si>
  <si>
    <t xml:space="preserve">~557 (GPTW)</t>
  </si>
  <si>
    <t xml:space="preserve">P&amp;C, life &amp; health insurance</t>
  </si>
  <si>
    <r>
      <rPr>
        <b val="true"/>
        <sz val="9"/>
        <color rgb="FF1F3864"/>
        <rFont val="Arial"/>
        <family val="0"/>
        <charset val="1"/>
      </rPr>
      <t xml:space="preserve">IT-only offshore development centre (Mumbai)
</t>
    </r>
    <r>
      <rPr>
        <b val="true"/>
        <sz val="9"/>
        <rFont val="Arial"/>
        <family val="0"/>
        <charset val="1"/>
      </rPr>
      <t xml:space="preserve">Technology: </t>
    </r>
    <r>
      <rPr>
        <sz val="9"/>
        <rFont val="Arial"/>
        <family val="0"/>
        <charset val="1"/>
      </rPr>
      <t xml:space="preserve">Mumbai offshore development centre (~557 staff) delivers IT solutions for ERGO Group alongside German and Polish hubs; one of three delivery hubs for the EUR 130m GenAI programme (2026).
</t>
    </r>
    <r>
      <rPr>
        <i val="true"/>
        <sz val="8"/>
        <color rgb="FF7F6000"/>
        <rFont val="Arial"/>
        <family val="0"/>
        <charset val="1"/>
      </rPr>
      <t xml:space="preserve">Note: IT-only entity</t>
    </r>
  </si>
  <si>
    <r>
      <rPr>
        <b val="true"/>
        <sz val="8"/>
        <rFont val="Arial"/>
        <family val="0"/>
        <charset val="1"/>
      </rPr>
      <t xml:space="preserve">Technology:
</t>
    </r>
    <r>
      <rPr>
        <u val="single"/>
        <sz val="8"/>
        <color rgb="FF0563C1"/>
        <rFont val="Arial"/>
        <family val="0"/>
        <charset val="1"/>
      </rPr>
      <t xml:space="preserve">https://www.ergo.com/en/microsite/ergo-technology-services-india/about-ets-india
https://www.greatplacetowork.in/great/company/ergo-technology-services-limited</t>
    </r>
  </si>
  <si>
    <r>
      <rPr>
        <b val="true"/>
        <sz val="10"/>
        <rFont val="Arial"/>
        <family val="0"/>
        <charset val="1"/>
      </rPr>
      <t xml:space="preserve">The Hartford
</t>
    </r>
    <r>
      <rPr>
        <sz val="8"/>
        <color rgb="FF595959"/>
        <rFont val="Arial"/>
        <family val="0"/>
        <charset val="1"/>
      </rPr>
      <t xml:space="preserve">Hartford Global Services Private Limited</t>
    </r>
  </si>
  <si>
    <t xml:space="preserve">Not disclosed (target ~1,200)</t>
  </si>
  <si>
    <t xml:space="preserve">P&amp;C and group benefits insurance</t>
  </si>
  <si>
    <t xml:space="preserve">Assisted build (Capgemini)</t>
  </si>
  <si>
    <r>
      <rPr>
        <b val="true"/>
        <sz val="9"/>
        <color rgb="FF1F3864"/>
        <rFont val="Arial"/>
        <family val="0"/>
        <charset val="1"/>
      </rPr>
      <t xml:space="preserve">Global technology centre, ~1,200 target (Hyderabad)
</t>
    </r>
    <r>
      <rPr>
        <b val="true"/>
        <sz val="9"/>
        <rFont val="Arial"/>
        <family val="0"/>
        <charset val="1"/>
      </rPr>
      <t xml:space="preserve">Technology: </t>
    </r>
    <r>
      <rPr>
        <sz val="9"/>
        <rFont val="Arial"/>
        <family val="0"/>
        <charset val="1"/>
      </rPr>
      <t xml:space="preserve">Hyderabad Global Technology Centre opened Sep 2025 and inaugurated Feb 2026, scaling to ~1,200 on AI, digital platforms and cloud engineering; senior AI lead hired May 2026.
</t>
    </r>
    <r>
      <rPr>
        <i val="true"/>
        <sz val="8"/>
        <color rgb="FF7F6000"/>
        <rFont val="Arial"/>
        <family val="0"/>
        <charset val="1"/>
      </rPr>
      <t xml:space="preserve">Note: Formally inaugurated Feb 2026</t>
    </r>
  </si>
  <si>
    <r>
      <rPr>
        <b val="true"/>
        <sz val="8"/>
        <rFont val="Arial"/>
        <family val="0"/>
        <charset val="1"/>
      </rPr>
      <t xml:space="preserve">Technology:
</t>
    </r>
    <r>
      <rPr>
        <u val="single"/>
        <sz val="8"/>
        <color rgb="FF0563C1"/>
        <rFont val="Arial"/>
        <family val="0"/>
        <charset val="1"/>
      </rPr>
      <t xml:space="preserve">https://ir.thehartford.com/news/news-details/2026/The-Hartford-Expands-Technology-Team-With-New-Office-In-Columbus-Ohio/default.aspx
https://www.siasat.com/us-insurance-major-the-hartford-opens-global-tech-centre-in-hyderabad-3374371/</t>
    </r>
  </si>
  <si>
    <r>
      <rPr>
        <b val="true"/>
        <sz val="10"/>
        <rFont val="Arial"/>
        <family val="0"/>
        <charset val="1"/>
      </rPr>
      <t xml:space="preserve">Zurich Insurance Group
</t>
    </r>
    <r>
      <rPr>
        <sz val="8"/>
        <color rgb="FF595959"/>
        <rFont val="Arial"/>
        <family val="0"/>
        <charset val="1"/>
      </rPr>
      <t xml:space="preserve">Not disclosed (Zurich Capability Centers)</t>
    </r>
  </si>
  <si>
    <t xml:space="preserve">Not disclosed (1,000+ roles planned)</t>
  </si>
  <si>
    <t xml:space="preserve">P&amp;C and life insurance</t>
  </si>
  <si>
    <t xml:space="preserve">Hyderabad (2026)</t>
  </si>
  <si>
    <r>
      <rPr>
        <b val="true"/>
        <sz val="9"/>
        <color rgb="FF1F3864"/>
        <rFont val="Arial"/>
        <family val="0"/>
        <charset val="1"/>
      </rPr>
      <t xml:space="preserve">New 1,000+ role technology and operations GCC (Hyderabad)
</t>
    </r>
    <r>
      <rPr>
        <b val="true"/>
        <sz val="9"/>
        <rFont val="Arial"/>
        <family val="0"/>
        <charset val="1"/>
      </rPr>
      <t xml:space="preserve">Technology: </t>
    </r>
    <r>
      <rPr>
        <sz val="9"/>
        <rFont val="Arial"/>
        <family val="0"/>
        <charset val="1"/>
      </rPr>
      <t xml:space="preserve">Hyderabad GCC launched Apr 2026 with 1,000+ roles across cloud engineering, data and AI, application development, cybersecurity and quality engineering; Amit Kalra heads it from Jul 2026.
</t>
    </r>
    <r>
      <rPr>
        <b val="true"/>
        <sz val="9"/>
        <rFont val="Arial"/>
        <family val="0"/>
        <charset val="1"/>
      </rPr>
      <t xml:space="preserve">Insurance Operations: </t>
    </r>
    <r>
      <rPr>
        <sz val="9"/>
        <rFont val="Arial"/>
        <family val="0"/>
        <charset val="1"/>
      </rPr>
      <t xml:space="preserve">Centre scoped at launch (Apr 2026) to take end-to-end ownership of core business operations alongside engineering and data, with AI-enabled delivery; specific lines not yet announced.
</t>
    </r>
    <r>
      <rPr>
        <i val="true"/>
        <sz val="8"/>
        <color rgb="FF7F6000"/>
        <rFont val="Arial"/>
        <family val="0"/>
        <charset val="1"/>
      </rPr>
      <t xml:space="preserve">Note: Launched Apr 2026; Amit Kalra heads Zurich Capability Centers from Jul 2026</t>
    </r>
  </si>
  <si>
    <r>
      <rPr>
        <b val="true"/>
        <sz val="8"/>
        <rFont val="Arial"/>
        <family val="0"/>
        <charset val="1"/>
      </rPr>
      <t xml:space="preserve">Technology:
</t>
    </r>
    <r>
      <rPr>
        <u val="single"/>
        <sz val="8"/>
        <color rgb="FF0563C1"/>
        <rFont val="Arial"/>
        <family val="0"/>
        <charset val="1"/>
      </rPr>
      <t xml:space="preserve">https://reinsurancene.ws/zurich-appoints-amit-kalra-to-lead-new-global-capability-center-in-india/
https://explorer.hub71.com/news/feed/zurich-insurance-launches-global-capability-center-in-hyderabad-to-advance-ai-and-tech-capabilities
</t>
    </r>
    <r>
      <rPr>
        <b val="true"/>
        <sz val="8"/>
        <rFont val="Arial"/>
        <family val="0"/>
        <charset val="1"/>
      </rPr>
      <t xml:space="preserve">Insurance Operations:
</t>
    </r>
    <r>
      <rPr>
        <u val="single"/>
        <sz val="8"/>
        <color rgb="FF0563C1"/>
        <rFont val="Arial"/>
        <family val="0"/>
        <charset val="1"/>
      </rPr>
      <t xml:space="preserve">https://digitalterminal.in/amp/story/tech-companies/zurich-insurance-group-launches-new-hyderabad-gcc-to-boost-ai-growth-appoints-amit-kalra-as-global-head</t>
    </r>
  </si>
  <si>
    <r>
      <rPr>
        <b val="true"/>
        <sz val="10"/>
        <rFont val="Arial"/>
        <family val="0"/>
        <charset val="1"/>
      </rPr>
      <t xml:space="preserve">Elevance Health (Carelon)
</t>
    </r>
    <r>
      <rPr>
        <sz val="8"/>
        <color rgb="FF595959"/>
        <rFont val="Arial"/>
        <family val="0"/>
        <charset val="1"/>
      </rPr>
      <t xml:space="preserve">Carelon Global Solutions India LLP</t>
    </r>
  </si>
  <si>
    <t xml:space="preserve">18,000+</t>
  </si>
  <si>
    <t xml:space="preserve">Bengaluru, Hyderabad, Gurugram</t>
  </si>
  <si>
    <r>
      <rPr>
        <b val="true"/>
        <sz val="9"/>
        <color rgb="FF1F3864"/>
        <rFont val="Arial"/>
        <family val="0"/>
        <charset val="1"/>
      </rPr>
      <t xml:space="preserve">18,000+ health-plan technology and BPaaS centre
</t>
    </r>
    <r>
      <rPr>
        <b val="true"/>
        <sz val="9"/>
        <rFont val="Arial"/>
        <family val="0"/>
        <charset val="1"/>
      </rPr>
      <t xml:space="preserve">Technology: </t>
    </r>
    <r>
      <rPr>
        <sz val="9"/>
        <rFont val="Arial"/>
        <family val="0"/>
        <charset val="1"/>
      </rPr>
      <t xml:space="preserve">~8,000 Gurugram technology and analytics staff build claims, pharmacy and behavioural-health platforms; GenAI and agentic-AI engineering hiring 2025-26, targeting 10,000 by 2027.
</t>
    </r>
    <r>
      <rPr>
        <b val="true"/>
        <sz val="9"/>
        <rFont val="Arial"/>
        <family val="0"/>
        <charset val="1"/>
      </rPr>
      <t xml:space="preserve">Insurance Operations: </t>
    </r>
    <r>
      <rPr>
        <sz val="9"/>
        <rFont val="Arial"/>
        <family val="0"/>
        <charset val="1"/>
      </rPr>
      <t xml:space="preserve">Carelon delivers health-plan BPaaS, application support, automation and analytics from Bengaluru, Hyderabad and Gurugram; 2026 drives hire Benefits Analysts for US healthcare operations.
</t>
    </r>
    <r>
      <rPr>
        <i val="true"/>
        <sz val="8"/>
        <color rgb="FF7F6000"/>
        <rFont val="Arial"/>
        <family val="0"/>
        <charset val="1"/>
      </rPr>
      <t xml:space="preserve">Note: Formerly Legato Health Technologies</t>
    </r>
  </si>
  <si>
    <r>
      <rPr>
        <b val="true"/>
        <sz val="8"/>
        <rFont val="Arial"/>
        <family val="0"/>
        <charset val="1"/>
      </rPr>
      <t xml:space="preserve">Technology:
</t>
    </r>
    <r>
      <rPr>
        <u val="single"/>
        <sz val="8"/>
        <color rgb="FF0563C1"/>
        <rFont val="Arial"/>
        <family val="0"/>
        <charset val="1"/>
      </rPr>
      <t xml:space="preserve">https://www.businessofgcc.com/gcc-data/companies/elevance-health-india
https://www.apna.co/job/bengaluru/gen-ai-tech-lead-gr-39784-71565-jr194894-1815241818
</t>
    </r>
    <r>
      <rPr>
        <b val="true"/>
        <sz val="8"/>
        <rFont val="Arial"/>
        <family val="0"/>
        <charset val="1"/>
      </rPr>
      <t xml:space="preserve">Insurance Operations:
</t>
    </r>
    <r>
      <rPr>
        <u val="single"/>
        <sz val="8"/>
        <color rgb="FF0563C1"/>
        <rFont val="Arial"/>
        <family val="0"/>
        <charset val="1"/>
      </rPr>
      <t xml:space="preserve">https://www.anthem.com/content/carelon/public-cgs/us/en/home-in/about-us.html</t>
    </r>
  </si>
  <si>
    <r>
      <rPr>
        <b val="true"/>
        <sz val="10"/>
        <rFont val="Arial"/>
        <family val="0"/>
        <charset val="1"/>
      </rPr>
      <t xml:space="preserve">Intact Financial (ex-RSA)
</t>
    </r>
    <r>
      <rPr>
        <sz val="8"/>
        <color rgb="FF595959"/>
        <rFont val="Arial"/>
        <family val="0"/>
        <charset val="1"/>
      </rPr>
      <t xml:space="preserve">Intact Business Services Private Limited</t>
    </r>
  </si>
  <si>
    <t xml:space="preserve">Captive via acquisition (RSA)</t>
  </si>
  <si>
    <r>
      <rPr>
        <b val="true"/>
        <sz val="9"/>
        <color rgb="FF1F3864"/>
        <rFont val="Arial"/>
        <family val="0"/>
        <charset val="1"/>
      </rPr>
      <t xml:space="preserve">Actuarial capital and reserving hub, now Intact India
</t>
    </r>
    <r>
      <rPr>
        <b val="true"/>
        <sz val="9"/>
        <rFont val="Arial"/>
        <family val="0"/>
        <charset val="1"/>
      </rPr>
      <t xml:space="preserve">Technology: </t>
    </r>
    <r>
      <rPr>
        <sz val="9"/>
        <rFont val="Arial"/>
        <family val="0"/>
        <charset val="1"/>
      </rPr>
      <t xml:space="preserve">Gurugram centre delivers technology for the UK &amp; International CIO organisation, with a dedicated India delivery head translating UK technology strategy into execution (current).
</t>
    </r>
    <r>
      <rPr>
        <b val="true"/>
        <sz val="9"/>
        <rFont val="Arial"/>
        <family val="0"/>
        <charset val="1"/>
      </rPr>
      <t xml:space="preserve">Finance: </t>
    </r>
    <r>
      <rPr>
        <sz val="9"/>
        <rFont val="Arial"/>
        <family val="0"/>
        <charset val="1"/>
      </rPr>
      <t xml:space="preserve">Chief of Finance, Technology and Operations Sameer Madan (ex-Agilent country controllership) appointed Feb/Mar 2026 to build finance, reporting and governance frameworks as GCC scope expands.
</t>
    </r>
    <r>
      <rPr>
        <b val="true"/>
        <sz val="9"/>
        <rFont val="Arial"/>
        <family val="0"/>
        <charset val="1"/>
      </rPr>
      <t xml:space="preserve">Insurance Operations: </t>
    </r>
    <r>
      <rPr>
        <sz val="9"/>
        <rFont val="Arial"/>
        <family val="0"/>
        <charset val="1"/>
      </rPr>
      <t xml:space="preserve">Actuarial hub in Gurugram: capital modelling and regulatory reporting (Head of Capital) and a reserving team supporting UK, Ireland and Canada (current set-up).
</t>
    </r>
    <r>
      <rPr>
        <i val="true"/>
        <sz val="8"/>
        <color rgb="FF7F6000"/>
        <rFont val="Arial"/>
        <family val="0"/>
        <charset val="1"/>
      </rPr>
      <t xml:space="preserve">Note: Rebranded from RSA India to Intact India Oct 2025</t>
    </r>
  </si>
  <si>
    <r>
      <rPr>
        <b val="true"/>
        <sz val="8"/>
        <rFont val="Arial"/>
        <family val="0"/>
        <charset val="1"/>
      </rPr>
      <t xml:space="preserve">Technology:
</t>
    </r>
    <r>
      <rPr>
        <u val="single"/>
        <sz val="8"/>
        <color rgb="FF0563C1"/>
        <rFont val="Arial"/>
        <family val="0"/>
        <charset val="1"/>
      </rPr>
      <t xml:space="preserve">https://www.intactinsurance.co.uk/india-branch/leadership
</t>
    </r>
    <r>
      <rPr>
        <b val="true"/>
        <sz val="8"/>
        <rFont val="Arial"/>
        <family val="0"/>
        <charset val="1"/>
      </rPr>
      <t xml:space="preserve">Finance:
</t>
    </r>
    <r>
      <rPr>
        <u val="single"/>
        <sz val="8"/>
        <color rgb="FF0563C1"/>
        <rFont val="Arial"/>
        <family val="0"/>
        <charset val="1"/>
      </rPr>
      <t xml:space="preserve">https://hrtoday.in/sameer-madan-joins-intact-india-as-chief-of-finance-technology-and-operations-for-india-gcc/
https://themainstream.co.in/intact-india-welcomes-sameer-madan/
</t>
    </r>
    <r>
      <rPr>
        <b val="true"/>
        <sz val="8"/>
        <rFont val="Arial"/>
        <family val="0"/>
        <charset val="1"/>
      </rPr>
      <t xml:space="preserve">Insurance Operations:
</t>
    </r>
    <r>
      <rPr>
        <u val="single"/>
        <sz val="8"/>
        <color rgb="FF0563C1"/>
        <rFont val="Arial"/>
        <family val="0"/>
        <charset val="1"/>
      </rPr>
      <t xml:space="preserve">https://www.intactinsurance.co.uk/india-branch/leadership</t>
    </r>
  </si>
  <si>
    <r>
      <rPr>
        <b val="true"/>
        <sz val="10"/>
        <rFont val="Arial"/>
        <family val="0"/>
        <charset val="1"/>
      </rPr>
      <t xml:space="preserve">Prudential Financial (PFI)
</t>
    </r>
    <r>
      <rPr>
        <sz val="8"/>
        <color rgb="FF595959"/>
        <rFont val="Arial"/>
        <family val="0"/>
        <charset val="1"/>
      </rPr>
      <t xml:space="preserve">Not disclosed (PFI Innovation Centre India)</t>
    </r>
  </si>
  <si>
    <t xml:space="preserve">Life insurance, retirement &amp; asset management</t>
  </si>
  <si>
    <t xml:space="preserve">Gurugram (2026)</t>
  </si>
  <si>
    <r>
      <rPr>
        <b val="true"/>
        <sz val="9"/>
        <color rgb="FF1F3864"/>
        <rFont val="Arial"/>
        <family val="0"/>
        <charset val="1"/>
      </rPr>
      <t xml:space="preserve">New innovation centre opened Sep 2026 (Gurugram)
</t>
    </r>
    <r>
      <rPr>
        <b val="true"/>
        <sz val="9"/>
        <rFont val="Arial"/>
        <family val="0"/>
        <charset val="1"/>
      </rPr>
      <t xml:space="preserve">Technology: </t>
    </r>
    <r>
      <rPr>
        <sz val="9"/>
        <rFont val="Arial"/>
        <family val="0"/>
        <charset val="1"/>
      </rPr>
      <t xml:space="preserve">PFI Innovation Centre India opened Sep 2026 in Gurugram Cyber City under Haryana's GCC policy, hiring for AI, enterprise security, technology and global transformation.
</t>
    </r>
    <r>
      <rPr>
        <i val="true"/>
        <sz val="8"/>
        <color rgb="FF7F6000"/>
        <rFont val="Arial"/>
        <family val="0"/>
        <charset val="1"/>
      </rPr>
      <t xml:space="preserve">Note: Opened Sep 2026; distinct from Prudential plc (UK) hub</t>
    </r>
  </si>
  <si>
    <r>
      <rPr>
        <b val="true"/>
        <sz val="8"/>
        <rFont val="Arial"/>
        <family val="0"/>
        <charset val="1"/>
      </rPr>
      <t xml:space="preserve">Technology:
</t>
    </r>
    <r>
      <rPr>
        <u val="single"/>
        <sz val="8"/>
        <color rgb="FF0563C1"/>
        <rFont val="Arial"/>
        <family val="0"/>
        <charset val="1"/>
      </rPr>
      <t xml:space="preserve">https://www.uniindia.com/business-economy/business-haryana-pfi-innovation-centre/188639
https://jobs.weekday.works/wkdyw7sa88</t>
    </r>
  </si>
  <si>
    <r>
      <rPr>
        <b val="true"/>
        <sz val="10"/>
        <rFont val="Arial"/>
        <family val="0"/>
        <charset val="1"/>
      </rPr>
      <t xml:space="preserve">Assurant
</t>
    </r>
    <r>
      <rPr>
        <sz val="8"/>
        <color rgb="FF595959"/>
        <rFont val="Arial"/>
        <family val="0"/>
        <charset val="1"/>
      </rPr>
      <t xml:space="preserve">Assurant Warranty Solutions (India) Private Limited</t>
    </r>
  </si>
  <si>
    <t xml:space="preserve">~537 (GPTW)</t>
  </si>
  <si>
    <t xml:space="preserve">Device, auto &amp; home protection insurance</t>
  </si>
  <si>
    <t xml:space="preserve">Chennai, Bengaluru, Mumbai, Hyderabad, Gurugram</t>
  </si>
  <si>
    <r>
      <rPr>
        <b val="true"/>
        <sz val="9"/>
        <color rgb="FF1F3864"/>
        <rFont val="Arial"/>
        <family val="0"/>
        <charset val="1"/>
      </rPr>
      <t xml:space="preserve">Remote-first technology, analytics and claims support hub
</t>
    </r>
    <r>
      <rPr>
        <b val="true"/>
        <sz val="9"/>
        <rFont val="Arial"/>
        <family val="0"/>
        <charset val="1"/>
      </rPr>
      <t xml:space="preserve">Technology: </t>
    </r>
    <r>
      <rPr>
        <sz val="9"/>
        <rFont val="Arial"/>
        <family val="0"/>
        <charset val="1"/>
      </rPr>
      <t xml:space="preserve">India GCC hiring data engineers for ML/AI and contact-centre/digital analytics (Hyderabad, Bengaluru) plus data scientists refreshing ML models (2026).
</t>
    </r>
    <r>
      <rPr>
        <b val="true"/>
        <sz val="9"/>
        <rFont val="Arial"/>
        <family val="0"/>
        <charset val="1"/>
      </rPr>
      <t xml:space="preserve">Finance: </t>
    </r>
    <r>
      <rPr>
        <sz val="9"/>
        <rFont val="Arial"/>
        <family val="0"/>
        <charset val="1"/>
      </rPr>
      <t xml:space="preserve">Finance staffed as an India GCC function alongside technology and operations; accounting/Power BI lead analyst roles advertised in Hyderabad (2025-26).
</t>
    </r>
    <r>
      <rPr>
        <b val="true"/>
        <sz val="9"/>
        <rFont val="Arial"/>
        <family val="0"/>
        <charset val="1"/>
      </rPr>
      <t xml:space="preserve">Insurance Operations: </t>
    </r>
    <r>
      <rPr>
        <sz val="9"/>
        <rFont val="Arial"/>
        <family val="0"/>
        <charset val="1"/>
      </rPr>
      <t xml:space="preserve">India GCC positioned as a talent hub with growing claims and actuarial-support roles extending global Assurant teams; Country Head Harini Kannan appointed Apr 2026.
</t>
    </r>
    <r>
      <rPr>
        <i val="true"/>
        <sz val="8"/>
        <color rgb="FF7F6000"/>
        <rFont val="Arial"/>
        <family val="0"/>
        <charset val="1"/>
      </rPr>
      <t xml:space="preserve">Note: Remote-first per GPTW; Country Head Harini Kannan appointed Apr 2026</t>
    </r>
  </si>
  <si>
    <r>
      <rPr>
        <b val="true"/>
        <sz val="8"/>
        <rFont val="Arial"/>
        <family val="0"/>
        <charset val="1"/>
      </rPr>
      <t xml:space="preserve">Technology:
</t>
    </r>
    <r>
      <rPr>
        <u val="single"/>
        <sz val="8"/>
        <color rgb="FF0563C1"/>
        <rFont val="Arial"/>
        <family val="0"/>
        <charset val="1"/>
      </rPr>
      <t xml:space="preserve">https://jobs.assurant.com/locations/india/
https://jobs.weekday.works/data-engineer-at-assurant-4405571676
</t>
    </r>
    <r>
      <rPr>
        <b val="true"/>
        <sz val="8"/>
        <rFont val="Arial"/>
        <family val="0"/>
        <charset val="1"/>
      </rPr>
      <t xml:space="preserve">Finance:
</t>
    </r>
    <r>
      <rPr>
        <u val="single"/>
        <sz val="8"/>
        <color rgb="FF0563C1"/>
        <rFont val="Arial"/>
        <family val="0"/>
        <charset val="1"/>
      </rPr>
      <t xml:space="preserve">https://jobs.assurant.com/locations/india/
</t>
    </r>
    <r>
      <rPr>
        <b val="true"/>
        <sz val="8"/>
        <rFont val="Arial"/>
        <family val="0"/>
        <charset val="1"/>
      </rPr>
      <t xml:space="preserve">Insurance Operations:
</t>
    </r>
    <r>
      <rPr>
        <u val="single"/>
        <sz val="8"/>
        <color rgb="FF0563C1"/>
        <rFont val="Arial"/>
        <family val="0"/>
        <charset val="1"/>
      </rPr>
      <t xml:space="preserve">https://jobs.assurant.com/en/india-build-your-future-in-a-technology-forward-workplace/
https://hrtoday.in/harini-kannan-appointed-as-country-head-india-at-assurant/</t>
    </r>
  </si>
  <si>
    <r>
      <rPr>
        <b val="true"/>
        <sz val="10"/>
        <rFont val="Arial"/>
        <family val="0"/>
        <charset val="1"/>
      </rPr>
      <t xml:space="preserve">Nationwide
</t>
    </r>
    <r>
      <rPr>
        <sz val="8"/>
        <color rgb="FF595959"/>
        <rFont val="Arial"/>
        <family val="0"/>
        <charset val="1"/>
      </rPr>
      <t xml:space="preserve">Nationwide Global Services Center Private Limited</t>
    </r>
  </si>
  <si>
    <t xml:space="preserve">~60 at launch (Jul 2026; target 100+)</t>
  </si>
  <si>
    <t xml:space="preserve">P&amp;C insurance &amp; financial services</t>
  </si>
  <si>
    <r>
      <rPr>
        <b val="true"/>
        <sz val="9"/>
        <color rgb="FF1F3864"/>
        <rFont val="Arial"/>
        <family val="0"/>
        <charset val="1"/>
      </rPr>
      <t xml:space="preserve">New engineering and digital GCC (Hyderabad)
</t>
    </r>
    <r>
      <rPr>
        <b val="true"/>
        <sz val="9"/>
        <rFont val="Arial"/>
        <family val="0"/>
        <charset val="1"/>
      </rPr>
      <t xml:space="preserve">Technology: </t>
    </r>
    <r>
      <rPr>
        <sz val="9"/>
        <rFont val="Arial"/>
        <family val="0"/>
        <charset val="1"/>
      </rPr>
      <t xml:space="preserve">Hyderabad GCC opened Jul 2026 (~60 staff, target 100+) as Nationwide's first non-US campus: engineering, digital platforms, cloud, data/AI and cybersecurity in a 24/7 model.
</t>
    </r>
    <r>
      <rPr>
        <i val="true"/>
        <sz val="8"/>
        <color rgb="FF7F6000"/>
        <rFont val="Arial"/>
        <family val="0"/>
        <charset val="1"/>
      </rPr>
      <t xml:space="preserve">Note: Opened Jul 2026; first Nationwide campus outside the US</t>
    </r>
  </si>
  <si>
    <r>
      <rPr>
        <b val="true"/>
        <sz val="8"/>
        <rFont val="Arial"/>
        <family val="0"/>
        <charset val="1"/>
      </rPr>
      <t xml:space="preserve">Technology:
</t>
    </r>
    <r>
      <rPr>
        <u val="single"/>
        <sz val="8"/>
        <color rgb="FF0563C1"/>
        <rFont val="Arial"/>
        <family val="0"/>
        <charset val="1"/>
      </rPr>
      <t xml:space="preserve">https://www.uniindia.com/nationwide-opens-first-international-campus-in-hyderabad-to-expand-global-operations/business-economy/news/3902972.html
https://telanganatoday.com/us-insurance-giant-nationwide-opens-global-services-centre-in-hyderabad</t>
    </r>
  </si>
  <si>
    <r>
      <rPr>
        <b val="true"/>
        <sz val="10"/>
        <rFont val="Arial"/>
        <family val="0"/>
        <charset val="1"/>
      </rPr>
      <t xml:space="preserve">Genworth Financial
</t>
    </r>
    <r>
      <rPr>
        <sz val="8"/>
        <color rgb="FF595959"/>
        <rFont val="Arial"/>
        <family val="0"/>
        <charset val="1"/>
      </rPr>
      <t xml:space="preserve">Genworth Financial India Private Limited</t>
    </r>
  </si>
  <si>
    <t xml:space="preserve">Long-term care insurance</t>
  </si>
  <si>
    <r>
      <rPr>
        <b val="true"/>
        <sz val="9"/>
        <color rgb="FF1F3864"/>
        <rFont val="Arial"/>
        <family val="0"/>
        <charset val="1"/>
      </rPr>
      <t xml:space="preserve">Low-profile captive; entity-level finance only
</t>
    </r>
    <r>
      <rPr>
        <b val="true"/>
        <sz val="9"/>
        <rFont val="Arial"/>
        <family val="0"/>
        <charset val="1"/>
      </rPr>
      <t xml:space="preserve">Finance: </t>
    </r>
    <r>
      <rPr>
        <sz val="9"/>
        <rFont val="Arial"/>
        <family val="0"/>
        <charset val="1"/>
      </rPr>
      <t xml:space="preserve">Finance Lead hired 2025-26 in Gurugram to run the India entity's own accounting and monthly/annual close under India and US GAAP, not a group shared service.
</t>
    </r>
    <r>
      <rPr>
        <i val="true"/>
        <sz val="8"/>
        <color rgb="FF7F6000"/>
        <rFont val="Arial"/>
        <family val="0"/>
        <charset val="1"/>
      </rPr>
      <t xml:space="preserve">Note: Weak public footprint; finance roles cover India entity's own books only</t>
    </r>
  </si>
  <si>
    <r>
      <rPr>
        <b val="true"/>
        <sz val="8"/>
        <rFont val="Arial"/>
        <family val="0"/>
        <charset val="1"/>
      </rPr>
      <t xml:space="preserve">Finance:
</t>
    </r>
    <r>
      <rPr>
        <u val="single"/>
        <sz val="8"/>
        <color rgb="FF0563C1"/>
        <rFont val="Arial"/>
        <family val="0"/>
        <charset val="1"/>
      </rPr>
      <t xml:space="preserve">https://builtin.com/job/finance-lead/3082704</t>
    </r>
  </si>
  <si>
    <r>
      <rPr>
        <b val="true"/>
        <sz val="10"/>
        <rFont val="Arial"/>
        <family val="0"/>
        <charset val="1"/>
      </rPr>
      <t xml:space="preserve">Voya Financial
</t>
    </r>
    <r>
      <rPr>
        <sz val="8"/>
        <color rgb="FF595959"/>
        <rFont val="Arial"/>
        <family val="0"/>
        <charset val="1"/>
      </rPr>
      <t xml:space="preserve">Voya Global Services Private Limited (Voya India)</t>
    </r>
  </si>
  <si>
    <t xml:space="preserve">~3,000+ (Jun 2026)</t>
  </si>
  <si>
    <t xml:space="preserve">Retirement, benefits &amp; investment management</t>
  </si>
  <si>
    <t xml:space="preserve">Captive via acquisition (SLK Software JV stake, 2023)</t>
  </si>
  <si>
    <t xml:space="preserve">Bengaluru, Hyderabad (2026)</t>
  </si>
  <si>
    <r>
      <rPr>
        <b val="true"/>
        <sz val="9"/>
        <color rgb="FF1F3864"/>
        <rFont val="Arial"/>
        <family val="0"/>
        <charset val="1"/>
      </rPr>
      <t xml:space="preserve">Technology and operations hub, new Hyderabad GCC
</t>
    </r>
    <r>
      <rPr>
        <b val="true"/>
        <sz val="9"/>
        <rFont val="Arial"/>
        <family val="0"/>
        <charset val="1"/>
      </rPr>
      <t xml:space="preserve">Technology: </t>
    </r>
    <r>
      <rPr>
        <sz val="9"/>
        <rFont val="Arial"/>
        <family val="0"/>
        <charset val="1"/>
      </rPr>
      <t xml:space="preserve">Second GCC opened in Hyderabad Jun 2026 taking India past 3,000 staff: technology, engineering, automation, analytics and GenAI application development for Health, Wealth and Investment Management.
</t>
    </r>
    <r>
      <rPr>
        <b val="true"/>
        <sz val="9"/>
        <rFont val="Arial"/>
        <family val="0"/>
        <charset val="1"/>
      </rPr>
      <t xml:space="preserve">Insurance Operations: </t>
    </r>
    <r>
      <rPr>
        <sz val="9"/>
        <rFont val="Arial"/>
        <family val="0"/>
        <charset val="1"/>
      </rPr>
      <t xml:space="preserve">Business-process management for Voya's Retirement, Employee Benefits and Investment Management businesses delivered from Bengaluru and Hyderabad.
</t>
    </r>
    <r>
      <rPr>
        <b val="true"/>
        <sz val="9"/>
        <rFont val="Arial"/>
        <family val="0"/>
        <charset val="1"/>
      </rPr>
      <t xml:space="preserve">Internal Audit (SOX/ICFR): </t>
    </r>
    <r>
      <rPr>
        <sz val="9"/>
        <rFont val="Arial"/>
        <family val="0"/>
        <charset val="1"/>
      </rPr>
      <t xml:space="preserve">SOX compliance team in Bengaluru (2026 hiring) performs test of design/effectiveness, maintains RCMs, narratives and workpapers, and tracks remediation with Finance and Audit.</t>
    </r>
  </si>
  <si>
    <r>
      <rPr>
        <b val="true"/>
        <sz val="8"/>
        <rFont val="Arial"/>
        <family val="0"/>
        <charset val="1"/>
      </rPr>
      <t xml:space="preserve">Technology:
</t>
    </r>
    <r>
      <rPr>
        <u val="single"/>
        <sz val="8"/>
        <color rgb="FF0563C1"/>
        <rFont val="Arial"/>
        <family val="0"/>
        <charset val="1"/>
      </rPr>
      <t xml:space="preserve">https://gcc.economictimes.indiatimes.com/news/workplace-transformation/voya-financial-expands-presence-with-new-global-capability-center-in-hyderabad/131633042
https://www.instahyre.com/job-332378-gen-ai-app-developer-at-voya-india-bangalore/
</t>
    </r>
    <r>
      <rPr>
        <b val="true"/>
        <sz val="8"/>
        <rFont val="Arial"/>
        <family val="0"/>
        <charset val="1"/>
      </rPr>
      <t xml:space="preserve">Insurance Operations:
</t>
    </r>
    <r>
      <rPr>
        <u val="single"/>
        <sz val="8"/>
        <color rgb="FF0563C1"/>
        <rFont val="Arial"/>
        <family val="0"/>
        <charset val="1"/>
      </rPr>
      <t xml:space="preserve">https://www.greatplacetowork.in/great/company/vfi-slk-global-sevices
</t>
    </r>
    <r>
      <rPr>
        <b val="true"/>
        <sz val="8"/>
        <rFont val="Arial"/>
        <family val="0"/>
        <charset val="1"/>
      </rPr>
      <t xml:space="preserve">Internal Audit:
</t>
    </r>
    <r>
      <rPr>
        <u val="single"/>
        <sz val="8"/>
        <color rgb="FF0563C1"/>
        <rFont val="Arial"/>
        <family val="0"/>
        <charset val="1"/>
      </rPr>
      <t xml:space="preserve">https://joinsaarthi.com/jobs/voya-financial/senior-associate-36367-bengaluru/5d4252df-6baa-49ac-89c2-13d092fefa5e
https://accajobs.quintedge.com/jobs/sox-compliance-analyst-voya-india-7qbke6</t>
    </r>
  </si>
  <si>
    <r>
      <rPr>
        <b val="true"/>
        <sz val="10"/>
        <rFont val="Arial"/>
        <family val="0"/>
        <charset val="1"/>
      </rPr>
      <t xml:space="preserve">Fidelity National Financial (FNF)
</t>
    </r>
    <r>
      <rPr>
        <sz val="8"/>
        <color rgb="FF595959"/>
        <rFont val="Arial"/>
        <family val="0"/>
        <charset val="1"/>
      </rPr>
      <t xml:space="preserve">FNF India Private Limited</t>
    </r>
  </si>
  <si>
    <r>
      <rPr>
        <b val="true"/>
        <sz val="9"/>
        <color rgb="FF1F3864"/>
        <rFont val="Arial"/>
        <family val="0"/>
        <charset val="1"/>
      </rPr>
      <t xml:space="preserve">US title-search and examination captive
</t>
    </r>
    <r>
      <rPr>
        <b val="true"/>
        <sz val="9"/>
        <rFont val="Arial"/>
        <family val="0"/>
        <charset val="1"/>
      </rPr>
      <t xml:space="preserve">Technology: </t>
    </r>
    <r>
      <rPr>
        <sz val="9"/>
        <rFont val="Arial"/>
        <family val="0"/>
        <charset val="1"/>
      </rPr>
      <t xml:space="preserve">~4,000-strong Bengaluru captive delivers technology services alongside business services for FNF companies, operating under ISO 27001:2022 and SOC 2 Type 2 security controls.
</t>
    </r>
    <r>
      <rPr>
        <b val="true"/>
        <sz val="9"/>
        <rFont val="Arial"/>
        <family val="0"/>
        <charset val="1"/>
      </rPr>
      <t xml:space="preserve">Insurance Operations: </t>
    </r>
    <r>
      <rPr>
        <sz val="9"/>
        <rFont val="Arial"/>
        <family val="0"/>
        <charset val="1"/>
      </rPr>
      <t xml:space="preserve">Continued scaling of US title-search and examination operations: Aug 2026 walk-in drive for Title Searchers/Examiners plus ongoing Title Specialist hiring in Bengaluru.
</t>
    </r>
    <r>
      <rPr>
        <i val="true"/>
        <sz val="8"/>
        <color rgb="FF7F6000"/>
        <rFont val="Arial"/>
        <family val="0"/>
        <charset val="1"/>
      </rPr>
      <t xml:space="preserve">Note: Services since 2005; entity incorporated 2007</t>
    </r>
  </si>
  <si>
    <r>
      <rPr>
        <b val="true"/>
        <sz val="8"/>
        <rFont val="Arial"/>
        <family val="0"/>
        <charset val="1"/>
      </rPr>
      <t xml:space="preserve">Technology:
</t>
    </r>
    <r>
      <rPr>
        <u val="single"/>
        <sz val="8"/>
        <color rgb="FF0563C1"/>
        <rFont val="Arial"/>
        <family val="0"/>
        <charset val="1"/>
      </rPr>
      <t xml:space="preserve">https://www.greatplacetowork.in/great/company/fnf-india-private-limited
</t>
    </r>
    <r>
      <rPr>
        <b val="true"/>
        <sz val="8"/>
        <rFont val="Arial"/>
        <family val="0"/>
        <charset val="1"/>
      </rPr>
      <t xml:space="preserve">Insurance Operations:
</t>
    </r>
    <r>
      <rPr>
        <u val="single"/>
        <sz val="8"/>
        <color rgb="FF0563C1"/>
        <rFont val="Arial"/>
        <family val="0"/>
        <charset val="1"/>
      </rPr>
      <t xml:space="preserve">https://jobs.weekday.works/walk-ins-at-fnfi-full-search-current-owner-two-owner-searchers-at-fnf-india-private-limited-wkdye0djwi
https://www.greatplacetowork.in/great/company/fnf-india-private-limited</t>
    </r>
  </si>
  <si>
    <t xml:space="preserve">B. Reinsurance branches and broking entities</t>
  </si>
  <si>
    <r>
      <rPr>
        <b val="true"/>
        <sz val="10"/>
        <rFont val="Arial"/>
        <family val="0"/>
        <charset val="1"/>
      </rPr>
      <t xml:space="preserve">AXA XL
</t>
    </r>
    <r>
      <rPr>
        <sz val="8"/>
        <color rgb="FF595959"/>
        <rFont val="Arial"/>
        <family val="0"/>
        <charset val="1"/>
      </rPr>
      <t xml:space="preserve">XL Insurance Company SE - India Reinsurance Branch</t>
    </r>
  </si>
  <si>
    <t xml:space="preserve">~15 (FY26 NL-41 filing; 4 in Sep 2024)</t>
  </si>
  <si>
    <r>
      <rPr>
        <b val="true"/>
        <sz val="9"/>
        <color rgb="FF1F3864"/>
        <rFont val="Arial"/>
        <family val="0"/>
        <charset val="1"/>
      </rPr>
      <t xml:space="preserve">Facultative reinsurance underwriting branch (Mumbai)
</t>
    </r>
    <r>
      <rPr>
        <b val="true"/>
        <sz val="9"/>
        <rFont val="Arial"/>
        <family val="0"/>
        <charset val="1"/>
      </rPr>
      <t xml:space="preserve">Insurance Operations: </t>
    </r>
    <r>
      <rPr>
        <sz val="9"/>
        <rFont val="Arial"/>
        <family val="0"/>
        <charset val="1"/>
      </rPr>
      <t xml:space="preserve">Mumbai branch rebuilt its local team in 2025: new CEO Alok Shukla Apr 2025, CUO plus property/energy/construction, cyber/casualty underwriters and a claims specialist May 2025.
</t>
    </r>
    <r>
      <rPr>
        <i val="true"/>
        <sz val="8"/>
        <color rgb="FF7F6000"/>
        <rFont val="Arial"/>
        <family val="0"/>
        <charset val="1"/>
      </rPr>
      <t xml:space="preserve">Note: Duplicate of row 57; not a GCC</t>
    </r>
  </si>
  <si>
    <r>
      <rPr>
        <b val="true"/>
        <sz val="8"/>
        <rFont val="Arial"/>
        <family val="0"/>
        <charset val="1"/>
      </rPr>
      <t xml:space="preserve">Insurance Operations:
</t>
    </r>
    <r>
      <rPr>
        <u val="single"/>
        <sz val="8"/>
        <color rgb="FF0563C1"/>
        <rFont val="Arial"/>
        <family val="0"/>
        <charset val="1"/>
      </rPr>
      <t xml:space="preserve">https://axaxl.com/press-releases/axa-xl-strengthens-team-in-india-with-key-appointments
https://www.reinsurancene.ws/alok-shukla-named-ceo-of-xl-insurance-india-reinsurance-branch/</t>
    </r>
  </si>
  <si>
    <r>
      <rPr>
        <b val="true"/>
        <sz val="10"/>
        <rFont val="Arial"/>
        <family val="0"/>
        <charset val="1"/>
      </rPr>
      <t xml:space="preserve">Empower
</t>
    </r>
    <r>
      <rPr>
        <sz val="8"/>
        <color rgb="FF595959"/>
        <rFont val="Arial"/>
        <family val="0"/>
        <charset val="1"/>
      </rPr>
      <t xml:space="preserve">Empower Global Business Services India Private Limited</t>
    </r>
  </si>
  <si>
    <t xml:space="preserve">~705 (Revelio Labs, Dec 2025)</t>
  </si>
  <si>
    <t xml:space="preserve">Retirement recordkeeping (Empower)</t>
  </si>
  <si>
    <r>
      <rPr>
        <b val="true"/>
        <sz val="9"/>
        <color rgb="FF1F3864"/>
        <rFont val="Arial"/>
        <family val="0"/>
        <charset val="1"/>
      </rPr>
      <t xml:space="preserve">Retirement recordkeeping operations and technology GCC
</t>
    </r>
    <r>
      <rPr>
        <b val="true"/>
        <sz val="9"/>
        <rFont val="Arial"/>
        <family val="0"/>
        <charset val="1"/>
      </rPr>
      <t xml:space="preserve">Technology: </t>
    </r>
    <r>
      <rPr>
        <sz val="9"/>
        <rFont val="Arial"/>
        <family val="0"/>
        <charset val="1"/>
      </rPr>
      <t xml:space="preserve">Bengaluru centre develops technology and provides 24x7 technology support, business analytics and data science for Empower and Putnam Investments.
</t>
    </r>
    <r>
      <rPr>
        <b val="true"/>
        <sz val="9"/>
        <rFont val="Arial"/>
        <family val="0"/>
        <charset val="1"/>
      </rPr>
      <t xml:space="preserve">Finance: </t>
    </r>
    <r>
      <rPr>
        <sz val="9"/>
        <rFont val="Arial"/>
        <family val="0"/>
        <charset val="1"/>
      </rPr>
      <t xml:space="preserve">Finance functions housed in Bengaluru: financial reporting and reporting-analytics positions plus live Payroll Analyst hiring.
</t>
    </r>
    <r>
      <rPr>
        <b val="true"/>
        <sz val="9"/>
        <rFont val="Arial"/>
        <family val="0"/>
        <charset val="1"/>
      </rPr>
      <t xml:space="preserve">Insurance Operations: </t>
    </r>
    <r>
      <rPr>
        <sz val="9"/>
        <rFont val="Arial"/>
        <family val="0"/>
        <charset val="1"/>
      </rPr>
      <t xml:space="preserve">Expanding US 401(k) recordkeeping operations from Bengaluru: participant transaction processing, customer service and client service management roles (2025-26).
</t>
    </r>
    <r>
      <rPr>
        <i val="true"/>
        <sz val="8"/>
        <color rgb="FF7F6000"/>
        <rFont val="Arial"/>
        <family val="0"/>
        <charset val="1"/>
      </rPr>
      <t xml:space="preserve">Note: Misfiled under reinsurance; FY25 revenue ~Rs 753 crore</t>
    </r>
  </si>
  <si>
    <r>
      <rPr>
        <b val="true"/>
        <sz val="8"/>
        <rFont val="Arial"/>
        <family val="0"/>
        <charset val="1"/>
      </rPr>
      <t xml:space="preserve">Technology:
</t>
    </r>
    <r>
      <rPr>
        <u val="single"/>
        <sz val="8"/>
        <color rgb="FF0563C1"/>
        <rFont val="Arial"/>
        <family val="0"/>
        <charset val="1"/>
      </rPr>
      <t xml:space="preserve">https://jobs.empower.com/india
</t>
    </r>
    <r>
      <rPr>
        <b val="true"/>
        <sz val="8"/>
        <rFont val="Arial"/>
        <family val="0"/>
        <charset val="1"/>
      </rPr>
      <t xml:space="preserve">Finance:
</t>
    </r>
    <r>
      <rPr>
        <u val="single"/>
        <sz val="8"/>
        <color rgb="FF0563C1"/>
        <rFont val="Arial"/>
        <family val="0"/>
        <charset val="1"/>
      </rPr>
      <t xml:space="preserve">https://jobs.empower.com/india
</t>
    </r>
    <r>
      <rPr>
        <b val="true"/>
        <sz val="8"/>
        <rFont val="Arial"/>
        <family val="0"/>
        <charset val="1"/>
      </rPr>
      <t xml:space="preserve">Insurance Operations:
</t>
    </r>
    <r>
      <rPr>
        <u val="single"/>
        <sz val="8"/>
        <color rgb="FF0563C1"/>
        <rFont val="Arial"/>
        <family val="0"/>
        <charset val="1"/>
      </rPr>
      <t xml:space="preserve">https://jobs.haceonline.org/job/specialist-processing-participant-transaction/83839144/
https://jobs.empower.com/india</t>
    </r>
  </si>
  <si>
    <r>
      <rPr>
        <b val="true"/>
        <sz val="10"/>
        <rFont val="Arial"/>
        <family val="0"/>
        <charset val="1"/>
      </rPr>
      <t xml:space="preserve">Gen Re
</t>
    </r>
    <r>
      <rPr>
        <sz val="8"/>
        <color rgb="FF595959"/>
        <rFont val="Arial"/>
        <family val="0"/>
        <charset val="1"/>
      </rPr>
      <t xml:space="preserve">General Reinsurance AG - India Branch</t>
    </r>
  </si>
  <si>
    <r>
      <rPr>
        <b val="true"/>
        <sz val="9"/>
        <color rgb="FF1F3864"/>
        <rFont val="Arial"/>
        <family val="0"/>
        <charset val="1"/>
      </rPr>
      <t xml:space="preserve">Life and health reinsurance branch (Mumbai)
</t>
    </r>
    <r>
      <rPr>
        <b val="true"/>
        <sz val="9"/>
        <rFont val="Arial"/>
        <family val="0"/>
        <charset val="1"/>
      </rPr>
      <t xml:space="preserve">Insurance Operations: </t>
    </r>
    <r>
      <rPr>
        <sz val="9"/>
        <rFont val="Arial"/>
        <family val="0"/>
        <charset val="1"/>
      </rPr>
      <t xml:space="preserve">IRDAI-licensed Mumbai branch under CEO Vijay Mudaliar writes life &amp; health reinsurance with P&amp;C alongside; its L&amp;H actuarial bench was tapped by Aon in Jan 2025.
</t>
    </r>
    <r>
      <rPr>
        <i val="true"/>
        <sz val="8"/>
        <color rgb="FF7F6000"/>
        <rFont val="Arial"/>
        <family val="0"/>
        <charset val="1"/>
      </rPr>
      <t xml:space="preserve">Note: Low news flow; not a GCC</t>
    </r>
  </si>
  <si>
    <r>
      <rPr>
        <b val="true"/>
        <sz val="8"/>
        <rFont val="Arial"/>
        <family val="0"/>
        <charset val="1"/>
      </rPr>
      <t xml:space="preserve">Insurance Operations:
</t>
    </r>
    <r>
      <rPr>
        <u val="single"/>
        <sz val="8"/>
        <color rgb="FF0563C1"/>
        <rFont val="Arial"/>
        <family val="0"/>
        <charset val="1"/>
      </rPr>
      <t xml:space="preserve">https://esi.in/finance/insurance/reinsurer-branches/general-reinsurance-ag-india-branch/
https://www.intelligentinsurer.com/aon-recruits-gen-re-actuary-to-strengthen-new-landh-practice-in-india</t>
    </r>
  </si>
  <si>
    <r>
      <rPr>
        <b val="true"/>
        <sz val="10"/>
        <rFont val="Arial"/>
        <family val="0"/>
        <charset val="1"/>
      </rPr>
      <t xml:space="preserve">Lloyd's
</t>
    </r>
    <r>
      <rPr>
        <sz val="8"/>
        <color rgb="FF595959"/>
        <rFont val="Arial"/>
        <family val="0"/>
        <charset val="1"/>
      </rPr>
      <t xml:space="preserve">Lloyd's India Reinsurance Branch</t>
    </r>
  </si>
  <si>
    <t xml:space="preserve">Reinsurance platform (IRDAI branch &amp; GIFT City)</t>
  </si>
  <si>
    <t xml:space="preserve">Regulated branch (IRDAI); IFSC Insurance Office (IFSCA, GIFT City)</t>
  </si>
  <si>
    <t xml:space="preserve">Mumbai, GIFT City, Gandhinagar (2026)</t>
  </si>
  <si>
    <r>
      <rPr>
        <b val="true"/>
        <sz val="9"/>
        <color rgb="FF1F3864"/>
        <rFont val="Arial"/>
        <family val="0"/>
        <charset val="1"/>
      </rPr>
      <t xml:space="preserve">Reinsurance platform: Mumbai branch and GIFT City
</t>
    </r>
    <r>
      <rPr>
        <b val="true"/>
        <sz val="9"/>
        <rFont val="Arial"/>
        <family val="0"/>
        <charset val="1"/>
      </rPr>
      <t xml:space="preserve">Insurance Operations: </t>
    </r>
    <r>
      <rPr>
        <sz val="9"/>
        <rFont val="Arial"/>
        <family val="0"/>
        <charset val="1"/>
      </rPr>
      <t xml:space="preserve">GIFT City authorisation Mar 2026 with first syndicate (Niyam 2047) underwriting from Apr 2026; ICICI Lombard local-partner deal Jun 2026 issuing local policies across 13 lines.
</t>
    </r>
    <r>
      <rPr>
        <i val="true"/>
        <sz val="8"/>
        <color rgb="FF7F6000"/>
        <rFont val="Arial"/>
        <family val="0"/>
        <charset val="1"/>
      </rPr>
      <t xml:space="preserve">Note: Syndicate staff sit in their own service companies; not a GCC</t>
    </r>
  </si>
  <si>
    <r>
      <rPr>
        <b val="true"/>
        <sz val="8"/>
        <rFont val="Arial"/>
        <family val="0"/>
        <charset val="1"/>
      </rPr>
      <t xml:space="preserve">Insurance Operations:
</t>
    </r>
    <r>
      <rPr>
        <u val="single"/>
        <sz val="8"/>
        <color rgb="FF0563C1"/>
        <rFont val="Arial"/>
        <family val="0"/>
        <charset val="1"/>
      </rPr>
      <t xml:space="preserve">https://www.lloyds.com/insights/news/new-local-partner-in-India
https://www.insurancebusinessmag.com/asia/news/breaking-news/lloyds-follows-partnerre-into-india-reinsurance-hub-570097.aspx</t>
    </r>
  </si>
  <si>
    <r>
      <rPr>
        <b val="true"/>
        <sz val="10"/>
        <rFont val="Arial"/>
        <family val="0"/>
        <charset val="1"/>
      </rPr>
      <t xml:space="preserve">Munich Re
</t>
    </r>
    <r>
      <rPr>
        <sz val="8"/>
        <color rgb="FF595959"/>
        <rFont val="Arial"/>
        <family val="0"/>
        <charset val="1"/>
      </rPr>
      <t xml:space="preserve">Munich Reinsurance Company - India Branch</t>
    </r>
  </si>
  <si>
    <t xml:space="preserve">~144 (FY25 NL-41 filing, not re-verified)</t>
  </si>
  <si>
    <r>
      <rPr>
        <b val="true"/>
        <sz val="9"/>
        <color rgb="FF1F3864"/>
        <rFont val="Arial"/>
        <family val="0"/>
        <charset val="1"/>
      </rPr>
      <t xml:space="preserve">P&amp;C and L&amp;H reinsurance branch (Mumbai)
</t>
    </r>
    <r>
      <rPr>
        <b val="true"/>
        <sz val="9"/>
        <rFont val="Arial"/>
        <family val="0"/>
        <charset val="1"/>
      </rPr>
      <t xml:space="preserve">Insurance Operations: </t>
    </r>
    <r>
      <rPr>
        <sz val="9"/>
        <rFont val="Arial"/>
        <family val="0"/>
        <charset val="1"/>
      </rPr>
      <t xml:space="preserve">Mumbai P&amp;C reinsurance branch under CEO Surbhi Goel since Oct 2024; reinsured India's first parametric pandemic business-interruption cover Oct 2025; head of underwriting lost to AXA XL 2025.
</t>
    </r>
    <r>
      <rPr>
        <i val="true"/>
        <sz val="8"/>
        <color rgb="FF7F6000"/>
        <rFont val="Arial"/>
        <family val="0"/>
        <charset val="1"/>
      </rPr>
      <t xml:space="preserve">Note: Not a GCC; ERGO T&amp;S India is a separate entity</t>
    </r>
  </si>
  <si>
    <r>
      <rPr>
        <b val="true"/>
        <sz val="8"/>
        <rFont val="Arial"/>
        <family val="0"/>
        <charset val="1"/>
      </rPr>
      <t xml:space="preserve">Insurance Operations:
</t>
    </r>
    <r>
      <rPr>
        <u val="single"/>
        <sz val="8"/>
        <color rgb="FF0563C1"/>
        <rFont val="Arial"/>
        <family val="0"/>
        <charset val="1"/>
      </rPr>
      <t xml:space="preserve">https://www.munichre.com/en/company/media-relations/media-information-and-corporate-news/media-information/2024/media-release-2024-04-18.html
https://www.reinsurancene.ws/gallagher-creates-india-parametric-pandemic-policy-reinsured-by-munich-re/</t>
    </r>
  </si>
  <si>
    <r>
      <rPr>
        <b val="true"/>
        <sz val="10"/>
        <rFont val="Arial"/>
        <family val="0"/>
        <charset val="1"/>
      </rPr>
      <t xml:space="preserve">RGA
</t>
    </r>
    <r>
      <rPr>
        <sz val="8"/>
        <color rgb="FF595959"/>
        <rFont val="Arial"/>
        <family val="0"/>
        <charset val="1"/>
      </rPr>
      <t xml:space="preserve">RGA Reinsurance Company - India Branch</t>
    </r>
  </si>
  <si>
    <t xml:space="preserve">Life &amp; health reinsurance (IRDAI branch)</t>
  </si>
  <si>
    <r>
      <rPr>
        <b val="true"/>
        <sz val="9"/>
        <color rgb="FF1F3864"/>
        <rFont val="Arial"/>
        <family val="0"/>
        <charset val="1"/>
      </rPr>
      <t xml:space="preserve">Life and health reinsurance branch (Mumbai)
</t>
    </r>
    <r>
      <rPr>
        <b val="true"/>
        <sz val="9"/>
        <rFont val="Arial"/>
        <family val="0"/>
        <charset val="1"/>
      </rPr>
      <t xml:space="preserve">Insurance Operations: </t>
    </r>
    <r>
      <rPr>
        <sz val="9"/>
        <rFont val="Arial"/>
        <family val="0"/>
        <charset val="1"/>
      </rPr>
      <t xml:space="preserve">IRDAI-licensed branch writes individual life, health/critical illness and credit-life reinsurance with capital/risk solutions and bancassurance support; actuary Sunil Sharma CEO since 2024.
</t>
    </r>
    <r>
      <rPr>
        <i val="true"/>
        <sz val="8"/>
        <color rgb="FF7F6000"/>
        <rFont val="Arial"/>
        <family val="0"/>
        <charset val="1"/>
      </rPr>
      <t xml:space="preserve">Note: Sheet's '~200 staff' rests on Internshala only; not a GCC</t>
    </r>
  </si>
  <si>
    <r>
      <rPr>
        <b val="true"/>
        <sz val="8"/>
        <rFont val="Arial"/>
        <family val="0"/>
        <charset val="1"/>
      </rPr>
      <t xml:space="preserve">Insurance Operations:
</t>
    </r>
    <r>
      <rPr>
        <u val="single"/>
        <sz val="8"/>
        <color rgb="FF0563C1"/>
        <rFont val="Arial"/>
        <family val="0"/>
        <charset val="1"/>
      </rPr>
      <t xml:space="preserve">https://www.rgare.com/global-presence/asia-pacific/india
https://www.rgare.com/our-company/people/detail/sunil-sharma</t>
    </r>
  </si>
  <si>
    <r>
      <rPr>
        <b val="true"/>
        <sz val="10"/>
        <rFont val="Arial"/>
        <family val="0"/>
        <charset val="1"/>
      </rPr>
      <t xml:space="preserve">SCOR
</t>
    </r>
    <r>
      <rPr>
        <sz val="8"/>
        <color rgb="FF595959"/>
        <rFont val="Arial"/>
        <family val="0"/>
        <charset val="1"/>
      </rPr>
      <t xml:space="preserve">SCOR SE - India Branch</t>
    </r>
  </si>
  <si>
    <t xml:space="preserve">~30 (2022)</t>
  </si>
  <si>
    <r>
      <rPr>
        <b val="true"/>
        <sz val="9"/>
        <color rgb="FF1F3864"/>
        <rFont val="Arial"/>
        <family val="0"/>
        <charset val="1"/>
      </rPr>
      <t xml:space="preserve">Composite life and P&amp;C reinsurance branch (Mumbai)
</t>
    </r>
    <r>
      <rPr>
        <b val="true"/>
        <sz val="9"/>
        <rFont val="Arial"/>
        <family val="0"/>
        <charset val="1"/>
      </rPr>
      <t xml:space="preserve">Finance: </t>
    </r>
    <r>
      <rPr>
        <sz val="9"/>
        <rFont val="Arial"/>
        <family val="0"/>
        <charset val="1"/>
      </rPr>
      <t xml:space="preserve">Local CFO/Head of Finance Mayank Tandon runs branch finance governance, regulatory reporting and financial management in Mumbai; small branch-level finance only.
</t>
    </r>
    <r>
      <rPr>
        <b val="true"/>
        <sz val="9"/>
        <rFont val="Arial"/>
        <family val="0"/>
        <charset val="1"/>
      </rPr>
      <t xml:space="preserve">Insurance Operations: </t>
    </r>
    <r>
      <rPr>
        <sz val="9"/>
        <rFont val="Arial"/>
        <family val="0"/>
        <charset val="1"/>
      </rPr>
      <t xml:space="preserve">IRDAI-approved composite branch writing Life and P&amp;C reinsurance from Mumbai since Apr 2017, developing specialty agriculture and credit covers with Indian clients.
</t>
    </r>
    <r>
      <rPr>
        <i val="true"/>
        <sz val="8"/>
        <color rgb="FF7F6000"/>
        <rFont val="Arial"/>
        <family val="0"/>
        <charset val="1"/>
      </rPr>
      <t xml:space="preserve">Note: Headcount from Dec 2022 filing; very low 2024-26 news flow</t>
    </r>
  </si>
  <si>
    <r>
      <rPr>
        <b val="true"/>
        <sz val="8"/>
        <rFont val="Arial"/>
        <family val="0"/>
        <charset val="1"/>
      </rPr>
      <t xml:space="preserve">Finance:
</t>
    </r>
    <r>
      <rPr>
        <u val="single"/>
        <sz val="8"/>
        <color rgb="FF0563C1"/>
        <rFont val="Arial"/>
        <family val="0"/>
        <charset val="1"/>
      </rPr>
      <t xml:space="preserve">https://www.scor.com/en/download/file?token=def502002ee3531b73d33239962df8129e0f435c432972d9b2b048aba16001e4fc56e1d401da7c1ddd5f79d3cd69f608c3198bb0e7006358ddf3a2c706cc6aeea9c1ebdbceb285523f655770e09269761580aff333b0c410dde012833ef39862740a033d0f783eff7246e54576cebdd8b3ddc97df8176f8cc4c2451fb82906416e8a16f592
https://www.scor.com/sites/default/files/2022-12/NL-42-BOD.pdf
</t>
    </r>
    <r>
      <rPr>
        <b val="true"/>
        <sz val="8"/>
        <rFont val="Arial"/>
        <family val="0"/>
        <charset val="1"/>
      </rPr>
      <t xml:space="preserve">Insurance Operations:
</t>
    </r>
    <r>
      <rPr>
        <u val="single"/>
        <sz val="8"/>
        <color rgb="FF0563C1"/>
        <rFont val="Arial"/>
        <family val="0"/>
        <charset val="1"/>
      </rPr>
      <t xml:space="preserve">https://www.scor.com/en/scor-se-india-branch</t>
    </r>
  </si>
  <si>
    <r>
      <rPr>
        <b val="true"/>
        <sz val="10"/>
        <rFont val="Arial"/>
        <family val="0"/>
        <charset val="1"/>
      </rPr>
      <t xml:space="preserve">Swiss Re
</t>
    </r>
    <r>
      <rPr>
        <sz val="8"/>
        <color rgb="FF595959"/>
        <rFont val="Arial"/>
        <family val="0"/>
        <charset val="1"/>
      </rPr>
      <t xml:space="preserve">Swiss Re Global Business Solutions India Private Limited (GCC); Swiss Reinsurance Company Ltd - India Branch</t>
    </r>
  </si>
  <si>
    <t xml:space="preserve">~2,000+ (company); ~2,374 (Tracxn, 2025)</t>
  </si>
  <si>
    <t xml:space="preserve">Reinsurance (GCC + IRDAI branch)</t>
  </si>
  <si>
    <t xml:space="preserve">Captive (self-built); Regulated branch (IRDAI)</t>
  </si>
  <si>
    <t xml:space="preserve">Bengaluru, Hyderabad (2022), Mumbai (branch)</t>
  </si>
  <si>
    <r>
      <rPr>
        <b val="true"/>
        <sz val="9"/>
        <color rgb="FF1F3864"/>
        <rFont val="Arial"/>
        <family val="0"/>
        <charset val="1"/>
      </rPr>
      <t xml:space="preserve">Global engineering and finance hub plus reinsurance branch
</t>
    </r>
    <r>
      <rPr>
        <b val="true"/>
        <sz val="9"/>
        <rFont val="Arial"/>
        <family val="0"/>
        <charset val="1"/>
      </rPr>
      <t xml:space="preserve">Technology: </t>
    </r>
    <r>
      <rPr>
        <sz val="9"/>
        <rFont val="Arial"/>
        <family val="0"/>
        <charset val="1"/>
      </rPr>
      <t xml:space="preserve">India tech team grew from ~150 to ~750 in three years (May 2025), heading to 40-50% of global engineering: product engineers, architects, data/AI engineers in Bengaluru and Hyderabad.
</t>
    </r>
    <r>
      <rPr>
        <b val="true"/>
        <sz val="9"/>
        <rFont val="Arial"/>
        <family val="0"/>
        <charset val="1"/>
      </rPr>
      <t xml:space="preserve">Finance: </t>
    </r>
    <r>
      <rPr>
        <sz val="9"/>
        <rFont val="Arial"/>
        <family val="0"/>
        <charset val="1"/>
      </rPr>
      <t xml:space="preserve">Group Finance work runs from Bengaluru: ~70-strong Subledger Liabilities team owns L&amp;H and P&amp;C sub-ledger accounting under US GAAP, STAT and IFRS, plus finance-operations and AI/automation roles (2025-26).
</t>
    </r>
    <r>
      <rPr>
        <b val="true"/>
        <sz val="9"/>
        <rFont val="Arial"/>
        <family val="0"/>
        <charset val="1"/>
      </rPr>
      <t xml:space="preserve">Insurance Operations: </t>
    </r>
    <r>
      <rPr>
        <sz val="9"/>
        <rFont val="Arial"/>
        <family val="0"/>
        <charset val="1"/>
      </rPr>
      <t xml:space="preserve">Mumbai IRDAI branch writes P&amp;C reinsurance under CEO Amitabha Ray (Apr 2024); GBS India also serves as the group's actuarial, risk and R&amp;D analytics hub.
</t>
    </r>
    <r>
      <rPr>
        <i val="true"/>
        <sz val="8"/>
        <color rgb="FF7F6000"/>
        <rFont val="Arial"/>
        <family val="0"/>
        <charset val="1"/>
      </rPr>
      <t xml:space="preserve">Note: GBS India head Amit Kalra left for Zurich Jul 2026</t>
    </r>
  </si>
  <si>
    <r>
      <rPr>
        <b val="true"/>
        <sz val="8"/>
        <rFont val="Arial"/>
        <family val="0"/>
        <charset val="1"/>
      </rPr>
      <t xml:space="preserve">Technology:
</t>
    </r>
    <r>
      <rPr>
        <u val="single"/>
        <sz val="8"/>
        <color rgb="FF0563C1"/>
        <rFont val="Arial"/>
        <family val="0"/>
        <charset val="1"/>
      </rPr>
      <t xml:space="preserve">https://www.business-standard.com/companies/interviews/india-to-soon-have-about-50-of-swiss-re-s-global-tech-talent-amit-kalra-125051100389_1.html
https://www.swissre.com/careers/india.html
</t>
    </r>
    <r>
      <rPr>
        <b val="true"/>
        <sz val="8"/>
        <rFont val="Arial"/>
        <family val="0"/>
        <charset val="1"/>
      </rPr>
      <t xml:space="preserve">Finance:
</t>
    </r>
    <r>
      <rPr>
        <u val="single"/>
        <sz val="8"/>
        <color rgb="FF0563C1"/>
        <rFont val="Arial"/>
        <family val="0"/>
        <charset val="1"/>
      </rPr>
      <t xml:space="preserve">https://careers.swissre.com/job/Bangalore-Accountant-II-KA/1199902701
</t>
    </r>
    <r>
      <rPr>
        <b val="true"/>
        <sz val="8"/>
        <rFont val="Arial"/>
        <family val="0"/>
        <charset val="1"/>
      </rPr>
      <t xml:space="preserve">Insurance Operations:
</t>
    </r>
    <r>
      <rPr>
        <u val="single"/>
        <sz val="8"/>
        <color rgb="FF0563C1"/>
        <rFont val="Arial"/>
        <family val="0"/>
        <charset val="1"/>
      </rPr>
      <t xml:space="preserve">https://www.reinsurancene.ws/swiss-re-veteran-amitabha-ray-appointed-as-ceo-of-india-branch/</t>
    </r>
  </si>
  <si>
    <r>
      <rPr>
        <b val="true"/>
        <sz val="10"/>
        <rFont val="Arial"/>
        <family val="0"/>
        <charset val="1"/>
      </rPr>
      <t xml:space="preserve">Volante Global
</t>
    </r>
    <r>
      <rPr>
        <sz val="8"/>
        <color rgb="FF595959"/>
        <rFont val="Arial"/>
        <family val="0"/>
        <charset val="1"/>
      </rPr>
      <t xml:space="preserve">Volante Global Services India Private Limited</t>
    </r>
  </si>
  <si>
    <t xml:space="preserve">None (never operational)</t>
  </si>
  <si>
    <t xml:space="preserve">Lloyd's syndicate service company</t>
  </si>
  <si>
    <t xml:space="preserve">Withdrawn (Mar 2026)</t>
  </si>
  <si>
    <r>
      <rPr>
        <b val="true"/>
        <sz val="9"/>
        <color rgb="FF1F3864"/>
        <rFont val="Arial"/>
        <family val="0"/>
        <charset val="1"/>
      </rPr>
      <t xml:space="preserve">Withdrawn Lloyd's service company (inactive)
</t>
    </r>
    <r>
      <rPr>
        <i val="true"/>
        <sz val="8"/>
        <color rgb="FF7F6000"/>
        <rFont val="Arial"/>
        <family val="0"/>
        <charset val="1"/>
      </rPr>
      <t xml:space="preserve">Note: Registration surrendered 20 Mar 2026; mark row inactive</t>
    </r>
  </si>
  <si>
    <r>
      <rPr>
        <b val="true"/>
        <sz val="9"/>
        <color rgb="FF1F3864"/>
        <rFont val="Arial"/>
        <family val="0"/>
        <charset val="1"/>
      </rPr>
      <t xml:space="preserve">Facultative reinsurance underwriting branch (Mumbai)
</t>
    </r>
    <r>
      <rPr>
        <b val="true"/>
        <sz val="9"/>
        <rFont val="Arial"/>
        <family val="0"/>
        <charset val="1"/>
      </rPr>
      <t xml:space="preserve">Insurance Operations: </t>
    </r>
    <r>
      <rPr>
        <sz val="9"/>
        <rFont val="Arial"/>
        <family val="0"/>
        <charset val="1"/>
      </rPr>
      <t xml:space="preserve">Branch writes property, casualty, specialty and agriculture reinsurance for Indian insurers; new CEO Apr 2025 and CUO plus four underwriting/claims hires May 2025 in Mumbai.
</t>
    </r>
    <r>
      <rPr>
        <i val="true"/>
        <sz val="8"/>
        <color rgb="FF7F6000"/>
        <rFont val="Arial"/>
        <family val="0"/>
        <charset val="1"/>
      </rPr>
      <t xml:space="preserve">Note: Duplicate of row 48; AXA GBS GCC is a separate entity</t>
    </r>
  </si>
  <si>
    <r>
      <rPr>
        <b val="true"/>
        <sz val="8"/>
        <rFont val="Arial"/>
        <family val="0"/>
        <charset val="1"/>
      </rPr>
      <t xml:space="preserve">Insurance Operations:
</t>
    </r>
    <r>
      <rPr>
        <u val="single"/>
        <sz val="8"/>
        <color rgb="FF0563C1"/>
        <rFont val="Arial"/>
        <family val="0"/>
        <charset val="1"/>
      </rPr>
      <t xml:space="preserve">https://axaxl.com/press-releases/axa-xl-strengthens-team-in-india-with-key-appointments
https://axaxl.com/reinsurance/our-companies/xl-insurance-company-se</t>
    </r>
  </si>
  <si>
    <r>
      <rPr>
        <b val="true"/>
        <sz val="10"/>
        <rFont val="Arial"/>
        <family val="0"/>
        <charset val="1"/>
      </rPr>
      <t xml:space="preserve">WTW
</t>
    </r>
    <r>
      <rPr>
        <sz val="8"/>
        <color rgb="FF595959"/>
        <rFont val="Arial"/>
        <family val="0"/>
        <charset val="1"/>
      </rPr>
      <t xml:space="preserve">WTW Global Delivery and Solutions India Pvt. Ltd; Acclaris Business Solutions Pvt. Ltd</t>
    </r>
  </si>
  <si>
    <t xml:space="preserve">~4,000+ (2023); ~4,570 (Mar 2026, GDC entity only)</t>
  </si>
  <si>
    <t xml:space="preserve">Insurance broking &amp; advisory GDC</t>
  </si>
  <si>
    <t xml:space="preserve">Mumbai, Gurugram, Kolkata, Siliguri</t>
  </si>
  <si>
    <r>
      <rPr>
        <b val="true"/>
        <sz val="9"/>
        <color rgb="FF1F3864"/>
        <rFont val="Arial"/>
        <family val="0"/>
        <charset val="1"/>
      </rPr>
      <t xml:space="preserve">Broking and advisory global delivery centre
</t>
    </r>
    <r>
      <rPr>
        <b val="true"/>
        <sz val="9"/>
        <rFont val="Arial"/>
        <family val="0"/>
        <charset val="1"/>
      </rPr>
      <t xml:space="preserve">Finance: </t>
    </r>
    <r>
      <rPr>
        <sz val="9"/>
        <rFont val="Arial"/>
        <family val="0"/>
        <charset val="1"/>
      </rPr>
      <t xml:space="preserve">India GDC (Mumbai/Thane) hiring business analysts for finance and accounting operations plus finance, treasury and tax roles (2025-26).
</t>
    </r>
    <r>
      <rPr>
        <b val="true"/>
        <sz val="9"/>
        <rFont val="Arial"/>
        <family val="0"/>
        <charset val="1"/>
      </rPr>
      <t xml:space="preserve">Insurance Operations: </t>
    </r>
    <r>
      <rPr>
        <sz val="9"/>
        <rFont val="Arial"/>
        <family val="0"/>
        <charset val="1"/>
      </rPr>
      <t xml:space="preserve">In-market broking build-out: Best Broker in India Jul 2025, Asia Broker of the Year Nov 2024, new aviation and space practice head Apr 2025, specialism and analytics-led advisory.
</t>
    </r>
    <r>
      <rPr>
        <b val="true"/>
        <sz val="9"/>
        <rFont val="Arial"/>
        <family val="0"/>
        <charset val="1"/>
      </rPr>
      <t xml:space="preserve">Internal Audit (SOX/ICFR): </t>
    </r>
    <r>
      <rPr>
        <sz val="9"/>
        <rFont val="Arial"/>
        <family val="0"/>
        <charset val="1"/>
      </rPr>
      <t xml:space="preserve">Mumbai GDC hosts controls-assurance roles: SOC SMEs deliver SOC, ISAE and AAF audits on technology-scoped controls, planning and executing audits with external auditors (2025-26).
</t>
    </r>
    <r>
      <rPr>
        <i val="true"/>
        <sz val="8"/>
        <color rgb="FF7F6000"/>
        <rFont val="Arial"/>
        <family val="0"/>
        <charset val="1"/>
      </rPr>
      <t xml:space="preserve">Note: Sheet's 9-city list is the IRDAI broker's offices, not GDC sites</t>
    </r>
  </si>
  <si>
    <r>
      <rPr>
        <b val="true"/>
        <sz val="8"/>
        <rFont val="Arial"/>
        <family val="0"/>
        <charset val="1"/>
      </rPr>
      <t xml:space="preserve">Finance:
</t>
    </r>
    <r>
      <rPr>
        <u val="single"/>
        <sz val="8"/>
        <color rgb="FF0563C1"/>
        <rFont val="Arial"/>
        <family val="0"/>
        <charset val="1"/>
      </rPr>
      <t xml:space="preserve">https://careers.wtwco.com/jobs/business-analyst-mumbai-maharashtra-india-thane
</t>
    </r>
    <r>
      <rPr>
        <b val="true"/>
        <sz val="8"/>
        <rFont val="Arial"/>
        <family val="0"/>
        <charset val="1"/>
      </rPr>
      <t xml:space="preserve">Insurance Operations:
</t>
    </r>
    <r>
      <rPr>
        <u val="single"/>
        <sz val="8"/>
        <color rgb="FF0563C1"/>
        <rFont val="Arial"/>
        <family val="0"/>
        <charset val="1"/>
      </rPr>
      <t xml:space="preserve">https://www.wtwco.com/en-in/news/2025/07/willis-is-named-best-broker-in-india-indonesia-the-philippines-singapore-and-vietnam-at-the-2025
https://www.insurancebusinessmag.com/asia/news/travel/wtws-willis-taps-new-head-for-india-aviation-insurance-532935.aspx
</t>
    </r>
    <r>
      <rPr>
        <b val="true"/>
        <sz val="8"/>
        <rFont val="Arial"/>
        <family val="0"/>
        <charset val="1"/>
      </rPr>
      <t xml:space="preserve">Internal Audit:
</t>
    </r>
    <r>
      <rPr>
        <u val="single"/>
        <sz val="8"/>
        <color rgb="FF0563C1"/>
        <rFont val="Arial"/>
        <family val="0"/>
        <charset val="1"/>
      </rPr>
      <t xml:space="preserve">https://careers.wtwco.com/zh/jobs/senior-soc-sme-system-and-organization-controls-mumbai-maharashtra-india</t>
    </r>
  </si>
  <si>
    <r>
      <rPr>
        <b val="true"/>
        <sz val="10"/>
        <rFont val="Arial"/>
        <family val="0"/>
        <charset val="1"/>
      </rPr>
      <t xml:space="preserve">Lockton
</t>
    </r>
    <r>
      <rPr>
        <sz val="8"/>
        <color rgb="FF595959"/>
        <rFont val="Arial"/>
        <family val="0"/>
        <charset val="1"/>
      </rPr>
      <t xml:space="preserve">Lockton Services India Pvt. Ltd; Lockton India Insurance Broking and Advisory Ltd</t>
    </r>
  </si>
  <si>
    <t xml:space="preserve">~241 broking associates (target ~380); services entity ~8</t>
  </si>
  <si>
    <t xml:space="preserve">Insurance &amp; reinsurance broking</t>
  </si>
  <si>
    <t xml:space="preserve">Broking entity (IRDAI) via acquisition of Arihant (2024)</t>
  </si>
  <si>
    <t xml:space="preserve">Mumbai, Delhi, Kolkata, Bengaluru, Chennai</t>
  </si>
  <si>
    <r>
      <rPr>
        <b val="true"/>
        <sz val="9"/>
        <color rgb="FF1F3864"/>
        <rFont val="Arial"/>
        <family val="0"/>
        <charset val="1"/>
      </rPr>
      <t xml:space="preserve">In-market insurance and reinsurance broking
</t>
    </r>
    <r>
      <rPr>
        <b val="true"/>
        <sz val="9"/>
        <rFont val="Arial"/>
        <family val="0"/>
        <charset val="1"/>
      </rPr>
      <t xml:space="preserve">Insurance Operations: </t>
    </r>
    <r>
      <rPr>
        <sz val="9"/>
        <rFont val="Arial"/>
        <family val="0"/>
        <charset val="1"/>
      </rPr>
      <t xml:space="preserve">Broking operations live since Jan 2025 across nine branches (~241 to ~380 associates); L&amp;H reinsurance broking head hired Feb 2026; claims practice and EV programme recognised 2025.
</t>
    </r>
    <r>
      <rPr>
        <i val="true"/>
        <sz val="8"/>
        <color rgb="FF7F6000"/>
        <rFont val="Arial"/>
        <family val="0"/>
        <charset val="1"/>
      </rPr>
      <t xml:space="preserve">Note: 'GCC' label unsupported; Indian operations began 1 Jan 2025</t>
    </r>
  </si>
  <si>
    <r>
      <rPr>
        <b val="true"/>
        <sz val="8"/>
        <rFont val="Arial"/>
        <family val="0"/>
        <charset val="1"/>
      </rPr>
      <t xml:space="preserve">Insurance Operations:
</t>
    </r>
    <r>
      <rPr>
        <u val="single"/>
        <sz val="8"/>
        <color rgb="FF0563C1"/>
        <rFont val="Arial"/>
        <family val="0"/>
        <charset val="1"/>
      </rPr>
      <t xml:space="preserve">https://global.lockton.com/in/en/news-insights/lockton-indias-strategic-growth-navigating-insurance-markets-and-expanding
https://www.insurancebusinessmag.com/reinsurance/news/breaking-news/lockton-taps-aons-renuka-nar-to-lead-life-and-health-reinsurance-in-india-566052.aspx</t>
    </r>
  </si>
  <si>
    <t xml:space="preserve">BMS Group</t>
  </si>
  <si>
    <t xml:space="preserve">Specialty insurance &amp; reinsurance broker</t>
  </si>
  <si>
    <t xml:space="preserve">Assisted build (EY advised)</t>
  </si>
  <si>
    <t xml:space="preserve">Mumbai (2026)</t>
  </si>
  <si>
    <r>
      <rPr>
        <b val="true"/>
        <sz val="9"/>
        <color rgb="FF1F3864"/>
        <rFont val="Arial"/>
        <family val="0"/>
        <charset val="1"/>
      </rPr>
      <t xml:space="preserve">New data, analytics and AI GCC (Mumbai)
</t>
    </r>
    <r>
      <rPr>
        <b val="true"/>
        <sz val="9"/>
        <rFont val="Arial"/>
        <family val="0"/>
        <charset val="1"/>
      </rPr>
      <t xml:space="preserve">Technology: </t>
    </r>
    <r>
      <rPr>
        <sz val="9"/>
        <rFont val="Arial"/>
        <family val="0"/>
        <charset val="1"/>
      </rPr>
      <t xml:space="preserve">Mumbai GCC opened Jun 2026 (EY-designed) to build data infrastructure, analytics and AI capability at scale, with live AI tool deployment across broking and operations.
</t>
    </r>
    <r>
      <rPr>
        <b val="true"/>
        <sz val="9"/>
        <rFont val="Arial"/>
        <family val="0"/>
        <charset val="1"/>
      </rPr>
      <t xml:space="preserve">Insurance Operations: </t>
    </r>
    <r>
      <rPr>
        <sz val="9"/>
        <rFont val="Arial"/>
        <family val="0"/>
        <charset val="1"/>
      </rPr>
      <t xml:space="preserve">From Jun 2026 the Mumbai GCC, led by MD Nipun Mapara with a Head of Operations, supports broking operations, client services and analytics for BMS teams globally.
</t>
    </r>
    <r>
      <rPr>
        <i val="true"/>
        <sz val="8"/>
        <color rgb="FF7F6000"/>
        <rFont val="Arial"/>
        <family val="0"/>
        <charset val="1"/>
      </rPr>
      <t xml:space="preserve">Note: Opened Jun 2026; GCC legal entity name not found</t>
    </r>
  </si>
  <si>
    <r>
      <rPr>
        <b val="true"/>
        <sz val="8"/>
        <rFont val="Arial"/>
        <family val="0"/>
        <charset val="1"/>
      </rPr>
      <t xml:space="preserve">Technology:
</t>
    </r>
    <r>
      <rPr>
        <u val="single"/>
        <sz val="8"/>
        <color rgb="FF0563C1"/>
        <rFont val="Arial"/>
        <family val="0"/>
        <charset val="1"/>
      </rPr>
      <t xml:space="preserve">https://www.bmsgroup.com/en/news/bms-opens-global-capability-centre-in-mumbai
https://www.reinsurancene.ws/bms-establishes-global-capability-centre-in-mumbai-led-by-nipun-mapara/
</t>
    </r>
    <r>
      <rPr>
        <b val="true"/>
        <sz val="8"/>
        <rFont val="Arial"/>
        <family val="0"/>
        <charset val="1"/>
      </rPr>
      <t xml:space="preserve">Insurance Operations:
</t>
    </r>
    <r>
      <rPr>
        <u val="single"/>
        <sz val="8"/>
        <color rgb="FF0563C1"/>
        <rFont val="Arial"/>
        <family val="0"/>
        <charset val="1"/>
      </rPr>
      <t xml:space="preserve">https://asiainsurancepost.com/archives/81504
https://insurance-edge.net/2026/06/23/bms-opens-global-capability-centre-in-mumbai/</t>
    </r>
  </si>
  <si>
    <t xml:space="preserve">C. GIFT City IFSC offices and new reinsurance entities</t>
  </si>
  <si>
    <r>
      <rPr>
        <b val="true"/>
        <sz val="10"/>
        <rFont val="Arial"/>
        <family val="0"/>
        <charset val="1"/>
      </rPr>
      <t xml:space="preserve">Allianz Jio Reinsurance
</t>
    </r>
    <r>
      <rPr>
        <sz val="8"/>
        <color rgb="FF595959"/>
        <rFont val="Arial"/>
        <family val="0"/>
        <charset val="1"/>
      </rPr>
      <t xml:space="preserve">Allianz Jio Reinsurance Limited</t>
    </r>
  </si>
  <si>
    <t xml:space="preserve">Reinsurance (IRDAI domestic reinsurer)</t>
  </si>
  <si>
    <t xml:space="preserve">JV (Allianz Europe / Jio Financial Services)</t>
  </si>
  <si>
    <r>
      <rPr>
        <b val="true"/>
        <sz val="9"/>
        <color rgb="FF1F3864"/>
        <rFont val="Arial"/>
        <family val="0"/>
        <charset val="1"/>
      </rPr>
      <t xml:space="preserve">New IRDAI-licensed domestic reinsurer (Mumbai)
</t>
    </r>
    <r>
      <rPr>
        <b val="true"/>
        <sz val="9"/>
        <rFont val="Arial"/>
        <family val="0"/>
        <charset val="1"/>
      </rPr>
      <t xml:space="preserve">Insurance Operations: </t>
    </r>
    <r>
      <rPr>
        <sz val="9"/>
        <rFont val="Arial"/>
        <family val="0"/>
        <charset val="1"/>
      </rPr>
      <t xml:space="preserve">Commenced operations Mar 2026 as India's second private domestic reinsurer: Mumbai-based life and non-life treaty and facultative underwriting, local expert team under CEO Sonia Rawal.
</t>
    </r>
    <r>
      <rPr>
        <i val="true"/>
        <sz val="8"/>
        <color rgb="FF7F6000"/>
        <rFont val="Arial"/>
        <family val="0"/>
        <charset val="1"/>
      </rPr>
      <t xml:space="preserve">Note: Indian-domiciled JV, not a foreign branch or GCC</t>
    </r>
  </si>
  <si>
    <r>
      <rPr>
        <b val="true"/>
        <sz val="8"/>
        <rFont val="Arial"/>
        <family val="0"/>
        <charset val="1"/>
      </rPr>
      <t xml:space="preserve">Insurance Operations:
</t>
    </r>
    <r>
      <rPr>
        <u val="single"/>
        <sz val="8"/>
        <color rgb="FF0563C1"/>
        <rFont val="Arial"/>
        <family val="0"/>
        <charset val="1"/>
      </rPr>
      <t xml:space="preserve">https://www.allianz.com/en/mediacenter/news/media-releases/financials/260326-allianz-jio-reinsurance-limited-commences-operations.html
https://www.insurancebusinessmag.com/reinsurance/news/breaking-news/allianz-jio-re-starts-operations-in-india-reinsurance-sector-570048.aspx</t>
    </r>
  </si>
  <si>
    <r>
      <rPr>
        <b val="true"/>
        <sz val="10"/>
        <rFont val="Arial"/>
        <family val="0"/>
        <charset val="1"/>
      </rPr>
      <t xml:space="preserve">Korean Re
</t>
    </r>
    <r>
      <rPr>
        <sz val="8"/>
        <color rgb="FF595959"/>
        <rFont val="Arial"/>
        <family val="0"/>
        <charset val="1"/>
      </rPr>
      <t xml:space="preserve">Korean Re India Branch (IFSC Insurance Office)</t>
    </r>
  </si>
  <si>
    <t xml:space="preserve">Reinsurance (GIFT City IFSC office)</t>
  </si>
  <si>
    <t xml:space="preserve">IFSC Insurance Office (IFSCA, GIFT City)</t>
  </si>
  <si>
    <t xml:space="preserve">GIFT City, Gandhinagar (2026)</t>
  </si>
  <si>
    <r>
      <rPr>
        <b val="true"/>
        <sz val="9"/>
        <color rgb="FF1F3864"/>
        <rFont val="Arial"/>
        <family val="0"/>
        <charset val="1"/>
      </rPr>
      <t xml:space="preserve">Inward reinsurance branch (GIFT City)
</t>
    </r>
    <r>
      <rPr>
        <b val="true"/>
        <sz val="9"/>
        <rFont val="Arial"/>
        <family val="0"/>
        <charset val="1"/>
      </rPr>
      <t xml:space="preserve">Insurance Operations: </t>
    </r>
    <r>
      <rPr>
        <sz val="9"/>
        <rFont val="Arial"/>
        <family val="0"/>
        <charset val="1"/>
      </rPr>
      <t xml:space="preserve">IFSCA IIO licensed Nov 2025 and opened Jan 2026, full operations from Apr 2026: India-focused and emerging-market inward reinsurance underwriting for local cedants.
</t>
    </r>
    <r>
      <rPr>
        <i val="true"/>
        <sz val="8"/>
        <color rgb="FF7F6000"/>
        <rFont val="Arial"/>
        <family val="0"/>
        <charset val="1"/>
      </rPr>
      <t xml:space="preserve">Note: Branch head not published</t>
    </r>
  </si>
  <si>
    <r>
      <rPr>
        <b val="true"/>
        <sz val="8"/>
        <rFont val="Arial"/>
        <family val="0"/>
        <charset val="1"/>
      </rPr>
      <t xml:space="preserve">Insurance Operations:
</t>
    </r>
    <r>
      <rPr>
        <u val="single"/>
        <sz val="8"/>
        <color rgb="FF0563C1"/>
        <rFont val="Arial"/>
        <family val="0"/>
        <charset val="1"/>
      </rPr>
      <t xml:space="preserve">https://eng.koreanre.co.kr/webzine/Bulletin_198/bull3.html
https://www.reinsurancene.ws/korean-re-approved-to-establish-branch-in-indias-gift-city</t>
    </r>
  </si>
  <si>
    <r>
      <rPr>
        <b val="true"/>
        <sz val="10"/>
        <rFont val="Arial"/>
        <family val="0"/>
        <charset val="1"/>
      </rPr>
      <t xml:space="preserve">MAPFRE Re
</t>
    </r>
    <r>
      <rPr>
        <sz val="8"/>
        <color rgb="FF595959"/>
        <rFont val="Arial"/>
        <family val="0"/>
        <charset val="1"/>
      </rPr>
      <t xml:space="preserve">MAPFRE Re GIFT City branch (IFSC Insurance Office)</t>
    </r>
  </si>
  <si>
    <r>
      <rPr>
        <b val="true"/>
        <sz val="9"/>
        <color rgb="FF1F3864"/>
        <rFont val="Arial"/>
        <family val="0"/>
        <charset val="1"/>
      </rPr>
      <t xml:space="preserve">Treaty underwriting branch with in-branch finance (GIFT City)
</t>
    </r>
    <r>
      <rPr>
        <b val="true"/>
        <sz val="9"/>
        <rFont val="Arial"/>
        <family val="0"/>
        <charset val="1"/>
      </rPr>
      <t xml:space="preserve">Finance: </t>
    </r>
    <r>
      <rPr>
        <sz val="9"/>
        <rFont val="Arial"/>
        <family val="0"/>
        <charset val="1"/>
      </rPr>
      <t xml:space="preserve">In-branch finance and administration lead appointed Aug 2026 (ex-GIC Re): accounting, taxation, regulatory reporting and credit control for the GIFT City branch.
</t>
    </r>
    <r>
      <rPr>
        <b val="true"/>
        <sz val="9"/>
        <rFont val="Arial"/>
        <family val="0"/>
        <charset val="1"/>
      </rPr>
      <t xml:space="preserve">Insurance Operations: </t>
    </r>
    <r>
      <rPr>
        <sz val="9"/>
        <rFont val="Arial"/>
        <family val="0"/>
        <charset val="1"/>
      </rPr>
      <t xml:space="preserve">IFSCA branch approved Feb 2026; Head of India Chaturbhuj Bansal from Jun 2026 building a non-life treaty underwriting team, senior treaty underwriter hired Aug 2026.
</t>
    </r>
    <r>
      <rPr>
        <i val="true"/>
        <sz val="8"/>
        <color rgb="FF7F6000"/>
        <rFont val="Arial"/>
        <family val="0"/>
        <charset val="1"/>
      </rPr>
      <t xml:space="preserve">Note: Head appointment subject to regulatory approval</t>
    </r>
  </si>
  <si>
    <r>
      <rPr>
        <b val="true"/>
        <sz val="8"/>
        <rFont val="Arial"/>
        <family val="0"/>
        <charset val="1"/>
      </rPr>
      <t xml:space="preserve">Finance:
</t>
    </r>
    <r>
      <rPr>
        <u val="single"/>
        <sz val="8"/>
        <color rgb="FF0563C1"/>
        <rFont val="Arial"/>
        <family val="0"/>
        <charset val="1"/>
      </rPr>
      <t xml:space="preserve">https://reinasia.com/mapfre-re-adds-treaty-underwriting-and-finance-hires-in-india/
</t>
    </r>
    <r>
      <rPr>
        <b val="true"/>
        <sz val="8"/>
        <rFont val="Arial"/>
        <family val="0"/>
        <charset val="1"/>
      </rPr>
      <t xml:space="preserve">Insurance Operations:
</t>
    </r>
    <r>
      <rPr>
        <u val="single"/>
        <sz val="8"/>
        <color rgb="FF0563C1"/>
        <rFont val="Arial"/>
        <family val="0"/>
        <charset val="1"/>
      </rPr>
      <t xml:space="preserve">https://www.mapfre.com/en/communicate/corporate-communicate/mapfre-re-approval-opening-branch-office-india/
https://reinasia.com/mapfre-re-adds-treaty-underwriting-and-finance-hires-in-india/</t>
    </r>
  </si>
  <si>
    <r>
      <rPr>
        <b val="true"/>
        <sz val="10"/>
        <rFont val="Arial"/>
        <family val="0"/>
        <charset val="1"/>
      </rPr>
      <t xml:space="preserve">Everest Group
</t>
    </r>
    <r>
      <rPr>
        <sz val="8"/>
        <color rgb="FF595959"/>
        <rFont val="Arial"/>
        <family val="0"/>
        <charset val="1"/>
      </rPr>
      <t xml:space="preserve">Everest Reinsurance Company, IFSC Branch</t>
    </r>
  </si>
  <si>
    <t xml:space="preserve">GIFT City, Gandhinagar (2025)</t>
  </si>
  <si>
    <r>
      <rPr>
        <b val="true"/>
        <sz val="9"/>
        <color rgb="FF1F3864"/>
        <rFont val="Arial"/>
        <family val="0"/>
        <charset val="1"/>
      </rPr>
      <t xml:space="preserve">P&amp;C and specialty reinsurance branch (GIFT City)
</t>
    </r>
    <r>
      <rPr>
        <b val="true"/>
        <sz val="9"/>
        <rFont val="Arial"/>
        <family val="0"/>
        <charset val="1"/>
      </rPr>
      <t xml:space="preserve">Insurance Operations: </t>
    </r>
    <r>
      <rPr>
        <sz val="9"/>
        <rFont val="Arial"/>
        <family val="0"/>
        <charset val="1"/>
      </rPr>
      <t xml:space="preserve">IFSCA IIO registered Sep 2025: writes property, casualty and specialty reinsurance for Indian and multinational cedants within Everest's APAC reinsurance business.
</t>
    </r>
    <r>
      <rPr>
        <i val="true"/>
        <sz val="8"/>
        <color rgb="FF7F6000"/>
        <rFont val="Arial"/>
        <family val="0"/>
        <charset val="1"/>
      </rPr>
      <t xml:space="preserve">Note: No dedicated India branch head named</t>
    </r>
  </si>
  <si>
    <r>
      <rPr>
        <b val="true"/>
        <sz val="8"/>
        <rFont val="Arial"/>
        <family val="0"/>
        <charset val="1"/>
      </rPr>
      <t xml:space="preserve">Insurance Operations:
</t>
    </r>
    <r>
      <rPr>
        <u val="single"/>
        <sz val="8"/>
        <color rgb="FF0563C1"/>
        <rFont val="Arial"/>
        <family val="0"/>
        <charset val="1"/>
      </rPr>
      <t xml:space="preserve">https://www.everestglobal.com/bm-en/news-media/press-releases/2025/everest-reinsurance-expands-apac-footprint-with-new-office-in-indias-gift-city
https://www.scconline.com/blog/post/2025/10/28/cam-advises-everest-reinsurance-ifsc-insurance-office-gift-city/</t>
    </r>
  </si>
  <si>
    <r>
      <rPr>
        <b val="true"/>
        <sz val="10"/>
        <rFont val="Arial"/>
        <family val="0"/>
        <charset val="1"/>
      </rPr>
      <t xml:space="preserve">W. R. Berkley
</t>
    </r>
    <r>
      <rPr>
        <sz val="8"/>
        <color rgb="FF595959"/>
        <rFont val="Arial"/>
        <family val="0"/>
        <charset val="1"/>
      </rPr>
      <t xml:space="preserve">Berkley Insurance Company, IFSC Branch</t>
    </r>
  </si>
  <si>
    <t xml:space="preserve">Specialty insurance &amp; reinsurance (GIFT City IFSC office)</t>
  </si>
  <si>
    <r>
      <rPr>
        <b val="true"/>
        <sz val="9"/>
        <color rgb="FF1F3864"/>
        <rFont val="Arial"/>
        <family val="0"/>
        <charset val="1"/>
      </rPr>
      <t xml:space="preserve">Dual-licensed specialty P&amp;C branch (GIFT City)
</t>
    </r>
    <r>
      <rPr>
        <b val="true"/>
        <sz val="9"/>
        <rFont val="Arial"/>
        <family val="0"/>
        <charset val="1"/>
      </rPr>
      <t xml:space="preserve">Finance: </t>
    </r>
    <r>
      <rPr>
        <sz val="9"/>
        <rFont val="Arial"/>
        <family val="0"/>
        <charset val="1"/>
      </rPr>
      <t xml:space="preserve">Small in-branch finance function from Dec 2025: a GIFT City finance manager alongside business support, not a shared-services hub.
</t>
    </r>
    <r>
      <rPr>
        <b val="true"/>
        <sz val="9"/>
        <rFont val="Arial"/>
        <family val="0"/>
        <charset val="1"/>
      </rPr>
      <t xml:space="preserve">Insurance Operations: </t>
    </r>
    <r>
      <rPr>
        <sz val="9"/>
        <rFont val="Arial"/>
        <family val="0"/>
        <charset val="1"/>
      </rPr>
      <t xml:space="preserve">Operations live Dec 2025 with first dual insurance and reinsurance P&amp;C licence in GIFT City: cyber, casualty, financial lines, PI, specie and marine underwriting under CEO and CUO.
</t>
    </r>
    <r>
      <rPr>
        <i val="true"/>
        <sz val="8"/>
        <color rgb="FF7F6000"/>
        <rFont val="Arial"/>
        <family val="0"/>
        <charset val="1"/>
      </rPr>
      <t xml:space="preserve">Note: Finance manager evidence from a single team listing</t>
    </r>
  </si>
  <si>
    <r>
      <rPr>
        <b val="true"/>
        <sz val="8"/>
        <rFont val="Arial"/>
        <family val="0"/>
        <charset val="1"/>
      </rPr>
      <t xml:space="preserve">Finance:
</t>
    </r>
    <r>
      <rPr>
        <u val="single"/>
        <sz val="8"/>
        <color rgb="FF0563C1"/>
        <rFont val="Arial"/>
        <family val="0"/>
        <charset val="1"/>
      </rPr>
      <t xml:space="preserve">https://reinasia.com/berkley-officially-begins-india-operations-becomes-first-pc-insurer-in-gift-city-with-dual-licences/
</t>
    </r>
    <r>
      <rPr>
        <b val="true"/>
        <sz val="8"/>
        <rFont val="Arial"/>
        <family val="0"/>
        <charset val="1"/>
      </rPr>
      <t xml:space="preserve">Insurance Operations:
</t>
    </r>
    <r>
      <rPr>
        <u val="single"/>
        <sz val="8"/>
        <color rgb="FF0563C1"/>
        <rFont val="Arial"/>
        <family val="0"/>
        <charset val="1"/>
      </rPr>
      <t xml:space="preserve">https://www.businesswire.com/news/home/20241219735973/en/W.-R.-Berkley-Corporation-Establishes-Branch-Office-of-Berkley-Insurance-Company-in-India
https://www.insurancebusinessmag.com/asia/news/breaking-news/berkley-gift-city-branch-first-pandc-with-dual-licences-559861.aspx</t>
    </r>
  </si>
  <si>
    <r>
      <rPr>
        <b val="true"/>
        <sz val="10"/>
        <rFont val="Arial"/>
        <family val="0"/>
        <charset val="1"/>
      </rPr>
      <t xml:space="preserve">PartnerRe
</t>
    </r>
    <r>
      <rPr>
        <sz val="8"/>
        <color rgb="FF595959"/>
        <rFont val="Arial"/>
        <family val="0"/>
        <charset val="1"/>
      </rPr>
      <t xml:space="preserve">PartnerRe GIFT City branch (IFSC Insurance Office)</t>
    </r>
  </si>
  <si>
    <r>
      <rPr>
        <b val="true"/>
        <sz val="9"/>
        <color rgb="FF1F3864"/>
        <rFont val="Arial"/>
        <family val="0"/>
        <charset val="1"/>
      </rPr>
      <t xml:space="preserve">First India reinsurance branch (GIFT City)
</t>
    </r>
    <r>
      <rPr>
        <b val="true"/>
        <sz val="9"/>
        <rFont val="Arial"/>
        <family val="0"/>
        <charset val="1"/>
      </rPr>
      <t xml:space="preserve">Insurance Operations: </t>
    </r>
    <r>
      <rPr>
        <sz val="9"/>
        <rFont val="Arial"/>
        <family val="0"/>
        <charset val="1"/>
      </rPr>
      <t xml:space="preserve">GIFT City branch approved Feb 2026 as PartnerRe's first India presence; CEO India Ankur Gupta from Jun 2026 serving Indian cedants with local P&amp;C underwriting.
</t>
    </r>
    <r>
      <rPr>
        <i val="true"/>
        <sz val="8"/>
        <color rgb="FF7F6000"/>
        <rFont val="Arial"/>
        <family val="0"/>
        <charset val="1"/>
      </rPr>
      <t xml:space="preserve">Note: CEO India title from a single trade-press source</t>
    </r>
  </si>
  <si>
    <r>
      <rPr>
        <b val="true"/>
        <sz val="8"/>
        <rFont val="Arial"/>
        <family val="0"/>
        <charset val="1"/>
      </rPr>
      <t xml:space="preserve">Insurance Operations:
</t>
    </r>
    <r>
      <rPr>
        <u val="single"/>
        <sz val="8"/>
        <color rgb="FF0563C1"/>
        <rFont val="Arial"/>
        <family val="0"/>
        <charset val="1"/>
      </rPr>
      <t xml:space="preserve">https://www.partnerre.com/news/partnerre-to-establish-a-branch-in-indias-gift-city-gujarat-international-finance-tec-city/
https://www.reinsurancene.ws/partnerre-names-ankur-gupta-as-ceo-india/</t>
    </r>
  </si>
  <si>
    <r>
      <rPr>
        <b val="true"/>
        <sz val="10"/>
        <rFont val="Arial"/>
        <family val="0"/>
        <charset val="1"/>
      </rPr>
      <t xml:space="preserve">IGI
</t>
    </r>
    <r>
      <rPr>
        <sz val="8"/>
        <color rgb="FF595959"/>
        <rFont val="Arial"/>
        <family val="0"/>
        <charset val="1"/>
      </rPr>
      <t xml:space="preserve">IGI reinsurance branch, GIFT City (International General Insurance Company (UK) Ltd)</t>
    </r>
  </si>
  <si>
    <r>
      <rPr>
        <b val="true"/>
        <sz val="9"/>
        <color rgb="FF1F3864"/>
        <rFont val="Arial"/>
        <family val="0"/>
        <charset val="1"/>
      </rPr>
      <t xml:space="preserve">Facultative and specialty treaty branch (GIFT City)
</t>
    </r>
    <r>
      <rPr>
        <b val="true"/>
        <sz val="9"/>
        <rFont val="Arial"/>
        <family val="0"/>
        <charset val="1"/>
      </rPr>
      <t xml:space="preserve">Insurance Operations: </t>
    </r>
    <r>
      <rPr>
        <sz val="9"/>
        <rFont val="Arial"/>
        <family val="0"/>
        <charset val="1"/>
      </rPr>
      <t xml:space="preserve">IFSCA IIO approval Jun 2026: facultative and specialty treaty reinsurance for Indian cedants and brokers, local team being recruited for launch within 2026.
</t>
    </r>
    <r>
      <rPr>
        <i val="true"/>
        <sz val="8"/>
        <color rgb="FF7F6000"/>
        <rFont val="Arial"/>
        <family val="0"/>
        <charset val="1"/>
      </rPr>
      <t xml:space="preserve">Note: Office not yet operational; head not named</t>
    </r>
  </si>
  <si>
    <r>
      <rPr>
        <b val="true"/>
        <sz val="8"/>
        <rFont val="Arial"/>
        <family val="0"/>
        <charset val="1"/>
      </rPr>
      <t xml:space="preserve">Insurance Operations:
</t>
    </r>
    <r>
      <rPr>
        <u val="single"/>
        <sz val="8"/>
        <color rgb="FF0563C1"/>
        <rFont val="Arial"/>
        <family val="0"/>
        <charset val="1"/>
      </rPr>
      <t xml:space="preserve">https://www.businesswire.com/news/home/20260608431690/en
https://www.reinsurancene.ws/igi-to-open-a-new-branch-in-indias-gift-city-as-it-secures-license/</t>
    </r>
  </si>
  <si>
    <r>
      <rPr>
        <b val="true"/>
        <sz val="10"/>
        <rFont val="Arial"/>
        <family val="0"/>
        <charset val="1"/>
      </rPr>
      <t xml:space="preserve">Santam (Sanlam)
</t>
    </r>
    <r>
      <rPr>
        <sz val="8"/>
        <color rgb="FF595959"/>
        <rFont val="Arial"/>
        <family val="0"/>
        <charset val="1"/>
      </rPr>
      <t xml:space="preserve">Santam IFSC reinsurance office, GIFT City</t>
    </r>
  </si>
  <si>
    <r>
      <rPr>
        <b val="true"/>
        <sz val="9"/>
        <color rgb="FF1F3864"/>
        <rFont val="Arial"/>
        <family val="0"/>
        <charset val="1"/>
      </rPr>
      <t xml:space="preserve">First BRICS reinsurance branch (GIFT City)
</t>
    </r>
    <r>
      <rPr>
        <b val="true"/>
        <sz val="9"/>
        <rFont val="Arial"/>
        <family val="0"/>
        <charset val="1"/>
      </rPr>
      <t xml:space="preserve">Insurance Operations: </t>
    </r>
    <r>
      <rPr>
        <sz val="9"/>
        <rFont val="Arial"/>
        <family val="0"/>
        <charset val="1"/>
      </rPr>
      <t xml:space="preserve">IFSCA IIO licensed Jan 2026: locally hired team underwriting treaty and facultative property, engineering, marine and liability reinsurance backed by Santam Re capacity.
</t>
    </r>
    <r>
      <rPr>
        <i val="true"/>
        <sz val="8"/>
        <color rgb="FF7F6000"/>
        <rFont val="Arial"/>
        <family val="0"/>
        <charset val="1"/>
      </rPr>
      <t xml:space="preserve">Note: India head named in 2026 but not captured</t>
    </r>
  </si>
  <si>
    <r>
      <rPr>
        <b val="true"/>
        <sz val="8"/>
        <rFont val="Arial"/>
        <family val="0"/>
        <charset val="1"/>
      </rPr>
      <t xml:space="preserve">Insurance Operations:
</t>
    </r>
    <r>
      <rPr>
        <u val="single"/>
        <sz val="8"/>
        <color rgb="FF0563C1"/>
        <rFont val="Arial"/>
        <family val="0"/>
        <charset val="1"/>
      </rPr>
      <t xml:space="preserve">https://www.reinsurancene.ws/santam-becomes-first-brics-based-insurer-to-set-up-presence-in-india-gift-city/
https://www.moonstone.co.za/santam-authorised-to-establish-ifsc-reinsurance-office-in-india/</t>
    </r>
  </si>
  <si>
    <r>
      <rPr>
        <b val="true"/>
        <sz val="10"/>
        <rFont val="Arial"/>
        <family val="0"/>
        <charset val="1"/>
      </rPr>
      <t xml:space="preserve">Echo Re (DEVK)
</t>
    </r>
    <r>
      <rPr>
        <sz val="8"/>
        <color rgb="FF595959"/>
        <rFont val="Arial"/>
        <family val="0"/>
        <charset val="1"/>
      </rPr>
      <t xml:space="preserve">Echo Re GIFT City branch (IFSC Insurance Office)</t>
    </r>
  </si>
  <si>
    <r>
      <rPr>
        <b val="true"/>
        <sz val="9"/>
        <color rgb="FF1F3864"/>
        <rFont val="Arial"/>
        <family val="0"/>
        <charset val="1"/>
      </rPr>
      <t xml:space="preserve">Treaty P&amp;C and specialty branch (GIFT City)
</t>
    </r>
    <r>
      <rPr>
        <b val="true"/>
        <sz val="9"/>
        <rFont val="Arial"/>
        <family val="0"/>
        <charset val="1"/>
      </rPr>
      <t xml:space="preserve">Insurance Operations: </t>
    </r>
    <r>
      <rPr>
        <sz val="9"/>
        <rFont val="Arial"/>
        <family val="0"/>
        <charset val="1"/>
      </rPr>
      <t xml:space="preserve">First branch outside Zurich approved Mar 2026: treaty P&amp;C and specialty underwriting, senior subcontinent underwriter hired Jun 2026 and Principal Officer appointed Jul 2026.</t>
    </r>
  </si>
  <si>
    <r>
      <rPr>
        <b val="true"/>
        <sz val="8"/>
        <rFont val="Arial"/>
        <family val="0"/>
        <charset val="1"/>
      </rPr>
      <t xml:space="preserve">Insurance Operations:
</t>
    </r>
    <r>
      <rPr>
        <u val="single"/>
        <sz val="8"/>
        <color rgb="FF0563C1"/>
        <rFont val="Arial"/>
        <family val="0"/>
        <charset val="1"/>
      </rPr>
      <t xml:space="preserve">https://echore.com/echo-re-opens-branch-office-in-gift-city-ifsc/
https://www.reinsurancene.ws/ankur-sharma-named-principal-officer-of-echo-res-india-branch/</t>
    </r>
  </si>
  <si>
    <r>
      <rPr>
        <b val="true"/>
        <sz val="10"/>
        <rFont val="Arial"/>
        <family val="0"/>
        <charset val="1"/>
      </rPr>
      <t xml:space="preserve">Saudi Re
</t>
    </r>
    <r>
      <rPr>
        <sz val="8"/>
        <color rgb="FF595959"/>
        <rFont val="Arial"/>
        <family val="0"/>
        <charset val="1"/>
      </rPr>
      <t xml:space="preserve">Saudi Re IIO-GIFT City India Branch</t>
    </r>
  </si>
  <si>
    <r>
      <rPr>
        <b val="true"/>
        <sz val="9"/>
        <color rgb="FF1F3864"/>
        <rFont val="Arial"/>
        <family val="0"/>
        <charset val="1"/>
      </rPr>
      <t xml:space="preserve">Reinsurance underwriting branch (GIFT City)
</t>
    </r>
    <r>
      <rPr>
        <b val="true"/>
        <sz val="9"/>
        <rFont val="Arial"/>
        <family val="0"/>
        <charset val="1"/>
      </rPr>
      <t xml:space="preserve">Insurance Operations: </t>
    </r>
    <r>
      <rPr>
        <sz val="9"/>
        <rFont val="Arial"/>
        <family val="0"/>
        <charset val="1"/>
      </rPr>
      <t xml:space="preserve">IIO approved Jan 2026 with operations from Q2 2026: Principal Officer Ruchi Jain (Jun 2026) leading local underwriting of a ~USD 39m India reinsurance book.
</t>
    </r>
    <r>
      <rPr>
        <i val="true"/>
        <sz val="8"/>
        <color rgb="FF7F6000"/>
        <rFont val="Arial"/>
        <family val="0"/>
        <charset val="1"/>
      </rPr>
      <t xml:space="preserve">Note: Launch wording from trade press; verify before client use</t>
    </r>
  </si>
  <si>
    <r>
      <rPr>
        <b val="true"/>
        <sz val="8"/>
        <rFont val="Arial"/>
        <family val="0"/>
        <charset val="1"/>
      </rPr>
      <t xml:space="preserve">Insurance Operations:
</t>
    </r>
    <r>
      <rPr>
        <u val="single"/>
        <sz val="8"/>
        <color rgb="FF0563C1"/>
        <rFont val="Arial"/>
        <family val="0"/>
        <charset val="1"/>
      </rPr>
      <t xml:space="preserve">https://www.saudiexchange.sa/wps/portal/saudiexchange/newsandreports/issuer-news/issuer-announcements/issuer-announcements-details/?anId=92665
https://www.reinsurancene.ws/ruchi-jain-named-principal-officer-of-saudi-res-iio-gift-city-india-branch/</t>
    </r>
  </si>
  <si>
    <r>
      <rPr>
        <b val="true"/>
        <sz val="10"/>
        <rFont val="Arial"/>
        <family val="0"/>
        <charset val="1"/>
      </rPr>
      <t xml:space="preserve">Qatar Islamic Insurance Group
</t>
    </r>
    <r>
      <rPr>
        <sz val="8"/>
        <color rgb="FF595959"/>
        <rFont val="Arial"/>
        <family val="0"/>
        <charset val="1"/>
      </rPr>
      <t xml:space="preserve">QIIG IFSC Insurance Office, GIFT City (registered name not published)</t>
    </r>
  </si>
  <si>
    <r>
      <rPr>
        <b val="true"/>
        <sz val="9"/>
        <color rgb="FF1F3864"/>
        <rFont val="Arial"/>
        <family val="0"/>
        <charset val="1"/>
      </rPr>
      <t xml:space="preserve">Newly licensed reinsurance branch (GIFT City)
</t>
    </r>
    <r>
      <rPr>
        <b val="true"/>
        <sz val="9"/>
        <rFont val="Arial"/>
        <family val="0"/>
        <charset val="1"/>
      </rPr>
      <t xml:space="preserve">Insurance Operations: </t>
    </r>
    <r>
      <rPr>
        <sz val="9"/>
        <rFont val="Arial"/>
        <family val="0"/>
        <charset val="1"/>
      </rPr>
      <t xml:space="preserve">IFSC reinsurance branch licence obtained Aug 2026 to write reinsurance from GIFT City; office, lines and India lead still to be set up.
</t>
    </r>
    <r>
      <rPr>
        <i val="true"/>
        <sz val="8"/>
        <color rgb="FF7F6000"/>
        <rFont val="Arial"/>
        <family val="0"/>
        <charset val="1"/>
      </rPr>
      <t xml:space="preserve">Note: Office not yet operational; no head named</t>
    </r>
  </si>
  <si>
    <r>
      <rPr>
        <b val="true"/>
        <sz val="8"/>
        <rFont val="Arial"/>
        <family val="0"/>
        <charset val="1"/>
      </rPr>
      <t xml:space="preserve">Insurance Operations:
</t>
    </r>
    <r>
      <rPr>
        <u val="single"/>
        <sz val="8"/>
        <color rgb="FF0563C1"/>
        <rFont val="Arial"/>
        <family val="0"/>
        <charset val="1"/>
      </rPr>
      <t xml:space="preserve">https://qna.org.qa/en/News-Area/News/2026-8/26/qatar-islamic-insurance-group-obtains-license-to-open-branch-in-india
https://www.reinsurancene.ws/qatar-islamic-insurance-to-establish-its-reinsurance-branch-in-indias-gift-city/</t>
    </r>
  </si>
  <si>
    <r>
      <rPr>
        <b val="true"/>
        <sz val="10"/>
        <rFont val="Arial"/>
        <family val="0"/>
        <charset val="1"/>
      </rPr>
      <t xml:space="preserve">ADNIC
</t>
    </r>
    <r>
      <rPr>
        <sz val="8"/>
        <color rgb="FF595959"/>
        <rFont val="Arial"/>
        <family val="0"/>
        <charset val="1"/>
      </rPr>
      <t xml:space="preserve">ADNIC IFSC Insurance Office, GIFT City</t>
    </r>
  </si>
  <si>
    <r>
      <rPr>
        <b val="true"/>
        <sz val="9"/>
        <color rgb="FF1F3864"/>
        <rFont val="Arial"/>
        <family val="0"/>
        <charset val="1"/>
      </rPr>
      <t xml:space="preserve">Reinsurance branch in set-up (GIFT City)
</t>
    </r>
    <r>
      <rPr>
        <b val="true"/>
        <sz val="9"/>
        <rFont val="Arial"/>
        <family val="0"/>
        <charset val="1"/>
      </rPr>
      <t xml:space="preserve">Insurance Operations: </t>
    </r>
    <r>
      <rPr>
        <sz val="9"/>
        <rFont val="Arial"/>
        <family val="0"/>
        <charset val="1"/>
      </rPr>
      <t xml:space="preserve">IFSCA reinsurance licence effective Apr 2026, building on ADNIC's cross-border India book; branch opening guided for later 2026.
</t>
    </r>
    <r>
      <rPr>
        <i val="true"/>
        <sz val="8"/>
        <color rgb="FF7F6000"/>
        <rFont val="Arial"/>
        <family val="0"/>
        <charset val="1"/>
      </rPr>
      <t xml:space="preserve">Note: Office opening pending; head not announced</t>
    </r>
  </si>
  <si>
    <r>
      <rPr>
        <b val="true"/>
        <sz val="8"/>
        <rFont val="Arial"/>
        <family val="0"/>
        <charset val="1"/>
      </rPr>
      <t xml:space="preserve">Insurance Operations:
</t>
    </r>
    <r>
      <rPr>
        <u val="single"/>
        <sz val="8"/>
        <color rgb="FF0563C1"/>
        <rFont val="Arial"/>
        <family val="0"/>
        <charset val="1"/>
      </rPr>
      <t xml:space="preserve">https://www.wam.ae/en/article/bygeu7d-adnic-open-new-branch-india
https://meinsurancereview.com/News/ViewNewsLetterArticle/id/95245/type/MiddleEast/UAE-ADNIC-receives-licence-for-branch-in-India-s-GIFT-City</t>
    </r>
  </si>
  <si>
    <r>
      <rPr>
        <b val="true"/>
        <sz val="10"/>
        <rFont val="Arial"/>
        <family val="0"/>
        <charset val="1"/>
      </rPr>
      <t xml:space="preserve">MS First Capital (MS&amp;AD)
</t>
    </r>
    <r>
      <rPr>
        <sz val="8"/>
        <color rgb="FF595959"/>
        <rFont val="Arial"/>
        <family val="0"/>
        <charset val="1"/>
      </rPr>
      <t xml:space="preserve">MS First Capital Insurance Limited - GIFT City IFSC branch</t>
    </r>
  </si>
  <si>
    <r>
      <rPr>
        <b val="true"/>
        <sz val="9"/>
        <color rgb="FF1F3864"/>
        <rFont val="Arial"/>
        <family val="0"/>
        <charset val="1"/>
      </rPr>
      <t xml:space="preserve">Reinsurance branch with local CFO (GIFT City)
</t>
    </r>
    <r>
      <rPr>
        <b val="true"/>
        <sz val="9"/>
        <rFont val="Arial"/>
        <family val="0"/>
        <charset val="1"/>
      </rPr>
      <t xml:space="preserve">Finance: </t>
    </r>
    <r>
      <rPr>
        <sz val="9"/>
        <rFont val="Arial"/>
        <family val="0"/>
        <charset val="1"/>
      </rPr>
      <t xml:space="preserve">CFO appointed Jul 2026 for the GIFT City operations: branch-level finance leadership, no shared-services finance hub.
</t>
    </r>
    <r>
      <rPr>
        <b val="true"/>
        <sz val="9"/>
        <rFont val="Arial"/>
        <family val="0"/>
        <charset val="1"/>
      </rPr>
      <t xml:space="preserve">Insurance Operations: </t>
    </r>
    <r>
      <rPr>
        <sz val="9"/>
        <rFont val="Arial"/>
        <family val="0"/>
        <charset val="1"/>
      </rPr>
      <t xml:space="preserve">Reinsurance operations commenced Jul 2026 under Principal Officer R. Vaidyanathan, serving Indian cedants and brokers as part of MS&amp;AD's Asia growth strategy.
</t>
    </r>
    <r>
      <rPr>
        <i val="true"/>
        <sz val="8"/>
        <color rgb="FF7F6000"/>
        <rFont val="Arial"/>
        <family val="0"/>
        <charset val="1"/>
      </rPr>
      <t xml:space="preserve">Note: Lines underwritten not disclosed</t>
    </r>
  </si>
  <si>
    <r>
      <rPr>
        <b val="true"/>
        <sz val="8"/>
        <rFont val="Arial"/>
        <family val="0"/>
        <charset val="1"/>
      </rPr>
      <t xml:space="preserve">Finance:
</t>
    </r>
    <r>
      <rPr>
        <u val="single"/>
        <sz val="8"/>
        <color rgb="FF0563C1"/>
        <rFont val="Arial"/>
        <family val="0"/>
        <charset val="1"/>
      </rPr>
      <t xml:space="preserve">https://www.reinsurancene.ws/ms-first-capital-begins-reinsurance-operations-from-indias-gift-city/
</t>
    </r>
    <r>
      <rPr>
        <b val="true"/>
        <sz val="8"/>
        <rFont val="Arial"/>
        <family val="0"/>
        <charset val="1"/>
      </rPr>
      <t xml:space="preserve">Insurance Operations:
</t>
    </r>
    <r>
      <rPr>
        <u val="single"/>
        <sz val="8"/>
        <color rgb="FF0563C1"/>
        <rFont val="Arial"/>
        <family val="0"/>
        <charset val="1"/>
      </rPr>
      <t xml:space="preserve">https://www.reinsurancene.ws/ms-first-capital-begins-reinsurance-operations-from-indias-gift-city/
https://reinasia.com/ms-first-capital-kicks-off-reinsurance-operations-from-gift-city/</t>
    </r>
  </si>
  <si>
    <r>
      <rPr>
        <b val="true"/>
        <sz val="10"/>
        <rFont val="Arial"/>
        <family val="0"/>
        <charset val="1"/>
      </rPr>
      <t xml:space="preserve">EarthRe (InRisk Labs)
</t>
    </r>
    <r>
      <rPr>
        <sz val="8"/>
        <color rgb="FF595959"/>
        <rFont val="Arial"/>
        <family val="0"/>
        <charset val="1"/>
      </rPr>
      <t xml:space="preserve">EarthRe Insurance IFSC Limited</t>
    </r>
  </si>
  <si>
    <t xml:space="preserve">Technology-led NatCat &amp; specialty reinsurance</t>
  </si>
  <si>
    <r>
      <rPr>
        <b val="true"/>
        <sz val="9"/>
        <color rgb="FF1F3864"/>
        <rFont val="Arial"/>
        <family val="0"/>
        <charset val="1"/>
      </rPr>
      <t xml:space="preserve">Technology-led NatCat reinsurer (GIFT City)
</t>
    </r>
    <r>
      <rPr>
        <b val="true"/>
        <sz val="9"/>
        <rFont val="Arial"/>
        <family val="0"/>
        <charset val="1"/>
      </rPr>
      <t xml:space="preserve">Technology: </t>
    </r>
    <r>
      <rPr>
        <sz val="9"/>
        <rFont val="Arial"/>
        <family val="0"/>
        <charset val="1"/>
      </rPr>
      <t xml:space="preserve">AI-led risk-intelligence platform built in GIFT City by parent InRisk Labs, scaled with USD 27m Series A (Aug 2026): climate, geospatial, satellite and claims data for pricing.
</t>
    </r>
    <r>
      <rPr>
        <b val="true"/>
        <sz val="9"/>
        <rFont val="Arial"/>
        <family val="0"/>
        <charset val="1"/>
      </rPr>
      <t xml:space="preserve">Insurance Operations: </t>
    </r>
    <r>
      <rPr>
        <sz val="9"/>
        <rFont val="Arial"/>
        <family val="0"/>
        <charset val="1"/>
      </rPr>
      <t xml:space="preserve">First locally incorporated GIFT City reinsurer, licensed Aug 2026: NatCat, property, crop and specialty underwriting with catastrophe modelling and parametric structures.
</t>
    </r>
    <r>
      <rPr>
        <i val="true"/>
        <sz val="8"/>
        <color rgb="FF7F6000"/>
        <rFont val="Arial"/>
        <family val="0"/>
        <charset val="1"/>
      </rPr>
      <t xml:space="preserve">Note: Indian insurtech, not foreign-owned; USD 27m Series A Aug 2026</t>
    </r>
  </si>
  <si>
    <r>
      <rPr>
        <b val="true"/>
        <sz val="8"/>
        <rFont val="Arial"/>
        <family val="0"/>
        <charset val="1"/>
      </rPr>
      <t xml:space="preserve">Technology:
</t>
    </r>
    <r>
      <rPr>
        <u val="single"/>
        <sz val="8"/>
        <color rgb="FF0563C1"/>
        <rFont val="Arial"/>
        <family val="0"/>
        <charset val="1"/>
      </rPr>
      <t xml:space="preserve">https://inc42.com/buzz/inrisk-labs-raises-27-mn-to-scale-ai-led-reinsurance-platform-earthre/
https://www.dealstreetasia.com/stories/bessemer-northpoint-inrisk-labs-491236
</t>
    </r>
    <r>
      <rPr>
        <b val="true"/>
        <sz val="8"/>
        <rFont val="Arial"/>
        <family val="0"/>
        <charset val="1"/>
      </rPr>
      <t xml:space="preserve">Insurance Operations:
</t>
    </r>
    <r>
      <rPr>
        <u val="single"/>
        <sz val="8"/>
        <color rgb="FF0563C1"/>
        <rFont val="Arial"/>
        <family val="0"/>
        <charset val="1"/>
      </rPr>
      <t xml:space="preserve">https://www.reinsurancene.ws/earthre-gets-reinsurance-licence-for-gift-city-as-parent-inrisk-labs-closes-series-a/
https://inc42.com/buzz/inrisk-labs-raises-27-mn-to-scale-ai-led-reinsurance-platform-earthre/</t>
    </r>
  </si>
  <si>
    <r>
      <rPr>
        <b val="true"/>
        <sz val="10"/>
        <rFont val="Arial"/>
        <family val="0"/>
        <charset val="1"/>
      </rPr>
      <t xml:space="preserve">Allianz Partners
</t>
    </r>
    <r>
      <rPr>
        <sz val="8"/>
        <color rgb="FF595959"/>
        <rFont val="Arial"/>
        <family val="0"/>
        <charset val="1"/>
      </rPr>
      <t xml:space="preserve">AWP P&amp;C S.A. - IFSC Insurance Office</t>
    </r>
  </si>
  <si>
    <t xml:space="preserve">GIFT City, Gandhinagar (2024)</t>
  </si>
  <si>
    <r>
      <rPr>
        <b val="true"/>
        <sz val="9"/>
        <color rgb="FF1F3864"/>
        <rFont val="Arial"/>
        <family val="0"/>
        <charset val="1"/>
      </rPr>
      <t xml:space="preserve">Travel and device reinsurance branch (GIFT City)
</t>
    </r>
    <r>
      <rPr>
        <b val="true"/>
        <sz val="9"/>
        <rFont val="Arial"/>
        <family val="0"/>
        <charset val="1"/>
      </rPr>
      <t xml:space="preserve">Insurance Operations: </t>
    </r>
    <r>
      <rPr>
        <sz val="9"/>
        <rFont val="Arial"/>
        <family val="0"/>
        <charset val="1"/>
      </rPr>
      <t xml:space="preserve">IIO reinsurance branch live since Apr 2024 as first foreign reinsurer in the IFSC: B2B/B2B2C travel, mobile device and digital-risk reinsurance; set-up unchanged.
</t>
    </r>
    <r>
      <rPr>
        <i val="true"/>
        <sz val="8"/>
        <color rgb="FF7F6000"/>
        <rFont val="Arial"/>
        <family val="0"/>
        <charset val="1"/>
      </rPr>
      <t xml:space="preserve">Note: Separate from Allianz Services India tech/ops centres; branch head not published</t>
    </r>
  </si>
  <si>
    <r>
      <rPr>
        <b val="true"/>
        <sz val="8"/>
        <rFont val="Arial"/>
        <family val="0"/>
        <charset val="1"/>
      </rPr>
      <t xml:space="preserve">Insurance Operations:
</t>
    </r>
    <r>
      <rPr>
        <u val="single"/>
        <sz val="8"/>
        <color rgb="FF0563C1"/>
        <rFont val="Arial"/>
        <family val="0"/>
        <charset val="1"/>
      </rPr>
      <t xml:space="preserve">https://www.allianz-partners.com/en_IN/in-the-news/press-releases/Allianz-Partners-becomes-the-First-Foreign-Reinsurer-to-launch-operations-in-GIFT-City.html
https://www.insurancebusinessmag.com/reinsurance/news/breaking-news/allianz-partners-marks-reinsurance-milestone-in-india-484363.aspx</t>
    </r>
  </si>
  <si>
    <r>
      <rPr>
        <b val="true"/>
        <sz val="10"/>
        <rFont val="Arial"/>
        <family val="0"/>
        <charset val="1"/>
      </rPr>
      <t xml:space="preserve">Singapore Re (Fairfax)
</t>
    </r>
    <r>
      <rPr>
        <sz val="8"/>
        <color rgb="FF595959"/>
        <rFont val="Arial"/>
        <family val="0"/>
        <charset val="1"/>
      </rPr>
      <t xml:space="preserve">Singapore Reinsurance Corporation - IFSC Insurance Office</t>
    </r>
  </si>
  <si>
    <r>
      <rPr>
        <b val="true"/>
        <sz val="9"/>
        <color rgb="FF1F3864"/>
        <rFont val="Arial"/>
        <family val="0"/>
        <charset val="1"/>
      </rPr>
      <t xml:space="preserve">Category-2 P&amp;C reinsurance branch (GIFT City)
</t>
    </r>
    <r>
      <rPr>
        <b val="true"/>
        <sz val="9"/>
        <rFont val="Arial"/>
        <family val="0"/>
        <charset val="1"/>
      </rPr>
      <t xml:space="preserve">Insurance Operations: </t>
    </r>
    <r>
      <rPr>
        <sz val="9"/>
        <rFont val="Arial"/>
        <family val="0"/>
        <charset val="1"/>
      </rPr>
      <t xml:space="preserve">IFSCA Category-2 reinsurer licence Jun 2025 for property and casualty treaty and facultative covers across accident, agriculture, marine, motor and property lines.
</t>
    </r>
    <r>
      <rPr>
        <i val="true"/>
        <sz val="8"/>
        <color rgb="FF7F6000"/>
        <rFont val="Arial"/>
        <family val="0"/>
        <charset val="1"/>
      </rPr>
      <t xml:space="preserve">Note: India lead and operational start date not published</t>
    </r>
  </si>
  <si>
    <r>
      <rPr>
        <b val="true"/>
        <sz val="8"/>
        <rFont val="Arial"/>
        <family val="0"/>
        <charset val="1"/>
      </rPr>
      <t xml:space="preserve">Insurance Operations:
</t>
    </r>
    <r>
      <rPr>
        <u val="single"/>
        <sz val="8"/>
        <color rgb="FF0563C1"/>
        <rFont val="Arial"/>
        <family val="0"/>
        <charset val="1"/>
      </rPr>
      <t xml:space="preserve">https://www.insurancebusinessmag.com/reinsurance/news/breaking-news/sing-re-receives-ifsca-approval-to-open-branch-in-gift-city-540076.aspx
https://www.reinsurancene.ws/singapore-re-secures-reinsurance-branch-license-to-operate-as-iio-in-indias-gift-city/</t>
    </r>
  </si>
  <si>
    <r>
      <rPr>
        <b val="true"/>
        <sz val="10"/>
        <rFont val="Arial"/>
        <family val="0"/>
        <charset val="1"/>
      </rPr>
      <t xml:space="preserve">Peak Re
</t>
    </r>
    <r>
      <rPr>
        <sz val="8"/>
        <color rgb="FF595959"/>
        <rFont val="Arial"/>
        <family val="0"/>
        <charset val="1"/>
      </rPr>
      <t xml:space="preserve">Peak Reinsurance Company Limited - IFSCA Branch</t>
    </r>
  </si>
  <si>
    <r>
      <rPr>
        <b val="true"/>
        <sz val="9"/>
        <color rgb="FF1F3864"/>
        <rFont val="Arial"/>
        <family val="0"/>
        <charset val="1"/>
      </rPr>
      <t xml:space="preserve">P&amp;C and L&amp;H reinsurance branch (GIFT City)
</t>
    </r>
    <r>
      <rPr>
        <b val="true"/>
        <sz val="9"/>
        <rFont val="Arial"/>
        <family val="0"/>
        <charset val="1"/>
      </rPr>
      <t xml:space="preserve">Insurance Operations: </t>
    </r>
    <r>
      <rPr>
        <sz val="9"/>
        <rFont val="Arial"/>
        <family val="0"/>
        <charset val="1"/>
      </rPr>
      <t xml:space="preserve">Category-2 IIO licensed Feb 2025 to write P&amp;C and Life &amp; Health reinsurance, developed under India head Sudhir Salian to deepen Peak Re's Indian footprint.</t>
    </r>
  </si>
  <si>
    <r>
      <rPr>
        <b val="true"/>
        <sz val="8"/>
        <rFont val="Arial"/>
        <family val="0"/>
        <charset val="1"/>
      </rPr>
      <t xml:space="preserve">Insurance Operations:
</t>
    </r>
    <r>
      <rPr>
        <u val="single"/>
        <sz val="8"/>
        <color rgb="FF0563C1"/>
        <rFont val="Arial"/>
        <family val="0"/>
        <charset val="1"/>
      </rPr>
      <t xml:space="preserve">https://peak-re.com/en/company/press/peak-re-secures-licence-to-operate-in-gift-ifsc-india/
https://www.reinsurancene.ws/peak-re-granted-licence-to-operate-in-gift-ifsc-india/</t>
    </r>
  </si>
  <si>
    <r>
      <rPr>
        <b val="true"/>
        <sz val="10"/>
        <rFont val="Arial"/>
        <family val="0"/>
        <charset val="1"/>
      </rPr>
      <t xml:space="preserve">Doha Insurance Group
</t>
    </r>
    <r>
      <rPr>
        <sz val="8"/>
        <color rgb="FF595959"/>
        <rFont val="Arial"/>
        <family val="0"/>
        <charset val="1"/>
      </rPr>
      <t xml:space="preserve">Doha Insurance Group IFSC Branch, GIFT City</t>
    </r>
  </si>
  <si>
    <r>
      <rPr>
        <b val="true"/>
        <sz val="9"/>
        <color rgb="FF1F3864"/>
        <rFont val="Arial"/>
        <family val="0"/>
        <charset val="1"/>
      </rPr>
      <t xml:space="preserve">Reinsurance branch led by ex-COO (GIFT City)
</t>
    </r>
    <r>
      <rPr>
        <b val="true"/>
        <sz val="9"/>
        <rFont val="Arial"/>
        <family val="0"/>
        <charset val="1"/>
      </rPr>
      <t xml:space="preserve">Insurance Operations: </t>
    </r>
    <r>
      <rPr>
        <sz val="9"/>
        <rFont val="Arial"/>
        <family val="0"/>
        <charset val="1"/>
      </rPr>
      <t xml:space="preserve">IFSCA reinsurance branch registered Dec 2024 and operational since Mar 2025, managed by former group COO Rony Daniel as India branch lead.
</t>
    </r>
    <r>
      <rPr>
        <i val="true"/>
        <sz val="8"/>
        <color rgb="FF7F6000"/>
        <rFont val="Arial"/>
        <family val="0"/>
        <charset val="1"/>
      </rPr>
      <t xml:space="preserve">Note: Lines underwritten not disclosed</t>
    </r>
  </si>
  <si>
    <r>
      <rPr>
        <b val="true"/>
        <sz val="8"/>
        <rFont val="Arial"/>
        <family val="0"/>
        <charset val="1"/>
      </rPr>
      <t xml:space="preserve">Insurance Operations:
</t>
    </r>
    <r>
      <rPr>
        <u val="single"/>
        <sz val="8"/>
        <color rgb="FF0563C1"/>
        <rFont val="Arial"/>
        <family val="0"/>
        <charset val="1"/>
      </rPr>
      <t xml:space="preserve">https://thegroup.com.qa/groupdownload/newsreport//NEWS202412250856025968.html
https://atlas-mag.net/en/articles/doha-insurance-group-expands-reinsurance-operations-india</t>
    </r>
  </si>
  <si>
    <t xml:space="preserve">Legend: a tick in Technology / Finance / Insurance Operations / Internal Audit (SOX, ICFR) means verified evidence that the function is performed or being built in India within roughly the past 1-2 years; the focus column states why each flagged bucket is flagged and the underlying trend; the source column lists the links per bucket. Group-level or parent news, registry revenue figures and bare licence events do not earn a tick. Evidence base: Oct 2026 research and audit of columns O-R (see Focus Review Log).</t>
  </si>
</sst>
</file>

<file path=xl/styles.xml><?xml version="1.0" encoding="utf-8"?>
<styleSheet xmlns="http://schemas.openxmlformats.org/spreadsheetml/2006/main">
  <numFmts count="15">
    <numFmt numFmtId="164" formatCode="General"/>
    <numFmt numFmtId="165" formatCode="_(* #,##0.00_);_(* \(#,##0.00\);_(* \-??_);_(@_)"/>
    <numFmt numFmtId="166" formatCode="0%"/>
    <numFmt numFmtId="167" formatCode="m/d/yyyy"/>
    <numFmt numFmtId="168" formatCode="&quot;$ &quot;#,##0,,&quot; Mn&quot;"/>
    <numFmt numFmtId="169" formatCode="#,##0"/>
    <numFmt numFmtId="170" formatCode="mmm\-yy"/>
    <numFmt numFmtId="171" formatCode="d\-mmm\-yy"/>
    <numFmt numFmtId="172" formatCode="_-* #,##0.00_-;\-* #,##0.00_-;_-* \-??_-;_-@_-"/>
    <numFmt numFmtId="173" formatCode="[$€-2]\ #,##0.00"/>
    <numFmt numFmtId="174" formatCode="_-[$$-C09]* #,##0.00_-;\-[$$-C09]* #,##0.00_-;_-[$$-C09]* \-??_-;_-@_-"/>
    <numFmt numFmtId="175" formatCode="#,##0.00\ [$₦-467]"/>
    <numFmt numFmtId="176" formatCode="[$XAF]\ #,##0.00"/>
    <numFmt numFmtId="177" formatCode="[$KES]\ #,##0.00"/>
    <numFmt numFmtId="178" formatCode="General"/>
  </numFmts>
  <fonts count="85">
    <font>
      <sz val="11"/>
      <color theme="1"/>
      <name val="Aptos Narrow"/>
      <family val="2"/>
      <charset val="1"/>
    </font>
    <font>
      <sz val="10"/>
      <name val="Arial"/>
      <family val="0"/>
    </font>
    <font>
      <sz val="10"/>
      <name val="Arial"/>
      <family val="0"/>
    </font>
    <font>
      <sz val="10"/>
      <name val="Arial"/>
      <family val="0"/>
    </font>
    <font>
      <sz val="9"/>
      <color theme="1"/>
      <name val="EYInterstate"/>
      <family val="0"/>
      <charset val="1"/>
    </font>
    <font>
      <b val="true"/>
      <sz val="9"/>
      <color theme="1"/>
      <name val="EYInterstate"/>
      <family val="0"/>
      <charset val="1"/>
    </font>
    <font>
      <b val="true"/>
      <sz val="9"/>
      <name val="EYInterstate"/>
      <family val="0"/>
      <charset val="1"/>
    </font>
    <font>
      <u val="single"/>
      <sz val="11"/>
      <color theme="10"/>
      <name val="Aptos Narrow"/>
      <family val="2"/>
      <charset val="1"/>
    </font>
    <font>
      <sz val="11"/>
      <color theme="1"/>
      <name val="Segoe UI"/>
      <family val="2"/>
      <charset val="1"/>
    </font>
    <font>
      <sz val="9"/>
      <name val="EYInterstate"/>
      <family val="0"/>
      <charset val="1"/>
    </font>
    <font>
      <sz val="11"/>
      <color theme="10"/>
      <name val="Aptos Narrow"/>
      <family val="2"/>
      <charset val="1"/>
    </font>
    <font>
      <sz val="11"/>
      <color rgb="FF000000"/>
      <name val="Calibri"/>
      <family val="2"/>
      <charset val="1"/>
    </font>
    <font>
      <sz val="10"/>
      <color theme="1"/>
      <name val="EYInterstate"/>
      <family val="0"/>
      <charset val="1"/>
    </font>
    <font>
      <b val="true"/>
      <u val="single"/>
      <sz val="12"/>
      <color theme="1"/>
      <name val="EYInterstate"/>
      <family val="0"/>
      <charset val="1"/>
    </font>
    <font>
      <b val="true"/>
      <sz val="10"/>
      <color theme="1"/>
      <name val="EYInterstate"/>
      <family val="0"/>
      <charset val="1"/>
    </font>
    <font>
      <i val="true"/>
      <sz val="9"/>
      <color rgb="FF00008B"/>
      <name val="EYInterstate"/>
      <family val="0"/>
      <charset val="1"/>
    </font>
    <font>
      <sz val="10"/>
      <color rgb="FFFF0000"/>
      <name val="EYInterstate"/>
      <family val="0"/>
      <charset val="1"/>
    </font>
    <font>
      <b val="true"/>
      <sz val="10"/>
      <color theme="1" tint="0.0499"/>
      <name val="EYInterstate"/>
      <family val="0"/>
      <charset val="1"/>
    </font>
    <font>
      <sz val="10"/>
      <name val="EYInterstate"/>
      <family val="0"/>
      <charset val="1"/>
    </font>
    <font>
      <b val="true"/>
      <sz val="10"/>
      <color rgb="FF00008B"/>
      <name val="EYInterstate"/>
      <family val="0"/>
      <charset val="1"/>
    </font>
    <font>
      <sz val="10"/>
      <color rgb="FF00008B"/>
      <name val="EYInterstate"/>
      <family val="0"/>
      <charset val="1"/>
    </font>
    <font>
      <sz val="10"/>
      <color rgb="FF000000"/>
      <name val="EYInterstate"/>
      <family val="0"/>
      <charset val="1"/>
    </font>
    <font>
      <sz val="10"/>
      <color rgb="FF3C7D22"/>
      <name val="EYInterstate"/>
      <family val="0"/>
      <charset val="1"/>
    </font>
    <font>
      <sz val="10"/>
      <color rgb="FF7030A0"/>
      <name val="EYInterstate"/>
      <family val="0"/>
      <charset val="1"/>
    </font>
    <font>
      <u val="single"/>
      <sz val="10"/>
      <color rgb="FF0000FF"/>
      <name val="EYInterstate"/>
      <family val="0"/>
      <charset val="1"/>
    </font>
    <font>
      <sz val="10"/>
      <color theme="9" tint="-0.25"/>
      <name val="EYInterstate"/>
      <family val="0"/>
      <charset val="1"/>
    </font>
    <font>
      <sz val="10"/>
      <color theme="6"/>
      <name val="EYInterstate"/>
      <family val="0"/>
      <charset val="1"/>
    </font>
    <font>
      <strike val="true"/>
      <sz val="10"/>
      <color rgb="FFC00000"/>
      <name val="EYInterstate"/>
      <family val="0"/>
      <charset val="1"/>
    </font>
    <font>
      <i val="true"/>
      <sz val="9"/>
      <color rgb="FFC00000"/>
      <name val="EYInterstate"/>
      <family val="0"/>
      <charset val="1"/>
    </font>
    <font>
      <strike val="true"/>
      <sz val="10"/>
      <color rgb="FF7030A0"/>
      <name val="EYInterstate"/>
      <family val="0"/>
      <charset val="1"/>
    </font>
    <font>
      <strike val="true"/>
      <sz val="10"/>
      <color rgb="FF000000"/>
      <name val="EYInterstate"/>
      <family val="0"/>
      <charset val="1"/>
    </font>
    <font>
      <b val="true"/>
      <sz val="10"/>
      <color rgb="FF7030A0"/>
      <name val="EYInterstate"/>
      <family val="0"/>
      <charset val="1"/>
    </font>
    <font>
      <sz val="10"/>
      <color theme="9" tint="-0.5"/>
      <name val="EYInterstate"/>
      <family val="0"/>
      <charset val="1"/>
    </font>
    <font>
      <b val="true"/>
      <sz val="10"/>
      <color theme="6"/>
      <name val="EYInterstate"/>
      <family val="0"/>
      <charset val="1"/>
    </font>
    <font>
      <u val="single"/>
      <sz val="10"/>
      <color theme="6"/>
      <name val="EYInterstate"/>
      <family val="0"/>
      <charset val="1"/>
    </font>
    <font>
      <b val="true"/>
      <u val="single"/>
      <sz val="10"/>
      <color theme="6"/>
      <name val="EYInterstate"/>
      <family val="0"/>
      <charset val="1"/>
    </font>
    <font>
      <b val="true"/>
      <sz val="10"/>
      <color theme="9" tint="-0.5"/>
      <name val="EYInterstate"/>
      <family val="0"/>
      <charset val="1"/>
    </font>
    <font>
      <u val="single"/>
      <sz val="10"/>
      <color theme="9" tint="-0.5"/>
      <name val="EYInterstate"/>
      <family val="0"/>
      <charset val="1"/>
    </font>
    <font>
      <u val="single"/>
      <sz val="10"/>
      <color theme="10"/>
      <name val="EYInterstate"/>
      <family val="0"/>
      <charset val="1"/>
    </font>
    <font>
      <b val="true"/>
      <sz val="10"/>
      <color rgb="FF00B0F0"/>
      <name val="EYInterstate"/>
      <family val="0"/>
      <charset val="1"/>
    </font>
    <font>
      <sz val="10"/>
      <color rgb="FF00B0F0"/>
      <name val="EYInterstate"/>
      <family val="0"/>
      <charset val="1"/>
    </font>
    <font>
      <u val="single"/>
      <sz val="10"/>
      <color rgb="FF00B0F0"/>
      <name val="EYInterstate"/>
      <family val="0"/>
      <charset val="1"/>
    </font>
    <font>
      <b val="true"/>
      <u val="single"/>
      <sz val="10"/>
      <color theme="1"/>
      <name val="EYInterstate"/>
      <family val="0"/>
      <charset val="1"/>
    </font>
    <font>
      <b val="true"/>
      <sz val="10"/>
      <name val="EYInterstate"/>
      <family val="0"/>
      <charset val="1"/>
    </font>
    <font>
      <u val="single"/>
      <sz val="10"/>
      <name val="EYInterstate"/>
      <family val="0"/>
      <charset val="1"/>
    </font>
    <font>
      <sz val="10"/>
      <color rgb="FF00B050"/>
      <name val="EYInterstate"/>
      <family val="0"/>
      <charset val="1"/>
    </font>
    <font>
      <u val="single"/>
      <sz val="10"/>
      <color theme="1"/>
      <name val="EYInterstate"/>
      <family val="0"/>
      <charset val="1"/>
    </font>
    <font>
      <b val="true"/>
      <strike val="true"/>
      <sz val="10"/>
      <color theme="1"/>
      <name val="EYInterstate"/>
      <family val="0"/>
      <charset val="1"/>
    </font>
    <font>
      <strike val="true"/>
      <sz val="10"/>
      <color theme="1"/>
      <name val="EYInterstate"/>
      <family val="0"/>
      <charset val="1"/>
    </font>
    <font>
      <b val="true"/>
      <sz val="10"/>
      <color rgb="FF800080"/>
      <name val="EYInterstate"/>
      <family val="0"/>
      <charset val="1"/>
    </font>
    <font>
      <sz val="10"/>
      <color theme="1" tint="0.0499"/>
      <name val="EYInterstate"/>
      <family val="0"/>
      <charset val="1"/>
    </font>
    <font>
      <b val="true"/>
      <u val="single"/>
      <sz val="10"/>
      <color theme="1" tint="0.0499"/>
      <name val="EYInterstate"/>
      <family val="0"/>
      <charset val="1"/>
    </font>
    <font>
      <u val="single"/>
      <sz val="10"/>
      <color theme="1" tint="0.0499"/>
      <name val="EYInterstate"/>
      <family val="0"/>
      <charset val="1"/>
    </font>
    <font>
      <strike val="true"/>
      <u val="single"/>
      <sz val="10"/>
      <color theme="1"/>
      <name val="EYInterstate"/>
      <family val="0"/>
      <charset val="1"/>
    </font>
    <font>
      <b val="true"/>
      <sz val="9"/>
      <color rgb="FF000000"/>
      <name val="Calibri"/>
      <family val="2"/>
      <charset val="1"/>
    </font>
    <font>
      <sz val="9"/>
      <color rgb="FF000000"/>
      <name val="Calibri"/>
      <family val="2"/>
      <charset val="1"/>
    </font>
    <font>
      <b val="true"/>
      <sz val="11"/>
      <color rgb="FF000000"/>
      <name val="Aptos Narrow"/>
      <family val="2"/>
      <charset val="1"/>
    </font>
    <font>
      <sz val="11"/>
      <color rgb="FF000000"/>
      <name val="Aptos Narrow"/>
      <family val="2"/>
      <charset val="1"/>
    </font>
    <font>
      <b val="true"/>
      <sz val="9"/>
      <color rgb="FF0D0D0D"/>
      <name val="EYInterstate"/>
      <family val="0"/>
      <charset val="1"/>
    </font>
    <font>
      <sz val="9"/>
      <color rgb="FF0D0D0D"/>
      <name val="EYInterstate"/>
      <family val="0"/>
      <charset val="1"/>
    </font>
    <font>
      <sz val="7"/>
      <color rgb="FF000000"/>
      <name val="Segoe UI"/>
      <family val="2"/>
      <charset val="1"/>
    </font>
    <font>
      <b val="true"/>
      <sz val="7"/>
      <color rgb="FF000000"/>
      <name val="Segoe UI"/>
      <family val="2"/>
      <charset val="1"/>
    </font>
    <font>
      <i val="true"/>
      <sz val="7"/>
      <color rgb="FF000000"/>
      <name val="Segoe UI"/>
      <family val="2"/>
      <charset val="1"/>
    </font>
    <font>
      <b val="true"/>
      <sz val="10"/>
      <name val="Arial"/>
      <family val="0"/>
      <charset val="1"/>
    </font>
    <font>
      <sz val="9"/>
      <name val="Arial"/>
      <family val="0"/>
      <charset val="1"/>
    </font>
    <font>
      <b val="true"/>
      <sz val="10"/>
      <color rgb="FFFFFFFF"/>
      <name val="Arial"/>
      <family val="0"/>
      <charset val="1"/>
    </font>
    <font>
      <sz val="9"/>
      <color rgb="FF595959"/>
      <name val="Arial"/>
      <family val="0"/>
      <charset val="1"/>
    </font>
    <font>
      <sz val="10"/>
      <name val="Arial"/>
      <family val="0"/>
      <charset val="1"/>
    </font>
    <font>
      <i val="true"/>
      <sz val="10"/>
      <color rgb="FF808080"/>
      <name val="Arial"/>
      <family val="0"/>
      <charset val="1"/>
    </font>
    <font>
      <b val="true"/>
      <sz val="10"/>
      <color rgb="FF1F3864"/>
      <name val="Arial"/>
      <family val="0"/>
      <charset val="1"/>
    </font>
    <font>
      <sz val="10"/>
      <color rgb="FF1F3864"/>
      <name val="Arial"/>
      <family val="0"/>
      <charset val="1"/>
    </font>
    <font>
      <u val="single"/>
      <sz val="9"/>
      <color rgb="FF0563C1"/>
      <name val="Arial"/>
      <family val="0"/>
      <charset val="1"/>
    </font>
    <font>
      <b val="true"/>
      <sz val="10"/>
      <color rgb="FFC65911"/>
      <name val="Arial"/>
      <family val="0"/>
      <charset val="1"/>
    </font>
    <font>
      <strike val="true"/>
      <sz val="10"/>
      <color rgb="FFC00000"/>
      <name val="Arial"/>
      <family val="0"/>
      <charset val="1"/>
    </font>
    <font>
      <b val="true"/>
      <sz val="10"/>
      <color rgb="FFC00000"/>
      <name val="Arial"/>
      <family val="0"/>
      <charset val="1"/>
    </font>
    <font>
      <b val="true"/>
      <sz val="10"/>
      <color rgb="FF375623"/>
      <name val="Arial"/>
      <family val="0"/>
      <charset val="1"/>
    </font>
    <font>
      <b val="true"/>
      <sz val="12"/>
      <color rgb="FFFFFFFF"/>
      <name val="Arial"/>
      <family val="0"/>
      <charset val="1"/>
    </font>
    <font>
      <b val="true"/>
      <sz val="9"/>
      <name val="Arial"/>
      <family val="0"/>
      <charset val="1"/>
    </font>
    <font>
      <sz val="8"/>
      <color rgb="FF595959"/>
      <name val="Arial"/>
      <family val="0"/>
      <charset val="1"/>
    </font>
    <font>
      <b val="true"/>
      <sz val="11"/>
      <color rgb="FF1F3864"/>
      <name val="Arial"/>
      <family val="0"/>
      <charset val="1"/>
    </font>
    <font>
      <b val="true"/>
      <sz val="9"/>
      <color rgb="FF1F3864"/>
      <name val="Arial"/>
      <family val="0"/>
      <charset val="1"/>
    </font>
    <font>
      <b val="true"/>
      <sz val="8"/>
      <name val="Arial"/>
      <family val="0"/>
      <charset val="1"/>
    </font>
    <font>
      <u val="single"/>
      <sz val="8"/>
      <color rgb="FF0563C1"/>
      <name val="Arial"/>
      <family val="0"/>
      <charset val="1"/>
    </font>
    <font>
      <i val="true"/>
      <sz val="8"/>
      <color rgb="FF7F6000"/>
      <name val="Arial"/>
      <family val="0"/>
      <charset val="1"/>
    </font>
    <font>
      <i val="true"/>
      <sz val="8"/>
      <color rgb="FF595959"/>
      <name val="Arial"/>
      <family val="0"/>
      <charset val="1"/>
    </font>
  </fonts>
  <fills count="25">
    <fill>
      <patternFill patternType="none"/>
    </fill>
    <fill>
      <patternFill patternType="gray125"/>
    </fill>
    <fill>
      <patternFill patternType="solid">
        <fgColor theme="0" tint="-0.25"/>
        <bgColor rgb="FFC9C9D6"/>
      </patternFill>
    </fill>
    <fill>
      <patternFill patternType="solid">
        <fgColor theme="3" tint="0.7499"/>
        <bgColor rgb="FFC9C9D6"/>
      </patternFill>
    </fill>
    <fill>
      <patternFill patternType="solid">
        <fgColor theme="6" tint="0.7999"/>
        <bgColor rgb="FFD9F2D0"/>
      </patternFill>
    </fill>
    <fill>
      <patternFill patternType="solid">
        <fgColor theme="2" tint="-0.25"/>
        <bgColor rgb="FFA6A6A6"/>
      </patternFill>
    </fill>
    <fill>
      <patternFill patternType="solid">
        <fgColor rgb="FFFFFF00"/>
        <bgColor rgb="FFFFE600"/>
      </patternFill>
    </fill>
    <fill>
      <patternFill patternType="solid">
        <fgColor rgb="FFFFC000"/>
        <bgColor rgb="FFFFE600"/>
      </patternFill>
    </fill>
    <fill>
      <patternFill patternType="solid">
        <fgColor theme="0"/>
        <bgColor rgb="FFF7F7FA"/>
      </patternFill>
    </fill>
    <fill>
      <patternFill patternType="solid">
        <fgColor rgb="FF00B0F0"/>
        <bgColor rgb="FF00B050"/>
      </patternFill>
    </fill>
    <fill>
      <patternFill patternType="solid">
        <fgColor theme="9" tint="0.7999"/>
        <bgColor rgb="FFEAF4EA"/>
      </patternFill>
    </fill>
    <fill>
      <patternFill patternType="solid">
        <fgColor theme="2" tint="-0.1"/>
        <bgColor rgb="FFD0D0D8"/>
      </patternFill>
    </fill>
    <fill>
      <patternFill patternType="solid">
        <fgColor rgb="FFA6A6A6"/>
        <bgColor rgb="FFAEAEAE"/>
      </patternFill>
    </fill>
    <fill>
      <patternFill patternType="solid">
        <fgColor rgb="FF1F3864"/>
        <bgColor rgb="FF2E2E38"/>
      </patternFill>
    </fill>
    <fill>
      <patternFill patternType="solid">
        <fgColor rgb="FFD9E1F2"/>
        <bgColor rgb="FFE6E6EC"/>
      </patternFill>
    </fill>
    <fill>
      <patternFill patternType="solid">
        <fgColor rgb="FFEAF1FB"/>
        <bgColor rgb="FFEAF4EA"/>
      </patternFill>
    </fill>
    <fill>
      <patternFill patternType="solid">
        <fgColor rgb="FFFFF4E5"/>
        <bgColor rgb="FFF7F7FA"/>
      </patternFill>
    </fill>
    <fill>
      <patternFill patternType="solid">
        <fgColor rgb="FFFDE9E9"/>
        <bgColor rgb="FFFFF4E5"/>
      </patternFill>
    </fill>
    <fill>
      <patternFill patternType="solid">
        <fgColor rgb="FFEAF4EA"/>
        <bgColor rgb="FFEAF1FB"/>
      </patternFill>
    </fill>
    <fill>
      <patternFill patternType="solid">
        <fgColor rgb="FF2E2E38"/>
        <bgColor rgb="FF1F3864"/>
      </patternFill>
    </fill>
    <fill>
      <patternFill patternType="solid">
        <fgColor rgb="FFC9C9D6"/>
        <bgColor rgb="FFD0D0D8"/>
      </patternFill>
    </fill>
    <fill>
      <patternFill patternType="solid">
        <fgColor rgb="FFFFE600"/>
        <bgColor rgb="FFFFFF00"/>
      </patternFill>
    </fill>
    <fill>
      <patternFill patternType="solid">
        <fgColor rgb="FFE6E6EC"/>
        <bgColor rgb="FFE6E6E6"/>
      </patternFill>
    </fill>
    <fill>
      <patternFill patternType="solid">
        <fgColor rgb="FFFFF6B3"/>
        <bgColor rgb="FFFFF4E5"/>
      </patternFill>
    </fill>
    <fill>
      <patternFill patternType="solid">
        <fgColor rgb="FFF7F7FA"/>
        <bgColor rgb="FFFFFFFF"/>
      </patternFill>
    </fill>
  </fills>
  <borders count="21">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hair"/>
      <bottom style="hair"/>
      <diagonal/>
    </border>
    <border diagonalUp="false" diagonalDown="false">
      <left style="thin"/>
      <right style="thin"/>
      <top style="thin"/>
      <bottom style="hair"/>
      <diagonal/>
    </border>
    <border diagonalUp="false" diagonalDown="false">
      <left style="thin"/>
      <right style="thin"/>
      <top style="hair"/>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style="hair"/>
      <diagonal/>
    </border>
    <border diagonalUp="false" diagonalDown="false">
      <left style="thin"/>
      <right/>
      <top style="hair"/>
      <bottom style="hair"/>
      <diagonal/>
    </border>
    <border diagonalUp="false" diagonalDown="false">
      <left style="thin"/>
      <right style="thin"/>
      <top/>
      <bottom style="hair"/>
      <diagonal/>
    </border>
    <border diagonalUp="false" diagonalDown="false">
      <left style="thin"/>
      <right/>
      <top style="hair"/>
      <bottom style="thin"/>
      <diagonal/>
    </border>
    <border diagonalUp="false" diagonalDown="false">
      <left style="thin"/>
      <right/>
      <top style="thin"/>
      <bottom style="thin"/>
      <diagonal/>
    </border>
    <border diagonalUp="false" diagonalDown="false">
      <left style="medium">
        <color rgb="FFE6E6E6"/>
      </left>
      <right style="medium">
        <color rgb="FFE6E6E6"/>
      </right>
      <top style="medium">
        <color rgb="FFE6E6E6"/>
      </top>
      <bottom style="medium">
        <color rgb="FFE6E6E6"/>
      </bottom>
      <diagonal/>
    </border>
    <border diagonalUp="false" diagonalDown="false">
      <left/>
      <right/>
      <top/>
      <bottom style="thin"/>
      <diagonal/>
    </border>
    <border diagonalUp="false" diagonalDown="false">
      <left style="thin"/>
      <right/>
      <top style="thin"/>
      <bottom/>
      <diagonal/>
    </border>
    <border diagonalUp="false" diagonalDown="false">
      <left/>
      <right style="medium">
        <color rgb="FFE6E6E6"/>
      </right>
      <top style="medium">
        <color rgb="FFE6E6E6"/>
      </top>
      <bottom style="medium">
        <color rgb="FFE6E6E6"/>
      </bottom>
      <diagonal/>
    </border>
    <border diagonalUp="false" diagonalDown="false">
      <left/>
      <right style="thin"/>
      <top style="thin"/>
      <bottom style="thin"/>
      <diagonal/>
    </border>
    <border diagonalUp="false" diagonalDown="false">
      <left/>
      <right style="thin"/>
      <top/>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0D0D8"/>
      </left>
      <right style="thin">
        <color rgb="FFD0D0D8"/>
      </right>
      <top style="thin">
        <color rgb="FFD0D0D8"/>
      </top>
      <bottom style="thin">
        <color rgb="FFD0D0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center"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5" fontId="4" fillId="0" borderId="2" xfId="0" applyFont="true" applyBorder="true" applyAlignment="true" applyProtection="false">
      <alignment horizontal="general" vertical="bottom" textRotation="0" wrapText="false" indent="0" shrinkToFit="false"/>
      <protection locked="true" hidden="false"/>
    </xf>
    <xf numFmtId="166" fontId="4" fillId="0" borderId="2"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4" fillId="0" borderId="2" xfId="0" applyFont="true" applyBorder="true" applyAlignment="true" applyProtection="false">
      <alignment horizontal="center"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5" fontId="4" fillId="0" borderId="2" xfId="0" applyFont="true" applyBorder="true" applyAlignment="true" applyProtection="false">
      <alignment horizontal="general" vertical="top" textRotation="0" wrapText="true" indent="0" shrinkToFit="false"/>
      <protection locked="true" hidden="false"/>
    </xf>
    <xf numFmtId="164" fontId="7" fillId="0" borderId="6" xfId="0" applyFont="true" applyBorder="true" applyAlignment="true" applyProtection="false">
      <alignment horizontal="general" vertical="top" textRotation="0" wrapText="true" indent="0" shrinkToFit="false"/>
      <protection locked="true" hidden="false"/>
    </xf>
    <xf numFmtId="164" fontId="4" fillId="0" borderId="6" xfId="0" applyFont="true" applyBorder="true" applyAlignment="true" applyProtection="false">
      <alignment horizontal="general" vertical="top" textRotation="0" wrapText="true" indent="0" shrinkToFit="false"/>
      <protection locked="true" hidden="false"/>
    </xf>
    <xf numFmtId="164" fontId="4" fillId="3" borderId="2" xfId="0" applyFont="true" applyBorder="true" applyAlignment="true" applyProtection="false">
      <alignment horizontal="general" vertical="top" textRotation="0" wrapText="true" indent="0" shrinkToFit="false"/>
      <protection locked="true" hidden="false"/>
    </xf>
    <xf numFmtId="164" fontId="4" fillId="0" borderId="4" xfId="0" applyFont="true" applyBorder="true" applyAlignment="true" applyProtection="false">
      <alignment horizontal="center" vertical="top" textRotation="0" wrapText="false" indent="0" shrinkToFit="false"/>
      <protection locked="true" hidden="false"/>
    </xf>
    <xf numFmtId="164" fontId="4" fillId="3" borderId="4" xfId="0" applyFont="true" applyBorder="true" applyAlignment="true" applyProtection="false">
      <alignment horizontal="general" vertical="top" textRotation="0" wrapText="true" indent="0" shrinkToFit="false"/>
      <protection locked="true" hidden="false"/>
    </xf>
    <xf numFmtId="164" fontId="4" fillId="0" borderId="4" xfId="0" applyFont="true" applyBorder="true" applyAlignment="true" applyProtection="false">
      <alignment horizontal="general" vertical="top" textRotation="0" wrapText="true" indent="0" shrinkToFit="false"/>
      <protection locked="true" hidden="false"/>
    </xf>
    <xf numFmtId="164" fontId="4" fillId="0" borderId="4" xfId="0" applyFont="true" applyBorder="true" applyAlignment="true" applyProtection="false">
      <alignment horizontal="general" vertical="top" textRotation="0" wrapText="false" indent="0" shrinkToFit="false"/>
      <protection locked="true" hidden="false"/>
    </xf>
    <xf numFmtId="164" fontId="7" fillId="0" borderId="7" xfId="0" applyFont="true" applyBorder="true" applyAlignment="true" applyProtection="false">
      <alignment horizontal="general" vertical="top" textRotation="0" wrapText="true" indent="0" shrinkToFit="false"/>
      <protection locked="true" hidden="false"/>
    </xf>
    <xf numFmtId="165" fontId="4" fillId="0" borderId="4" xfId="0" applyFont="true" applyBorder="true" applyAlignment="true" applyProtection="false">
      <alignment horizontal="general" vertical="top" textRotation="0" wrapText="true" indent="0" shrinkToFit="false"/>
      <protection locked="true" hidden="false"/>
    </xf>
    <xf numFmtId="164" fontId="4" fillId="0" borderId="3" xfId="0" applyFont="true" applyBorder="true" applyAlignment="true" applyProtection="false">
      <alignment horizontal="center" vertical="top" textRotation="0" wrapText="false" indent="0" shrinkToFit="false"/>
      <protection locked="true" hidden="false"/>
    </xf>
    <xf numFmtId="164" fontId="4" fillId="0" borderId="3" xfId="0" applyFont="true" applyBorder="true" applyAlignment="true" applyProtection="false">
      <alignment horizontal="general" vertical="top" textRotation="0" wrapText="true" indent="0" shrinkToFit="false"/>
      <protection locked="true" hidden="false"/>
    </xf>
    <xf numFmtId="164" fontId="4" fillId="0" borderId="3"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5" fontId="4" fillId="0" borderId="3"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fals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6" fillId="2" borderId="5" xfId="0" applyFont="true" applyBorder="true" applyAlignment="true" applyProtection="false">
      <alignment horizontal="center" vertical="top" textRotation="0" wrapText="false" indent="0" shrinkToFit="false"/>
      <protection locked="true" hidden="false"/>
    </xf>
    <xf numFmtId="164" fontId="9" fillId="0" borderId="3" xfId="0" applyFont="true" applyBorder="true" applyAlignment="true" applyProtection="false">
      <alignment horizontal="general" vertical="top" textRotation="0" wrapText="false" indent="0" shrinkToFit="false"/>
      <protection locked="true" hidden="false"/>
    </xf>
    <xf numFmtId="164" fontId="4" fillId="0" borderId="3" xfId="0" applyFont="true" applyBorder="true" applyAlignment="true" applyProtection="false">
      <alignment horizontal="left" vertical="top" textRotation="0" wrapText="false" indent="0" shrinkToFit="false"/>
      <protection locked="true" hidden="false"/>
    </xf>
    <xf numFmtId="164" fontId="4" fillId="0" borderId="8" xfId="0" applyFont="true" applyBorder="true" applyAlignment="true" applyProtection="false">
      <alignment horizontal="general" vertical="top" textRotation="0" wrapText="false" indent="0" shrinkToFit="false"/>
      <protection locked="true" hidden="false"/>
    </xf>
    <xf numFmtId="164" fontId="4" fillId="0" borderId="5"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4" fillId="0" borderId="9" xfId="0" applyFont="true" applyBorder="true" applyAlignment="true" applyProtection="false">
      <alignment horizontal="general" vertical="top" textRotation="0" wrapText="false" indent="0" shrinkToFit="false"/>
      <protection locked="true" hidden="false"/>
    </xf>
    <xf numFmtId="164" fontId="4" fillId="0" borderId="6" xfId="0" applyFont="true" applyBorder="true" applyAlignment="true" applyProtection="false">
      <alignment horizontal="general" vertical="top" textRotation="0" wrapText="false" indent="0" shrinkToFit="false"/>
      <protection locked="true" hidden="false"/>
    </xf>
    <xf numFmtId="164" fontId="4" fillId="0" borderId="10" xfId="0" applyFont="true" applyBorder="true" applyAlignment="true" applyProtection="false">
      <alignment horizontal="general" vertical="top" textRotation="0" wrapText="false" indent="0" shrinkToFit="false"/>
      <protection locked="true" hidden="false"/>
    </xf>
    <xf numFmtId="164" fontId="4" fillId="0" borderId="9"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true" indent="0" shrinkToFit="false"/>
      <protection locked="true" hidden="false"/>
    </xf>
    <xf numFmtId="164" fontId="9" fillId="0" borderId="4"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4" fillId="0" borderId="11" xfId="0" applyFont="true" applyBorder="true" applyAlignment="true" applyProtection="false">
      <alignment horizontal="general" vertical="top" textRotation="0" wrapText="false" indent="0" shrinkToFit="false"/>
      <protection locked="true" hidden="false"/>
    </xf>
    <xf numFmtId="164" fontId="4" fillId="0" borderId="7" xfId="0" applyFont="true" applyBorder="true" applyAlignment="true" applyProtection="false">
      <alignment horizontal="general" vertical="top"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4" fontId="6" fillId="2" borderId="12"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0" borderId="12"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7" fillId="0" borderId="13"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9" fillId="0" borderId="1" xfId="0" applyFont="true" applyBorder="true" applyAlignment="true" applyProtection="false">
      <alignment horizontal="left" vertical="top"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top"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12" fillId="0" borderId="0" xfId="0" applyFont="true" applyBorder="false" applyAlignment="true" applyProtection="false">
      <alignment horizontal="center" vertical="top"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left" vertical="top" textRotation="0" wrapText="false" indent="0" shrinkToFit="false"/>
      <protection locked="true" hidden="false"/>
    </xf>
    <xf numFmtId="164" fontId="12" fillId="0" borderId="0" xfId="0" applyFont="true" applyBorder="true" applyAlignment="true" applyProtection="false">
      <alignment horizontal="left" vertical="top" textRotation="0" wrapText="false" indent="0" shrinkToFit="false"/>
      <protection locked="true" hidden="false"/>
    </xf>
    <xf numFmtId="164" fontId="17" fillId="2" borderId="12" xfId="0" applyFont="true" applyBorder="true" applyAlignment="true" applyProtection="false">
      <alignment horizontal="center" vertical="top" textRotation="0" wrapText="false" indent="0" shrinkToFit="false"/>
      <protection locked="true" hidden="false"/>
    </xf>
    <xf numFmtId="164" fontId="17" fillId="2" borderId="0" xfId="0" applyFont="true" applyBorder="false" applyAlignment="true" applyProtection="false">
      <alignment horizontal="center" vertical="top"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2" fillId="8" borderId="1" xfId="0" applyFont="true" applyBorder="true" applyAlignment="true" applyProtection="false">
      <alignment horizontal="left" vertical="top" textRotation="0" wrapText="true" indent="0" shrinkToFit="false"/>
      <protection locked="true" hidden="false"/>
    </xf>
    <xf numFmtId="169" fontId="12"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left" vertical="top"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false" indent="0" shrinkToFit="false"/>
      <protection locked="true" hidden="false"/>
    </xf>
    <xf numFmtId="164" fontId="18" fillId="0" borderId="1" xfId="0" applyFont="true" applyBorder="true" applyAlignment="true" applyProtection="false">
      <alignment horizontal="left" vertical="top" textRotation="0" wrapText="false" indent="0" shrinkToFit="false"/>
      <protection locked="true" hidden="false"/>
    </xf>
    <xf numFmtId="170" fontId="18" fillId="0" borderId="1" xfId="0" applyFont="true" applyBorder="tru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left" vertical="top" textRotation="0" wrapText="false" indent="0" shrinkToFit="false"/>
      <protection locked="true" hidden="false"/>
    </xf>
    <xf numFmtId="167" fontId="18" fillId="0" borderId="1" xfId="0" applyFont="true" applyBorder="tru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left"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71" fontId="18"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center" textRotation="0" wrapText="false" indent="0" shrinkToFit="false"/>
      <protection locked="true" hidden="false"/>
    </xf>
    <xf numFmtId="164" fontId="18" fillId="0" borderId="1" xfId="0" applyFont="true" applyBorder="true" applyAlignment="true" applyProtection="false">
      <alignment horizontal="general" vertical="top" textRotation="0" wrapText="false" indent="0" shrinkToFit="false"/>
      <protection locked="true" hidden="false"/>
    </xf>
    <xf numFmtId="164" fontId="29" fillId="0" borderId="1" xfId="0" applyFont="true" applyBorder="true" applyAlignment="true" applyProtection="false">
      <alignment horizontal="left" vertical="top" textRotation="0" wrapText="true" indent="0"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6" fillId="9"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4" fontId="18" fillId="0" borderId="12" xfId="0" applyFont="true" applyBorder="true" applyAlignment="true" applyProtection="false">
      <alignment horizontal="left" vertical="top" textRotation="0" wrapText="true" indent="0" shrinkToFit="false"/>
      <protection locked="true" hidden="false"/>
    </xf>
    <xf numFmtId="164" fontId="25" fillId="8" borderId="1" xfId="0" applyFont="true" applyBorder="true" applyAlignment="true" applyProtection="false">
      <alignment horizontal="left" vertical="top" textRotation="0" wrapText="true" indent="0" shrinkToFit="false"/>
      <protection locked="true" hidden="false"/>
    </xf>
    <xf numFmtId="164" fontId="32" fillId="8" borderId="1" xfId="0" applyFont="true" applyBorder="true" applyAlignment="true" applyProtection="false">
      <alignment horizontal="left" vertical="top" textRotation="0" wrapText="true" indent="0" shrinkToFit="false"/>
      <protection locked="true" hidden="false"/>
    </xf>
    <xf numFmtId="164" fontId="33" fillId="0" borderId="1" xfId="0" applyFont="true" applyBorder="true" applyAlignment="true" applyProtection="false">
      <alignment horizontal="left" vertical="top" textRotation="0" wrapText="true" indent="0" shrinkToFit="false"/>
      <protection locked="true" hidden="false"/>
    </xf>
    <xf numFmtId="164" fontId="26" fillId="0" borderId="5" xfId="0" applyFont="true" applyBorder="true" applyAlignment="true" applyProtection="false">
      <alignment horizontal="center" vertical="top" textRotation="0" wrapText="false" indent="0" shrinkToFit="false"/>
      <protection locked="true" hidden="false"/>
    </xf>
    <xf numFmtId="164" fontId="33" fillId="0" borderId="5" xfId="0" applyFont="true" applyBorder="true" applyAlignment="true" applyProtection="false">
      <alignment horizontal="left" vertical="top" textRotation="0" wrapText="true" indent="0" shrinkToFit="false"/>
      <protection locked="true" hidden="false"/>
    </xf>
    <xf numFmtId="164" fontId="26" fillId="8" borderId="5" xfId="0" applyFont="true" applyBorder="true" applyAlignment="true" applyProtection="false">
      <alignment horizontal="left" vertical="top" textRotation="0" wrapText="true" indent="0" shrinkToFit="false"/>
      <protection locked="true" hidden="false"/>
    </xf>
    <xf numFmtId="164" fontId="26" fillId="0" borderId="5" xfId="0" applyFont="true" applyBorder="true" applyAlignment="true" applyProtection="false">
      <alignment horizontal="left" vertical="top" textRotation="0" wrapText="true" indent="0" shrinkToFit="false"/>
      <protection locked="true" hidden="false"/>
    </xf>
    <xf numFmtId="167" fontId="26" fillId="0" borderId="5" xfId="0" applyFont="true" applyBorder="true" applyAlignment="true" applyProtection="false">
      <alignment horizontal="left" vertical="top" textRotation="0" wrapText="true" indent="0" shrinkToFit="false"/>
      <protection locked="true" hidden="false"/>
    </xf>
    <xf numFmtId="164" fontId="26" fillId="0" borderId="5" xfId="0" applyFont="true" applyBorder="true" applyAlignment="true" applyProtection="false">
      <alignment horizontal="left" vertical="top" textRotation="0" wrapText="false" indent="0" shrinkToFit="false"/>
      <protection locked="true" hidden="false"/>
    </xf>
    <xf numFmtId="164" fontId="27" fillId="0" borderId="5" xfId="0" applyFont="true" applyBorder="true" applyAlignment="true" applyProtection="false">
      <alignment horizontal="general" vertical="top" textRotation="0" wrapText="true" indent="0" shrinkToFit="false"/>
      <protection locked="true" hidden="false"/>
    </xf>
    <xf numFmtId="164" fontId="18" fillId="0" borderId="5" xfId="0" applyFont="true" applyBorder="true" applyAlignment="true" applyProtection="false">
      <alignment horizontal="general" vertical="top" textRotation="0" wrapText="true" indent="0" shrinkToFit="false"/>
      <protection locked="true" hidden="false"/>
    </xf>
    <xf numFmtId="164" fontId="34" fillId="0" borderId="5" xfId="0" applyFont="true" applyBorder="true" applyAlignment="true" applyProtection="false">
      <alignment horizontal="left" vertical="top" textRotation="0" wrapText="true" indent="0" shrinkToFit="false"/>
      <protection locked="true" hidden="false"/>
    </xf>
    <xf numFmtId="164" fontId="18" fillId="0" borderId="5" xfId="0" applyFont="true" applyBorder="true" applyAlignment="true" applyProtection="false">
      <alignment horizontal="left" vertical="top" textRotation="0" wrapText="false" indent="0" shrinkToFit="false"/>
      <protection locked="true" hidden="false"/>
    </xf>
    <xf numFmtId="164" fontId="31" fillId="0" borderId="1" xfId="0" applyFont="true" applyBorder="true" applyAlignment="true" applyProtection="false">
      <alignment horizontal="center" vertical="top" textRotation="0" wrapText="false" indent="0" shrinkToFit="false"/>
      <protection locked="true" hidden="false"/>
    </xf>
    <xf numFmtId="164" fontId="33" fillId="0"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6" fillId="8" borderId="1" xfId="0" applyFont="true" applyBorder="true" applyAlignment="true" applyProtection="false">
      <alignment horizontal="left" vertical="top" textRotation="0" wrapText="true" indent="0" shrinkToFit="false"/>
      <protection locked="true" hidden="false"/>
    </xf>
    <xf numFmtId="164" fontId="33" fillId="0" borderId="1" xfId="0" applyFont="true" applyBorder="true" applyAlignment="true" applyProtection="false">
      <alignment horizontal="left" vertical="top" textRotation="0" wrapText="false" indent="0" shrinkToFit="false"/>
      <protection locked="true" hidden="false"/>
    </xf>
    <xf numFmtId="167" fontId="33" fillId="0" borderId="1" xfId="0" applyFont="true" applyBorder="true" applyAlignment="true" applyProtection="false">
      <alignment horizontal="left" vertical="top" textRotation="0" wrapText="true" indent="0" shrinkToFit="false"/>
      <protection locked="true" hidden="false"/>
    </xf>
    <xf numFmtId="164" fontId="35"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false" indent="0" shrinkToFit="false"/>
      <protection locked="true" hidden="false"/>
    </xf>
    <xf numFmtId="164" fontId="36" fillId="0" borderId="1" xfId="0" applyFont="true" applyBorder="true" applyAlignment="true" applyProtection="false">
      <alignment horizontal="center" vertical="top" textRotation="0" wrapText="false" indent="0" shrinkToFit="false"/>
      <protection locked="true" hidden="false"/>
    </xf>
    <xf numFmtId="164" fontId="36" fillId="0" borderId="1" xfId="0" applyFont="true" applyBorder="true" applyAlignment="true" applyProtection="false">
      <alignment horizontal="left" vertical="top" textRotation="0" wrapText="true" indent="0" shrinkToFit="false"/>
      <protection locked="true" hidden="false"/>
    </xf>
    <xf numFmtId="164" fontId="32" fillId="0" borderId="1" xfId="0" applyFont="true" applyBorder="true" applyAlignment="true" applyProtection="false">
      <alignment horizontal="left" vertical="top" textRotation="0" wrapText="false" indent="0" shrinkToFit="false"/>
      <protection locked="true" hidden="false"/>
    </xf>
    <xf numFmtId="164" fontId="31" fillId="0" borderId="1" xfId="0" applyFont="true" applyBorder="true" applyAlignment="true" applyProtection="false">
      <alignment horizontal="left" vertical="top" textRotation="0" wrapText="fals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left" vertical="top" textRotation="0" wrapText="false" indent="0" shrinkToFit="false"/>
      <protection locked="true" hidden="false"/>
    </xf>
    <xf numFmtId="164" fontId="32" fillId="0" borderId="1" xfId="0" applyFont="true" applyBorder="true" applyAlignment="true" applyProtection="false">
      <alignment horizontal="general" vertical="top" textRotation="0" wrapText="false" indent="0" shrinkToFit="false"/>
      <protection locked="true" hidden="false"/>
    </xf>
    <xf numFmtId="164" fontId="32" fillId="0" borderId="1"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left" vertical="top" textRotation="0" wrapText="true" indent="0" shrinkToFit="false"/>
      <protection locked="true" hidden="false"/>
    </xf>
    <xf numFmtId="164" fontId="38" fillId="0" borderId="1" xfId="0" applyFont="true" applyBorder="true" applyAlignment="true" applyProtection="false">
      <alignment horizontal="general" vertical="top" textRotation="0" wrapText="false" indent="0" shrinkToFit="false"/>
      <protection locked="true" hidden="false"/>
    </xf>
    <xf numFmtId="164" fontId="36" fillId="0" borderId="1" xfId="0" applyFont="true" applyBorder="true" applyAlignment="true" applyProtection="false">
      <alignment horizontal="general" vertical="top" textRotation="0" wrapText="false" indent="0" shrinkToFit="false"/>
      <protection locked="true" hidden="false"/>
    </xf>
    <xf numFmtId="164" fontId="39" fillId="0" borderId="1" xfId="0" applyFont="true" applyBorder="true" applyAlignment="true" applyProtection="false">
      <alignment horizontal="center" vertical="top" textRotation="0" wrapText="false" indent="0" shrinkToFit="false"/>
      <protection locked="true" hidden="false"/>
    </xf>
    <xf numFmtId="164" fontId="39" fillId="10" borderId="1" xfId="0" applyFont="true" applyBorder="true" applyAlignment="true" applyProtection="false">
      <alignment horizontal="left" vertical="top" textRotation="0" wrapText="true" indent="0" shrinkToFit="false"/>
      <protection locked="true" hidden="false"/>
    </xf>
    <xf numFmtId="164" fontId="40" fillId="0" borderId="1" xfId="0" applyFont="true" applyBorder="true" applyAlignment="true" applyProtection="false">
      <alignment horizontal="general" vertical="top" textRotation="0" wrapText="true" indent="0" shrinkToFit="false"/>
      <protection locked="true" hidden="false"/>
    </xf>
    <xf numFmtId="164" fontId="36" fillId="8" borderId="1" xfId="0" applyFont="true" applyBorder="true" applyAlignment="true" applyProtection="false">
      <alignment horizontal="left" vertical="top" textRotation="0" wrapText="true" indent="0" shrinkToFit="false"/>
      <protection locked="true" hidden="false"/>
    </xf>
    <xf numFmtId="164" fontId="39" fillId="0" borderId="1" xfId="0" applyFont="true" applyBorder="true" applyAlignment="true" applyProtection="false">
      <alignment horizontal="left" vertical="top" textRotation="0" wrapText="false" indent="0" shrinkToFit="false"/>
      <protection locked="true" hidden="false"/>
    </xf>
    <xf numFmtId="164" fontId="41" fillId="0" borderId="1" xfId="0" applyFont="true" applyBorder="true" applyAlignment="true" applyProtection="false">
      <alignment horizontal="general" vertical="top" textRotation="0" wrapText="true" indent="0" shrinkToFit="false"/>
      <protection locked="true" hidden="false"/>
    </xf>
    <xf numFmtId="164" fontId="39" fillId="0" borderId="1" xfId="0" applyFont="true" applyBorder="true" applyAlignment="true" applyProtection="false">
      <alignment horizontal="general" vertical="top" textRotation="0" wrapText="false" indent="0" shrinkToFit="false"/>
      <protection locked="true" hidden="false"/>
    </xf>
    <xf numFmtId="169" fontId="40" fillId="0" borderId="1" xfId="0" applyFont="true" applyBorder="tru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42" fillId="0" borderId="0" xfId="0" applyFont="true" applyBorder="false" applyAlignment="true" applyProtection="false">
      <alignment horizontal="general" vertical="top" textRotation="0" wrapText="false" indent="0" shrinkToFit="false"/>
      <protection locked="true" hidden="false"/>
    </xf>
    <xf numFmtId="164" fontId="42" fillId="0" borderId="14" xfId="0" applyFont="true" applyBorder="true" applyAlignment="true" applyProtection="false">
      <alignment horizontal="general" vertical="top" textRotation="0" wrapText="false" indent="0" shrinkToFit="false"/>
      <protection locked="true" hidden="false"/>
    </xf>
    <xf numFmtId="164" fontId="14" fillId="11" borderId="1" xfId="0" applyFont="true" applyBorder="true" applyAlignment="true" applyProtection="false">
      <alignment horizontal="center" vertical="top" textRotation="0" wrapText="false" indent="0" shrinkToFit="false"/>
      <protection locked="true" hidden="false"/>
    </xf>
    <xf numFmtId="164" fontId="14" fillId="11" borderId="1" xfId="0" applyFont="true" applyBorder="true" applyAlignment="true" applyProtection="false">
      <alignment horizontal="left" vertical="top" textRotation="0" wrapText="fals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43" fillId="11" borderId="1" xfId="0" applyFont="true" applyBorder="true" applyAlignment="true" applyProtection="false">
      <alignment horizontal="left" vertical="top" textRotation="0" wrapText="true" indent="0" shrinkToFit="false"/>
      <protection locked="true" hidden="false"/>
    </xf>
    <xf numFmtId="164" fontId="43" fillId="11" borderId="1" xfId="0" applyFont="true" applyBorder="true" applyAlignment="true" applyProtection="false">
      <alignment horizontal="center" vertical="top" textRotation="0" wrapText="false" indent="0" shrinkToFit="false"/>
      <protection locked="true" hidden="false"/>
    </xf>
    <xf numFmtId="164" fontId="18" fillId="6" borderId="1" xfId="0" applyFont="true" applyBorder="true" applyAlignment="true" applyProtection="false">
      <alignment horizontal="left" vertical="top" textRotation="0" wrapText="false" indent="0" shrinkToFit="false"/>
      <protection locked="true" hidden="false"/>
    </xf>
    <xf numFmtId="164" fontId="43" fillId="6" borderId="1" xfId="0" applyFont="true" applyBorder="true" applyAlignment="true" applyProtection="false">
      <alignment horizontal="left" vertical="top" textRotation="0" wrapText="false" indent="0" shrinkToFit="false"/>
      <protection locked="true" hidden="false"/>
    </xf>
    <xf numFmtId="164" fontId="44" fillId="0" borderId="1" xfId="0" applyFont="true" applyBorder="true" applyAlignment="true" applyProtection="false">
      <alignment horizontal="left" vertical="top" textRotation="0" wrapText="true" indent="0" shrinkToFit="false"/>
      <protection locked="true" hidden="false"/>
    </xf>
    <xf numFmtId="164" fontId="18" fillId="0" borderId="0" xfId="0" applyFont="true" applyBorder="false" applyAlignment="true" applyProtection="false">
      <alignment horizontal="left" vertical="top" textRotation="0" wrapText="fals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38" fillId="0"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12" fillId="10" borderId="1" xfId="0" applyFont="true" applyBorder="true" applyAlignment="true" applyProtection="false">
      <alignment horizontal="left" vertical="top" textRotation="0" wrapText="true" indent="0" shrinkToFit="false"/>
      <protection locked="true" hidden="false"/>
    </xf>
    <xf numFmtId="164" fontId="12" fillId="0" borderId="5" xfId="0" applyFont="true" applyBorder="true" applyAlignment="true" applyProtection="false">
      <alignment horizontal="center" vertical="top" textRotation="0" wrapText="false" indent="0" shrinkToFit="false"/>
      <protection locked="true" hidden="false"/>
    </xf>
    <xf numFmtId="164" fontId="12" fillId="0" borderId="5" xfId="0" applyFont="true" applyBorder="true" applyAlignment="true" applyProtection="false">
      <alignment horizontal="left" vertical="top" textRotation="0" wrapText="true" indent="0" shrinkToFit="false"/>
      <protection locked="true" hidden="false"/>
    </xf>
    <xf numFmtId="164" fontId="12" fillId="8" borderId="5" xfId="0" applyFont="true" applyBorder="true" applyAlignment="true" applyProtection="false">
      <alignment horizontal="left" vertical="top" textRotation="0" wrapText="true" indent="0" shrinkToFit="false"/>
      <protection locked="true" hidden="false"/>
    </xf>
    <xf numFmtId="167" fontId="18" fillId="0" borderId="5" xfId="0" applyFont="true" applyBorder="true" applyAlignment="true" applyProtection="false">
      <alignment horizontal="left" vertical="top" textRotation="0" wrapText="true" indent="0" shrinkToFit="false"/>
      <protection locked="true" hidden="false"/>
    </xf>
    <xf numFmtId="164" fontId="18" fillId="8" borderId="5" xfId="0" applyFont="true" applyBorder="true" applyAlignment="true" applyProtection="false">
      <alignment horizontal="left" vertical="top" textRotation="0" wrapText="true" indent="0" shrinkToFit="false"/>
      <protection locked="true" hidden="false"/>
    </xf>
    <xf numFmtId="164" fontId="18" fillId="0" borderId="5" xfId="0" applyFont="true" applyBorder="true" applyAlignment="true" applyProtection="false">
      <alignment horizontal="left" vertical="top" textRotation="0" wrapText="true" indent="0" shrinkToFit="false"/>
      <protection locked="true" hidden="false"/>
    </xf>
    <xf numFmtId="164" fontId="24" fillId="0" borderId="5"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false" indent="0" shrinkToFit="false"/>
      <protection locked="true" hidden="false"/>
    </xf>
    <xf numFmtId="164" fontId="33" fillId="0" borderId="1" xfId="0" applyFont="true" applyBorder="true" applyAlignment="true" applyProtection="false">
      <alignment horizontal="center" vertical="top" textRotation="0" wrapText="false" indent="0" shrinkToFit="false"/>
      <protection locked="true" hidden="false"/>
    </xf>
    <xf numFmtId="164" fontId="33" fillId="0" borderId="1" xfId="0" applyFont="true" applyBorder="true" applyAlignment="true" applyProtection="false">
      <alignment horizontal="general" vertical="top" textRotation="0" wrapText="false" indent="0" shrinkToFit="false"/>
      <protection locked="true" hidden="false"/>
    </xf>
    <xf numFmtId="164" fontId="40" fillId="0" borderId="1" xfId="0" applyFont="true" applyBorder="true" applyAlignment="true" applyProtection="false">
      <alignment horizontal="center" vertical="top" textRotation="0" wrapText="false" indent="0" shrinkToFit="false"/>
      <protection locked="true" hidden="false"/>
    </xf>
    <xf numFmtId="164" fontId="40" fillId="1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false" indent="0" shrinkToFit="false"/>
      <protection locked="true" hidden="false"/>
    </xf>
    <xf numFmtId="164" fontId="40" fillId="0" borderId="1" xfId="0" applyFont="true" applyBorder="true" applyAlignment="true" applyProtection="false">
      <alignment horizontal="general" vertical="top" textRotation="0" wrapText="false" indent="0" shrinkToFit="false"/>
      <protection locked="true" hidden="false"/>
    </xf>
    <xf numFmtId="164" fontId="12" fillId="0" borderId="12" xfId="0" applyFont="true" applyBorder="true" applyAlignment="true" applyProtection="false">
      <alignment horizontal="center" vertical="top" textRotation="0" wrapText="false" indent="0" shrinkToFit="false"/>
      <protection locked="true" hidden="false"/>
    </xf>
    <xf numFmtId="164" fontId="40" fillId="0"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40" fillId="0" borderId="7" xfId="0" applyFont="true" applyBorder="true" applyAlignment="true" applyProtection="false">
      <alignment horizontal="left" vertical="top" textRotation="0" wrapText="true" indent="0" shrinkToFit="false"/>
      <protection locked="true" hidden="false"/>
    </xf>
    <xf numFmtId="164" fontId="39" fillId="0" borderId="1" xfId="0" applyFont="true" applyBorder="true" applyAlignment="true" applyProtection="false">
      <alignment horizontal="left" vertical="top" textRotation="0" wrapText="tru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4" fontId="17" fillId="2" borderId="15" xfId="0" applyFont="true" applyBorder="true" applyAlignment="true" applyProtection="false">
      <alignment horizontal="center" vertical="top"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12" fillId="0" borderId="1" xfId="0" applyFont="true" applyBorder="true" applyAlignment="true" applyProtection="false">
      <alignment horizontal="center" vertical="top" textRotation="0" wrapText="true" indent="0" shrinkToFit="false"/>
      <protection locked="true" hidden="false"/>
    </xf>
    <xf numFmtId="164" fontId="46"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47"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46" fillId="0" borderId="0" xfId="0" applyFont="true" applyBorder="false" applyAlignment="true" applyProtection="false">
      <alignment horizontal="general" vertical="top" textRotation="0" wrapText="true" indent="0" shrinkToFit="false"/>
      <protection locked="true" hidden="false"/>
    </xf>
    <xf numFmtId="164" fontId="48"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47" fillId="0" borderId="1" xfId="0" applyFont="true" applyBorder="true" applyAlignment="true" applyProtection="false">
      <alignment horizontal="left" vertical="top" textRotation="0" wrapText="tru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48" fillId="0"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4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2" fillId="0" borderId="16" xfId="0" applyFont="true" applyBorder="true" applyAlignment="true" applyProtection="false">
      <alignment horizontal="general" vertical="center" textRotation="0" wrapText="true" indent="0" shrinkToFit="false"/>
      <protection locked="true" hidden="false"/>
    </xf>
    <xf numFmtId="164" fontId="49" fillId="0" borderId="0" xfId="0" applyFont="true" applyBorder="false" applyAlignment="true" applyProtection="false">
      <alignment horizontal="general" vertical="top" textRotation="0" wrapText="false" indent="0" shrinkToFit="false"/>
      <protection locked="true" hidden="false"/>
    </xf>
    <xf numFmtId="164" fontId="49" fillId="0" borderId="0" xfId="0" applyFont="true" applyBorder="false" applyAlignment="true" applyProtection="false">
      <alignment horizontal="general" vertical="top" textRotation="0" wrapText="true" indent="0" shrinkToFit="false"/>
      <protection locked="true" hidden="false"/>
    </xf>
    <xf numFmtId="164" fontId="49" fillId="6" borderId="0" xfId="0" applyFont="true" applyBorder="false" applyAlignment="true" applyProtection="false">
      <alignment horizontal="general" vertical="top" textRotation="0" wrapText="true" indent="0" shrinkToFit="false"/>
      <protection locked="true" hidden="false"/>
    </xf>
    <xf numFmtId="164" fontId="49" fillId="6" borderId="0" xfId="0" applyFont="true" applyBorder="false" applyAlignment="true" applyProtection="false">
      <alignment horizontal="general" vertical="top" textRotation="0" wrapText="false" indent="0" shrinkToFit="false"/>
      <protection locked="true" hidden="false"/>
    </xf>
    <xf numFmtId="164" fontId="49" fillId="0" borderId="0" xfId="0" applyFont="true" applyBorder="false" applyAlignment="true" applyProtection="false">
      <alignment horizontal="center" vertical="top" textRotation="0" wrapText="false" indent="0" shrinkToFit="false"/>
      <protection locked="true" hidden="false"/>
    </xf>
    <xf numFmtId="164" fontId="31" fillId="0" borderId="0" xfId="0" applyFont="true" applyBorder="false" applyAlignment="true" applyProtection="false">
      <alignment horizontal="general" vertical="top" textRotation="0" wrapText="false" indent="0" shrinkToFit="false"/>
      <protection locked="true" hidden="false"/>
    </xf>
    <xf numFmtId="164" fontId="49" fillId="0" borderId="0" xfId="0" applyFont="true" applyBorder="false" applyAlignment="true" applyProtection="false">
      <alignment horizontal="left" vertical="top" textRotation="0" wrapText="false" indent="0" shrinkToFit="false"/>
      <protection locked="true" hidden="false"/>
    </xf>
    <xf numFmtId="164" fontId="31" fillId="0" borderId="0" xfId="0" applyFont="true" applyBorder="false" applyAlignment="true" applyProtection="false">
      <alignment horizontal="left" vertical="top" textRotation="0" wrapText="false" indent="0" shrinkToFit="false"/>
      <protection locked="true" hidden="false"/>
    </xf>
    <xf numFmtId="164" fontId="12" fillId="6" borderId="0" xfId="0" applyFont="true" applyBorder="false" applyAlignment="true" applyProtection="false">
      <alignment horizontal="general" vertical="top"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0" fillId="0" borderId="0" xfId="0" applyFont="true" applyBorder="fals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center" vertical="top" textRotation="0" wrapText="false" indent="0" shrinkToFit="false"/>
      <protection locked="true" hidden="false"/>
    </xf>
    <xf numFmtId="164" fontId="17" fillId="2" borderId="1" xfId="0" applyFont="true" applyBorder="true" applyAlignment="true" applyProtection="false">
      <alignment horizontal="center" vertical="top" textRotation="0" wrapText="true" indent="0" shrinkToFit="false"/>
      <protection locked="true" hidden="false"/>
    </xf>
    <xf numFmtId="164" fontId="17" fillId="7" borderId="1" xfId="0" applyFont="true" applyBorder="true" applyAlignment="true" applyProtection="false">
      <alignment horizontal="center" vertical="top" textRotation="0" wrapText="true" indent="0" shrinkToFit="false"/>
      <protection locked="true" hidden="false"/>
    </xf>
    <xf numFmtId="164" fontId="50" fillId="0" borderId="1" xfId="0" applyFont="true" applyBorder="true" applyAlignment="true" applyProtection="false">
      <alignment horizontal="center" vertical="top" textRotation="0" wrapText="false" indent="0" shrinkToFit="false"/>
      <protection locked="true" hidden="false"/>
    </xf>
    <xf numFmtId="164" fontId="50" fillId="0" borderId="1" xfId="0" applyFont="true" applyBorder="true" applyAlignment="true" applyProtection="false">
      <alignment horizontal="general" vertical="top" textRotation="0" wrapText="true" indent="0" shrinkToFit="false"/>
      <protection locked="true" hidden="false"/>
    </xf>
    <xf numFmtId="164" fontId="50" fillId="0" borderId="1" xfId="0" applyFont="true" applyBorder="true" applyAlignment="true" applyProtection="false">
      <alignment horizontal="general" vertical="top" textRotation="0" wrapText="false" indent="0" shrinkToFit="false"/>
      <protection locked="true" hidden="false"/>
    </xf>
    <xf numFmtId="164" fontId="50" fillId="0" borderId="1" xfId="0" applyFont="true" applyBorder="true" applyAlignment="true" applyProtection="false">
      <alignment horizontal="left" vertical="top" textRotation="0" wrapText="false" indent="0" shrinkToFit="false"/>
      <protection locked="true" hidden="false"/>
    </xf>
    <xf numFmtId="164" fontId="52" fillId="0" borderId="1" xfId="0" applyFont="true" applyBorder="true" applyAlignment="true" applyProtection="false">
      <alignment horizontal="general" vertical="top" textRotation="0" wrapText="true" indent="0" shrinkToFit="false"/>
      <protection locked="true" hidden="false"/>
    </xf>
    <xf numFmtId="172" fontId="50" fillId="0" borderId="1" xfId="0" applyFont="true" applyBorder="true" applyAlignment="true" applyProtection="false">
      <alignment horizontal="general" vertical="top" textRotation="0" wrapText="false" indent="0" shrinkToFit="false"/>
      <protection locked="true" hidden="false"/>
    </xf>
    <xf numFmtId="172" fontId="52" fillId="0" borderId="1" xfId="0" applyFont="true" applyBorder="true" applyAlignment="true" applyProtection="false">
      <alignment horizontal="general" vertical="top" textRotation="0" wrapText="true" indent="0" shrinkToFit="false"/>
      <protection locked="true" hidden="false"/>
    </xf>
    <xf numFmtId="164" fontId="50" fillId="0" borderId="1" xfId="0" applyFont="true" applyBorder="true" applyAlignment="true" applyProtection="false">
      <alignment horizontal="left" vertical="top" textRotation="0" wrapText="true" indent="0" shrinkToFit="false"/>
      <protection locked="true" hidden="false"/>
    </xf>
    <xf numFmtId="172" fontId="50" fillId="0" borderId="1" xfId="0" applyFont="true" applyBorder="true" applyAlignment="true" applyProtection="false">
      <alignment horizontal="right" vertical="top" textRotation="0" wrapText="true" indent="0" shrinkToFit="false"/>
      <protection locked="true" hidden="false"/>
    </xf>
    <xf numFmtId="164" fontId="50" fillId="0" borderId="0" xfId="0" applyFont="true" applyBorder="false" applyAlignment="true" applyProtection="false">
      <alignment horizontal="center" vertical="top" textRotation="0" wrapText="false" indent="0" shrinkToFit="false"/>
      <protection locked="true" hidden="false"/>
    </xf>
    <xf numFmtId="164" fontId="50"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general" vertical="top" textRotation="0" wrapText="false" indent="0" shrinkToFit="false"/>
      <protection locked="true" hidden="false"/>
    </xf>
    <xf numFmtId="173" fontId="18" fillId="0" borderId="1" xfId="0" applyFont="true" applyBorder="true" applyAlignment="true" applyProtection="false">
      <alignment horizontal="center" vertical="center" textRotation="0" wrapText="true" indent="0" shrinkToFit="false"/>
      <protection locked="true" hidden="false"/>
    </xf>
    <xf numFmtId="164" fontId="44" fillId="0" borderId="1" xfId="0" applyFont="true" applyBorder="true" applyAlignment="true" applyProtection="false">
      <alignment horizontal="center" vertical="center" textRotation="0" wrapText="true" indent="0" shrinkToFit="false"/>
      <protection locked="true" hidden="false"/>
    </xf>
    <xf numFmtId="174" fontId="18" fillId="0"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left" vertical="center" textRotation="0" wrapText="true" indent="0" shrinkToFit="false"/>
      <protection locked="true" hidden="false"/>
    </xf>
    <xf numFmtId="164" fontId="44" fillId="0" borderId="0" xfId="0" applyFont="true" applyBorder="false" applyAlignment="true" applyProtection="false">
      <alignment horizontal="center" vertical="center" textRotation="0" wrapText="true" indent="0" shrinkToFit="false"/>
      <protection locked="true" hidden="false"/>
    </xf>
    <xf numFmtId="175" fontId="18" fillId="0" borderId="1" xfId="0" applyFont="true" applyBorder="true" applyAlignment="true" applyProtection="false">
      <alignment horizontal="center" vertical="center" textRotation="0" wrapText="true" indent="0" shrinkToFit="false"/>
      <protection locked="true" hidden="false"/>
    </xf>
    <xf numFmtId="176" fontId="18" fillId="0" borderId="1" xfId="0" applyFont="true" applyBorder="true" applyAlignment="true" applyProtection="false">
      <alignment horizontal="center" vertical="center" textRotation="0" wrapText="true" indent="0" shrinkToFit="false"/>
      <protection locked="true" hidden="false"/>
    </xf>
    <xf numFmtId="177" fontId="18" fillId="0" borderId="1" xfId="0" applyFont="true" applyBorder="true" applyAlignment="true" applyProtection="false">
      <alignment horizontal="center" vertical="center" textRotation="0" wrapText="true" indent="0" shrinkToFit="false"/>
      <protection locked="true" hidden="false"/>
    </xf>
    <xf numFmtId="164" fontId="50" fillId="0" borderId="0" xfId="0" applyFont="true" applyBorder="fals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42" fillId="0"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left" vertical="center" textRotation="0" wrapText="false" indent="0" shrinkToFit="false"/>
      <protection locked="true" hidden="false"/>
    </xf>
    <xf numFmtId="164" fontId="14" fillId="2" borderId="1" xfId="0" applyFont="true" applyBorder="true" applyAlignment="true" applyProtection="false">
      <alignment horizontal="center" vertical="top" textRotation="0" wrapText="false" indent="0" shrinkToFit="false"/>
      <protection locked="true" hidden="false"/>
    </xf>
    <xf numFmtId="164" fontId="14" fillId="2" borderId="5" xfId="0" applyFont="true" applyBorder="true" applyAlignment="true" applyProtection="false">
      <alignment horizontal="center" vertical="top" textRotation="0" wrapText="false" indent="0" shrinkToFit="false"/>
      <protection locked="true" hidden="false"/>
    </xf>
    <xf numFmtId="164" fontId="14" fillId="7" borderId="5" xfId="0" applyFont="true" applyBorder="true" applyAlignment="true" applyProtection="false">
      <alignment horizontal="center" vertical="top" textRotation="0" wrapText="false" indent="0" shrinkToFit="false"/>
      <protection locked="true" hidden="false"/>
    </xf>
    <xf numFmtId="164" fontId="14" fillId="6" borderId="5" xfId="0" applyFont="true" applyBorder="true" applyAlignment="true" applyProtection="false">
      <alignment horizontal="left" vertical="top" textRotation="0" wrapText="false" indent="0" shrinkToFit="false"/>
      <protection locked="true" hidden="false"/>
    </xf>
    <xf numFmtId="172" fontId="12" fillId="0" borderId="1" xfId="0" applyFont="true" applyBorder="true" applyAlignment="true" applyProtection="false">
      <alignment horizontal="general" vertical="top" textRotation="0" wrapText="false" indent="0" shrinkToFit="false"/>
      <protection locked="true" hidden="false"/>
    </xf>
    <xf numFmtId="172" fontId="4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72" fontId="12" fillId="0" borderId="1" xfId="0" applyFont="true" applyBorder="true" applyAlignment="true" applyProtection="false">
      <alignment horizontal="right" vertical="top" textRotation="0" wrapText="true" indent="0" shrinkToFit="false"/>
      <protection locked="true" hidden="false"/>
    </xf>
    <xf numFmtId="164" fontId="45"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72" fontId="12" fillId="0" borderId="1" xfId="0" applyFont="true" applyBorder="true" applyAlignment="true" applyProtection="false">
      <alignment horizontal="right" vertical="top" textRotation="0" wrapText="false" indent="0" shrinkToFit="false"/>
      <protection locked="true" hidden="false"/>
    </xf>
    <xf numFmtId="172" fontId="12" fillId="0" borderId="0" xfId="0" applyFont="true" applyBorder="false" applyAlignment="true" applyProtection="false">
      <alignment horizontal="general" vertical="top" textRotation="0" wrapText="false" indent="0" shrinkToFit="false"/>
      <protection locked="true" hidden="false"/>
    </xf>
    <xf numFmtId="172" fontId="46"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78" fontId="48" fillId="0" borderId="1" xfId="0" applyFont="true" applyBorder="true" applyAlignment="true" applyProtection="false">
      <alignment horizontal="center" vertical="top" textRotation="0" wrapText="false" indent="0" shrinkToFit="false"/>
      <protection locked="true" hidden="false"/>
    </xf>
    <xf numFmtId="164" fontId="48" fillId="0" borderId="1" xfId="0" applyFont="true" applyBorder="true" applyAlignment="true" applyProtection="false">
      <alignment horizontal="general" vertical="top" textRotation="0" wrapText="false" indent="0" shrinkToFit="false"/>
      <protection locked="true" hidden="false"/>
    </xf>
    <xf numFmtId="164" fontId="48" fillId="0" borderId="1" xfId="0" applyFont="true" applyBorder="true" applyAlignment="true" applyProtection="false">
      <alignment horizontal="left" vertical="top" textRotation="0" wrapText="false" indent="0" shrinkToFit="false"/>
      <protection locked="true" hidden="false"/>
    </xf>
    <xf numFmtId="164" fontId="53" fillId="0" borderId="1" xfId="0" applyFont="true" applyBorder="true" applyAlignment="true" applyProtection="false">
      <alignment horizontal="general" vertical="top" textRotation="0" wrapText="true" indent="0" shrinkToFit="false"/>
      <protection locked="true" hidden="false"/>
    </xf>
    <xf numFmtId="172" fontId="48" fillId="0" borderId="1" xfId="0" applyFont="true" applyBorder="true" applyAlignment="true" applyProtection="false">
      <alignment horizontal="general" vertical="top" textRotation="0" wrapText="false" indent="0" shrinkToFit="false"/>
      <protection locked="true" hidden="false"/>
    </xf>
    <xf numFmtId="172" fontId="53" fillId="0" borderId="1" xfId="0" applyFont="true" applyBorder="true" applyAlignment="true" applyProtection="false">
      <alignment horizontal="general" vertical="top" textRotation="0" wrapText="true" indent="0" shrinkToFit="false"/>
      <protection locked="true" hidden="false"/>
    </xf>
    <xf numFmtId="164" fontId="48" fillId="0" borderId="1" xfId="0" applyFont="true" applyBorder="true" applyAlignment="true" applyProtection="false">
      <alignment horizontal="general" vertical="bottom" textRotation="0" wrapText="false" indent="0" shrinkToFit="false"/>
      <protection locked="true" hidden="false"/>
    </xf>
    <xf numFmtId="164" fontId="54" fillId="12" borderId="1" xfId="0" applyFont="true" applyBorder="true" applyAlignment="true" applyProtection="false">
      <alignment horizontal="general" vertical="bottom" textRotation="0" wrapText="false" indent="0" shrinkToFit="false"/>
      <protection locked="true" hidden="false"/>
    </xf>
    <xf numFmtId="164" fontId="54" fillId="6" borderId="1" xfId="0" applyFont="true" applyBorder="true" applyAlignment="tru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general" vertical="bottom" textRotation="0" wrapText="false" indent="0" shrinkToFit="false"/>
      <protection locked="true" hidden="false"/>
    </xf>
    <xf numFmtId="164" fontId="55" fillId="0" borderId="1" xfId="0" applyFont="true" applyBorder="tru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false" indent="0" shrinkToFit="false"/>
      <protection locked="true" hidden="false"/>
    </xf>
    <xf numFmtId="164" fontId="56" fillId="0" borderId="17" xfId="0" applyFont="true" applyBorder="true" applyAlignment="true" applyProtection="false">
      <alignment horizontal="general" vertical="bottom" textRotation="0" wrapText="false" indent="0" shrinkToFit="false"/>
      <protection locked="true" hidden="false"/>
    </xf>
    <xf numFmtId="164" fontId="58" fillId="0" borderId="17" xfId="0" applyFont="true" applyBorder="true" applyAlignment="true" applyProtection="false">
      <alignment horizontal="general" vertical="bottom" textRotation="0" wrapText="true" indent="0" shrinkToFit="false"/>
      <protection locked="true" hidden="false"/>
    </xf>
    <xf numFmtId="164" fontId="59" fillId="0" borderId="7" xfId="0" applyFont="true" applyBorder="true" applyAlignment="true" applyProtection="false">
      <alignment horizontal="general" vertical="bottom" textRotation="0" wrapText="true" indent="0" shrinkToFit="false"/>
      <protection locked="true" hidden="false"/>
    </xf>
    <xf numFmtId="164" fontId="59" fillId="0" borderId="18" xfId="0" applyFont="true" applyBorder="true" applyAlignment="true" applyProtection="false">
      <alignment horizontal="general" vertical="bottom" textRotation="0" wrapText="true" indent="0" shrinkToFit="false"/>
      <protection locked="true" hidden="false"/>
    </xf>
    <xf numFmtId="164" fontId="59" fillId="0" borderId="7" xfId="0" applyFont="true" applyBorder="true" applyAlignment="true" applyProtection="false">
      <alignment horizontal="general" vertical="bottom" textRotation="0" wrapText="false" indent="0" shrinkToFit="false"/>
      <protection locked="true" hidden="false"/>
    </xf>
    <xf numFmtId="164" fontId="63" fillId="6" borderId="0" xfId="0" applyFont="true" applyBorder="false" applyAlignment="true" applyProtection="false">
      <alignment horizontal="general" vertical="bottom" textRotation="0" wrapText="false" indent="0" shrinkToFit="false"/>
      <protection locked="true" hidden="false"/>
    </xf>
    <xf numFmtId="164" fontId="64" fillId="0" borderId="0" xfId="0" applyFont="true" applyBorder="false" applyAlignment="true" applyProtection="false">
      <alignment horizontal="general" vertical="top" textRotation="0" wrapText="true" indent="0" shrinkToFit="false"/>
      <protection locked="true" hidden="false"/>
    </xf>
    <xf numFmtId="164" fontId="65" fillId="13" borderId="19" xfId="0" applyFont="true" applyBorder="true" applyAlignment="true" applyProtection="false">
      <alignment horizontal="general" vertical="top" textRotation="0" wrapText="true" indent="0" shrinkToFit="false"/>
      <protection locked="true" hidden="false"/>
    </xf>
    <xf numFmtId="164" fontId="63" fillId="14" borderId="19" xfId="0" applyFont="true" applyBorder="true" applyAlignment="true" applyProtection="false">
      <alignment horizontal="general" vertical="top" textRotation="0" wrapText="true" indent="0" shrinkToFit="false"/>
      <protection locked="true" hidden="false"/>
    </xf>
    <xf numFmtId="164" fontId="66" fillId="14" borderId="19" xfId="0" applyFont="true" applyBorder="true" applyAlignment="true" applyProtection="false">
      <alignment horizontal="general" vertical="top" textRotation="0" wrapText="true" indent="0" shrinkToFit="false"/>
      <protection locked="true" hidden="false"/>
    </xf>
    <xf numFmtId="164" fontId="67" fillId="0" borderId="19" xfId="0" applyFont="true" applyBorder="true" applyAlignment="true" applyProtection="false">
      <alignment horizontal="general" vertical="top" textRotation="0" wrapText="true" indent="0" shrinkToFit="false"/>
      <protection locked="true" hidden="false"/>
    </xf>
    <xf numFmtId="164" fontId="68" fillId="0" borderId="19" xfId="0" applyFont="true" applyBorder="true" applyAlignment="true" applyProtection="false">
      <alignment horizontal="general" vertical="top" textRotation="0" wrapText="true" indent="0" shrinkToFit="false"/>
      <protection locked="true" hidden="false"/>
    </xf>
    <xf numFmtId="164" fontId="69" fillId="15" borderId="19" xfId="0" applyFont="true" applyBorder="true" applyAlignment="true" applyProtection="false">
      <alignment horizontal="general" vertical="top" textRotation="0" wrapText="true" indent="0" shrinkToFit="false"/>
      <protection locked="true" hidden="false"/>
    </xf>
    <xf numFmtId="164" fontId="70" fillId="0" borderId="19" xfId="0" applyFont="true" applyBorder="true" applyAlignment="true" applyProtection="false">
      <alignment horizontal="general" vertical="top" textRotation="0" wrapText="true" indent="0" shrinkToFit="false"/>
      <protection locked="true" hidden="false"/>
    </xf>
    <xf numFmtId="164" fontId="71" fillId="0" borderId="19" xfId="0" applyFont="true" applyBorder="true" applyAlignment="true" applyProtection="false">
      <alignment horizontal="general" vertical="top" textRotation="0" wrapText="true" indent="0" shrinkToFit="false"/>
      <protection locked="true" hidden="false"/>
    </xf>
    <xf numFmtId="164" fontId="66" fillId="0" borderId="19" xfId="0" applyFont="true" applyBorder="true" applyAlignment="true" applyProtection="false">
      <alignment horizontal="general" vertical="top" textRotation="0" wrapText="true" indent="0" shrinkToFit="false"/>
      <protection locked="true" hidden="false"/>
    </xf>
    <xf numFmtId="164" fontId="72" fillId="16" borderId="19" xfId="0" applyFont="true" applyBorder="true" applyAlignment="true" applyProtection="false">
      <alignment horizontal="general" vertical="top" textRotation="0" wrapText="true" indent="0" shrinkToFit="false"/>
      <protection locked="true" hidden="false"/>
    </xf>
    <xf numFmtId="164" fontId="73" fillId="0" borderId="19" xfId="0" applyFont="true" applyBorder="true" applyAlignment="true" applyProtection="false">
      <alignment horizontal="general" vertical="top" textRotation="0" wrapText="true" indent="0" shrinkToFit="false"/>
      <protection locked="true" hidden="false"/>
    </xf>
    <xf numFmtId="164" fontId="74" fillId="17" borderId="19" xfId="0" applyFont="true" applyBorder="true" applyAlignment="true" applyProtection="false">
      <alignment horizontal="general" vertical="top" textRotation="0" wrapText="true" indent="0" shrinkToFit="false"/>
      <protection locked="true" hidden="false"/>
    </xf>
    <xf numFmtId="164" fontId="75" fillId="18" borderId="19" xfId="0" applyFont="true" applyBorder="true" applyAlignment="true" applyProtection="false">
      <alignment horizontal="general" vertical="top" textRotation="0" wrapText="true" indent="0" shrinkToFit="false"/>
      <protection locked="true" hidden="false"/>
    </xf>
    <xf numFmtId="164" fontId="76" fillId="19" borderId="0" xfId="0" applyFont="true" applyBorder="true" applyAlignment="false" applyProtection="false">
      <alignment horizontal="general" vertical="bottom" textRotation="0" wrapText="false" indent="0" shrinkToFit="false"/>
      <protection locked="true" hidden="false"/>
    </xf>
    <xf numFmtId="164" fontId="65" fillId="19" borderId="20" xfId="0" applyFont="true" applyBorder="true" applyAlignment="true" applyProtection="false">
      <alignment horizontal="center" vertical="center" textRotation="0" wrapText="true" indent="0" shrinkToFit="false"/>
      <protection locked="true" hidden="false"/>
    </xf>
    <xf numFmtId="164" fontId="63" fillId="20" borderId="20" xfId="0" applyFont="true" applyBorder="true" applyAlignment="true" applyProtection="false">
      <alignment horizontal="center" vertical="center" textRotation="0" wrapText="true" indent="0" shrinkToFit="false"/>
      <protection locked="true" hidden="false"/>
    </xf>
    <xf numFmtId="164" fontId="63" fillId="21" borderId="20" xfId="0" applyFont="true" applyBorder="true" applyAlignment="true" applyProtection="false">
      <alignment horizontal="center" vertical="center" textRotation="0" wrapText="true" indent="0" shrinkToFit="false"/>
      <protection locked="true" hidden="false"/>
    </xf>
    <xf numFmtId="164" fontId="77" fillId="22" borderId="20" xfId="0" applyFont="true" applyBorder="true" applyAlignment="true" applyProtection="false">
      <alignment horizontal="center" vertical="center" textRotation="0" wrapText="true" indent="0" shrinkToFit="false"/>
      <protection locked="true" hidden="false"/>
    </xf>
    <xf numFmtId="164" fontId="63" fillId="23" borderId="20" xfId="0" applyFont="true" applyBorder="true" applyAlignment="false" applyProtection="false">
      <alignment horizontal="general" vertical="bottom" textRotation="0" wrapText="false" indent="0" shrinkToFit="false"/>
      <protection locked="true" hidden="false"/>
    </xf>
    <xf numFmtId="164" fontId="63" fillId="8" borderId="20" xfId="0" applyFont="true" applyBorder="true" applyAlignment="true" applyProtection="false">
      <alignment horizontal="left" vertical="center" textRotation="0" wrapText="true" indent="0" shrinkToFit="false"/>
      <protection locked="true" hidden="false"/>
    </xf>
    <xf numFmtId="164" fontId="64" fillId="8" borderId="20" xfId="0" applyFont="true" applyBorder="true" applyAlignment="true" applyProtection="false">
      <alignment horizontal="center" vertical="center" textRotation="0" wrapText="true" indent="0" shrinkToFit="false"/>
      <protection locked="true" hidden="false"/>
    </xf>
    <xf numFmtId="164" fontId="64" fillId="8" borderId="20" xfId="0" applyFont="true" applyBorder="true" applyAlignment="true" applyProtection="false">
      <alignment horizontal="left" vertical="center" textRotation="0" wrapText="true" indent="0" shrinkToFit="false"/>
      <protection locked="true" hidden="false"/>
    </xf>
    <xf numFmtId="164" fontId="79" fillId="8" borderId="20" xfId="0" applyFont="true" applyBorder="true" applyAlignment="true" applyProtection="false">
      <alignment horizontal="center" vertical="center" textRotation="0" wrapText="true" indent="0" shrinkToFit="false"/>
      <protection locked="true" hidden="false"/>
    </xf>
    <xf numFmtId="164" fontId="80" fillId="8" borderId="20" xfId="0" applyFont="true" applyBorder="true" applyAlignment="true" applyProtection="false">
      <alignment horizontal="left" vertical="top" textRotation="0" wrapText="true" indent="0" shrinkToFit="false"/>
      <protection locked="true" hidden="false"/>
    </xf>
    <xf numFmtId="164" fontId="81" fillId="8" borderId="20" xfId="0" applyFont="true" applyBorder="true" applyAlignment="true" applyProtection="false">
      <alignment horizontal="left" vertical="top" textRotation="0" wrapText="true" indent="0" shrinkToFit="false"/>
      <protection locked="true" hidden="false"/>
    </xf>
    <xf numFmtId="164" fontId="63" fillId="24" borderId="20" xfId="0" applyFont="true" applyBorder="true" applyAlignment="true" applyProtection="false">
      <alignment horizontal="left" vertical="center" textRotation="0" wrapText="true" indent="0" shrinkToFit="false"/>
      <protection locked="true" hidden="false"/>
    </xf>
    <xf numFmtId="164" fontId="64" fillId="24" borderId="20" xfId="0" applyFont="true" applyBorder="true" applyAlignment="true" applyProtection="false">
      <alignment horizontal="center" vertical="center" textRotation="0" wrapText="true" indent="0" shrinkToFit="false"/>
      <protection locked="true" hidden="false"/>
    </xf>
    <xf numFmtId="164" fontId="64" fillId="24" borderId="20" xfId="0" applyFont="true" applyBorder="true" applyAlignment="true" applyProtection="false">
      <alignment horizontal="left" vertical="center" textRotation="0" wrapText="true" indent="0" shrinkToFit="false"/>
      <protection locked="true" hidden="false"/>
    </xf>
    <xf numFmtId="164" fontId="79" fillId="24" borderId="20" xfId="0" applyFont="true" applyBorder="true" applyAlignment="true" applyProtection="false">
      <alignment horizontal="center" vertical="center" textRotation="0" wrapText="true" indent="0" shrinkToFit="false"/>
      <protection locked="true" hidden="false"/>
    </xf>
    <xf numFmtId="164" fontId="80" fillId="24" borderId="20" xfId="0" applyFont="true" applyBorder="true" applyAlignment="true" applyProtection="false">
      <alignment horizontal="left" vertical="top" textRotation="0" wrapText="true" indent="0" shrinkToFit="false"/>
      <protection locked="true" hidden="false"/>
    </xf>
    <xf numFmtId="164" fontId="81" fillId="24" borderId="20" xfId="0" applyFont="true" applyBorder="true" applyAlignment="true" applyProtection="false">
      <alignment horizontal="left" vertical="top" textRotation="0" wrapText="true" indent="0" shrinkToFit="false"/>
      <protection locked="true" hidden="false"/>
    </xf>
    <xf numFmtId="164" fontId="84"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2">
    <dxf>
      <fill>
        <patternFill patternType="solid">
          <fgColor rgb="FFBFBFBF"/>
          <bgColor rgb="FF000000"/>
        </patternFill>
      </fill>
    </dxf>
    <dxf>
      <fill>
        <patternFill patternType="solid">
          <bgColor rgb="FF000000"/>
        </patternFill>
      </fill>
    </dxf>
    <dxf>
      <fill>
        <patternFill patternType="solid">
          <fgColor rgb="FF000000"/>
          <bgColor rgb="FF000000"/>
        </patternFill>
      </fill>
    </dxf>
    <dxf>
      <fill>
        <patternFill patternType="solid">
          <fgColor rgb="FFC2F1C8"/>
          <bgColor rgb="FF000000"/>
        </patternFill>
      </fill>
    </dxf>
    <dxf>
      <fill>
        <patternFill patternType="solid">
          <fgColor rgb="FF467886"/>
          <bgColor rgb="FF000000"/>
        </patternFill>
      </fill>
    </dxf>
    <dxf>
      <fill>
        <patternFill patternType="solid">
          <fgColor rgb="FFAEAEAE"/>
          <bgColor rgb="FF000000"/>
        </patternFill>
      </fill>
    </dxf>
    <dxf>
      <fill>
        <patternFill patternType="solid">
          <fgColor rgb="FF0D0D0D"/>
          <bgColor rgb="FF000000"/>
        </patternFill>
      </fill>
    </dxf>
    <dxf>
      <fill>
        <patternFill patternType="solid">
          <fgColor rgb="FFFFC000"/>
          <bgColor rgb="FF000000"/>
        </patternFill>
      </fill>
    </dxf>
    <dxf>
      <fill>
        <patternFill patternType="solid">
          <fgColor rgb="FFFFFF00"/>
          <bgColor rgb="FF000000"/>
        </patternFill>
      </fill>
    </dxf>
    <dxf>
      <fill>
        <patternFill patternType="solid">
          <fgColor rgb="FF1F3864"/>
          <bgColor rgb="FF000000"/>
        </patternFill>
      </fill>
    </dxf>
    <dxf>
      <fill>
        <patternFill patternType="solid">
          <fgColor rgb="FFD9E1F2"/>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C00000"/>
          <bgColor rgb="FF000000"/>
        </patternFill>
      </fill>
    </dxf>
    <dxf>
      <fill>
        <patternFill patternType="solid">
          <fgColor rgb="FFEAF1FB"/>
          <bgColor rgb="FF000000"/>
        </patternFill>
      </fill>
    </dxf>
    <dxf>
      <fill>
        <patternFill patternType="solid">
          <fgColor rgb="FFEAF4EA"/>
          <bgColor rgb="FF000000"/>
        </patternFill>
      </fill>
    </dxf>
    <dxf>
      <fill>
        <patternFill patternType="solid">
          <fgColor rgb="FFFDE9E9"/>
          <bgColor rgb="FF000000"/>
        </patternFill>
      </fill>
    </dxf>
    <dxf>
      <fill>
        <patternFill patternType="solid">
          <fgColor rgb="FFFFF4E5"/>
          <bgColor rgb="FF000000"/>
        </patternFill>
      </fill>
    </dxf>
    <dxf>
      <fill>
        <patternFill patternType="solid">
          <fgColor rgb="FF375623"/>
          <bgColor rgb="FF000000"/>
        </patternFill>
      </fill>
    </dxf>
    <dxf>
      <fill>
        <patternFill patternType="solid">
          <fgColor rgb="FFC65911"/>
          <bgColor rgb="FF000000"/>
        </patternFill>
      </fill>
    </dxf>
    <dxf>
      <fill>
        <patternFill patternType="solid">
          <fgColor rgb="FF0563C1"/>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F7F7FA"/>
      <rgbColor rgb="FFC00000"/>
      <rgbColor rgb="FF196B24"/>
      <rgbColor rgb="FF00008B"/>
      <rgbColor rgb="FF7F6000"/>
      <rgbColor rgb="FF800080"/>
      <rgbColor rgb="FF00B050"/>
      <rgbColor rgb="FFBFBFBF"/>
      <rgbColor rgb="FF808080"/>
      <rgbColor rgb="FFAEAEAE"/>
      <rgbColor rgb="FF7030A0"/>
      <rgbColor rgb="FFFFF6B3"/>
      <rgbColor rgb="FFEAF1FB"/>
      <rgbColor rgb="FF660066"/>
      <rgbColor rgb="FFE6E6E6"/>
      <rgbColor rgb="FF0563C1"/>
      <rgbColor rgb="FFD0D0D8"/>
      <rgbColor rgb="FF000080"/>
      <rgbColor rgb="FFFF00FF"/>
      <rgbColor rgb="FFFFE600"/>
      <rgbColor rgb="FF00FFFF"/>
      <rgbColor rgb="FF800080"/>
      <rgbColor rgb="FF800000"/>
      <rgbColor rgb="FF3C7D22"/>
      <rgbColor rgb="FF0000FF"/>
      <rgbColor rgb="FF00B0F0"/>
      <rgbColor rgb="FFEAF4EA"/>
      <rgbColor rgb="FFC2F1C8"/>
      <rgbColor rgb="FFFFF4E5"/>
      <rgbColor rgb="FFA6CAEC"/>
      <rgbColor rgb="FFD9E1F2"/>
      <rgbColor rgb="FFC9C9D6"/>
      <rgbColor rgb="FFD1D1D1"/>
      <rgbColor rgb="FF3366FF"/>
      <rgbColor rgb="FFE6E6EC"/>
      <rgbColor rgb="FFD9F2D0"/>
      <rgbColor rgb="FFFFC000"/>
      <rgbColor rgb="FFFDE9E9"/>
      <rgbColor rgb="FFC65911"/>
      <rgbColor rgb="FF467886"/>
      <rgbColor rgb="FFA6A6A6"/>
      <rgbColor rgb="FF1F3864"/>
      <rgbColor rgb="FF3A7D22"/>
      <rgbColor rgb="FF0D0D0D"/>
      <rgbColor rgb="FF275317"/>
      <rgbColor rgb="FF375623"/>
      <rgbColor rgb="FF993366"/>
      <rgbColor rgb="FF595959"/>
      <rgbColor rgb="FF2E2E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business-standard.com/finance/insurance/irdai-fraud-risk-framework-insurers-reinsurers-cybersecurity-2026-125101200278_1.html" TargetMode="External"/><Relationship Id="rId2" Type="http://schemas.openxmlformats.org/officeDocument/2006/relationships/hyperlink" Target="https://www.business-standard.com/finance/insurance/ahpi-insurers-discuss-common-empanelment-faster-claims-patient-care-125100901184_1.html" TargetMode="External"/><Relationship Id="rId3" Type="http://schemas.openxmlformats.org/officeDocument/2006/relationships/hyperlink" Target="https://www.business-standard.com/finance/insurance/irdai-deepak-sood-rethink-distribution-framework-for-universal-insurance-125100801321_1.html" TargetMode="External"/><Relationship Id="rId4" Type="http://schemas.openxmlformats.org/officeDocument/2006/relationships/hyperlink" Target="https://insuranceasia.com/insurance/news/lic-partners-rbl-bank-expand-bancassurance-reach" TargetMode="External"/><Relationship Id="rId5" Type="http://schemas.openxmlformats.org/officeDocument/2006/relationships/hyperlink" Target="https://www.business-standard.com/finance/insurance/govt-considers-introducing-nationwide-climate-linked-insurance-scheme-125100600912_1.html" TargetMode="External"/><Relationship Id="rId6" Type="http://schemas.openxmlformats.org/officeDocument/2006/relationships/hyperlink" Target="https://www.business-standard.com/finance/insurance/life-cos-to-approach-irdai-to-pass-on-impact-of-itc-removal-on-distributor-125092800459_1.html" TargetMode="External"/><Relationship Id="rId7" Type="http://schemas.openxmlformats.org/officeDocument/2006/relationships/hyperlink" Target="https://www.business-standard.com/finance/insurance/bima-sugam-to-launch-with-2-3-products-and-e-kyc-module-by-year-end-125092600954_1.html" TargetMode="External"/><Relationship Id="rId8" Type="http://schemas.openxmlformats.org/officeDocument/2006/relationships/hyperlink" Target="https://www.business-standard.com/finance/insurance/irdai-chairman-ajay-seth-launches-bima-sugam-india-federation-website-125091701252_1.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business-standard.com/search?q=New%20India%20Assurance" TargetMode="External"/><Relationship Id="rId2" Type="http://schemas.openxmlformats.org/officeDocument/2006/relationships/hyperlink" Target="https://www.business-standard.com/markets/capital-market-news/tcs-helps-icici-lombard-achieve-dr-switchover-on-aws-cloud-125082500488_1.html" TargetMode="External"/><Relationship Id="rId3" Type="http://schemas.openxmlformats.org/officeDocument/2006/relationships/hyperlink" Target="https://insuranceasia.com/insurance/news/central-bank-india-tata-aig-offer-insurance-msme-payments" TargetMode="External"/><Relationship Id="rId4" Type="http://schemas.openxmlformats.org/officeDocument/2006/relationships/hyperlink" Target="https://www.business-standard.com/finance/personal-finance/star-health-care-niva-bupa-record-most-policyholder-complaints-in-fy24-125090100487_1.html" TargetMode="External"/><Relationship Id="rId5" Type="http://schemas.openxmlformats.org/officeDocument/2006/relationships/hyperlink" Target="https://www.business-standard.com/content/press-releases-ani/sbi-general-insurance-launches-unique-health-scanning-feature-on-its-mobile-app-125091900982_1.html" TargetMode="External"/><Relationship Id="rId6" Type="http://schemas.openxmlformats.org/officeDocument/2006/relationships/hyperlink" Target="https://www.business-standard.com/finance/personal-finance/star-health-care-niva-bupa-record-most-policyholder-complaints-in-fy24-125090100487_1.html" TargetMode="External"/><Relationship Id="rId7" Type="http://schemas.openxmlformats.org/officeDocument/2006/relationships/hyperlink" Target="https://www.business-standard.com/finance/insurance/iffco-tokio-enters-surety-bonds-market-to-support-infra-growth-125050601178_1.html" TargetMode="External"/><Relationship Id="rId8" Type="http://schemas.openxmlformats.org/officeDocument/2006/relationships/hyperlink" Target="https://www.business-standard.com/companies/news/cholamandalam-ms-general-insurance-likely-to-go-public-in-five-years-md-125062301122_1.html" TargetMode="External"/><Relationship Id="rId9" Type="http://schemas.openxmlformats.org/officeDocument/2006/relationships/hyperlink" Target="https://www.business-standard.com/finance/personal-finance/star-health-care-niva-bupa-record-most-policyholder-complaints-in-fy24-125090100487_1.html" TargetMode="External"/><Relationship Id="rId10" Type="http://schemas.openxmlformats.org/officeDocument/2006/relationships/hyperlink" Target="https://www.business-standard.com/content/press-releases-ani/universal-sompo-extends-insurance-coverage-to-pets-125062800275_1.html" TargetMode="External"/><Relationship Id="rId11" Type="http://schemas.openxmlformats.org/officeDocument/2006/relationships/hyperlink" Target="https://www.business-standard.com/markets/capital-market-news/vakrangee-partners-with-aditya-birla-health-insurance-125022700332_1.html"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insuranceasia.com/insurance/news/sbi-life-au-small-finance-bank-partner-expand-insurance-in-rural-india" TargetMode="External"/><Relationship Id="rId2" Type="http://schemas.openxmlformats.org/officeDocument/2006/relationships/hyperlink" Target="https://www.business-standard.com/content/press-releases-ani/axis-max-life-insurance-partners-with-india-post-payments-bank-to-drive-life-insurance-penetration-in-tier-3-tier-4-and-rural-markets-125091001068_1.html" TargetMode="External"/><Relationship Id="rId3" Type="http://schemas.openxmlformats.org/officeDocument/2006/relationships/hyperlink" Target="https://www.business-standard.com/content/press-releases-ani/canara-hsbc-life-insurance-launches-omnigen-ai-an-industry-first-generative-ai-solution-to-optimize-risk-evaluation-in-underwriting-124112500592_1.html" TargetMode="External"/><Relationship Id="rId4" Type="http://schemas.openxmlformats.org/officeDocument/2006/relationships/hyperlink" Target="https://www.business-standard.com/companies/news/reliance-nippon-life-in-talks-with-indusind-bank-on-bancassurance-tie-up-124121800909_1.html" TargetMode="External"/><Relationship Id="rId5" Type="http://schemas.openxmlformats.org/officeDocument/2006/relationships/hyperlink" Target="https://www.business-standard.com/search?q=Shriram%20Life" TargetMode="External"/><Relationship Id="rId6" Type="http://schemas.openxmlformats.org/officeDocument/2006/relationships/hyperlink" Target="https://www.moneycontrol.com/banking/ageas-federal-life-insurance-and-csb-bank-forge-sme-bancassurance-partnership-article-13624207.html" TargetMode="External"/><Relationship Id="rId7" Type="http://schemas.openxmlformats.org/officeDocument/2006/relationships/hyperlink" Target="https://insuranceasia.com/insurance/news/generali-central-rebrands-insurance-venture-digital-focus" TargetMode="External"/><Relationship Id="rId8" Type="http://schemas.openxmlformats.org/officeDocument/2006/relationships/hyperlink" Target="https://www.business-standard.com/search?q=Pramerica%20Life" TargetMode="External"/><Relationship Id="rId9" Type="http://schemas.openxmlformats.org/officeDocument/2006/relationships/hyperlink" Target="https://www.angelone.in/news/stocks/sbi-life-insurance-to-acquire-sahara-india-life-assets-after-sat-ruling?msockid=2167906cfca86e7a20de86d2fd7b6f09"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newsroom.amfam.com/american-family-insurance-reports-2024-financial-results/" TargetMode="External"/><Relationship Id="rId2" Type="http://schemas.openxmlformats.org/officeDocument/2006/relationships/hyperlink" Target="https://www.aig.com/home/investor-relations/aig-2024-annual-report" TargetMode="External"/><Relationship Id="rId3" Type="http://schemas.openxmlformats.org/officeDocument/2006/relationships/hyperlink" Target="https://www.berkshirehathaway.com/2024ar/2024ar.pdf" TargetMode="External"/><Relationship Id="rId4" Type="http://schemas.openxmlformats.org/officeDocument/2006/relationships/hyperlink" Target="https://www.chubb.com/content/dam/annual-corporate-governance/2025/a--chubb-limited/chubb-limited-annual-report-2024.pdf" TargetMode="External"/><Relationship Id="rId5" Type="http://schemas.openxmlformats.org/officeDocument/2006/relationships/hyperlink" Target="https://investors.thecignagroup.com/financials/annual-reports/default.aspx" TargetMode="External"/><Relationship Id="rId6" Type="http://schemas.openxmlformats.org/officeDocument/2006/relationships/hyperlink" Target="https://www.elevancehealth.com/investors" TargetMode="External"/><Relationship Id="rId7" Type="http://schemas.openxmlformats.org/officeDocument/2006/relationships/hyperlink" Target="https://investor.metlife.com/news/news-details/2025/MetLife-Announces-Full-Year-and-Fourth-Quarter-2024-Results/default.aspx" TargetMode="External"/><Relationship Id="rId8" Type="http://schemas.openxmlformats.org/officeDocument/2006/relationships/hyperlink" Target="https://newsroom.statefarm.com/2024-state-farm-financial-results/" TargetMode="External"/><Relationship Id="rId9" Type="http://schemas.openxmlformats.org/officeDocument/2006/relationships/hyperlink" Target="https://www.unitedhealthgroup.com/content/dam/UHG/PDF/investors/2024/UNH-Q4-2024-Form-10-K.pdf" TargetMode="External"/><Relationship Id="rId10"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hyperlink" Target="https://www.businesswire.com/news/home/20250129602900/en/Marsh-McLennan-Reports-Strong-Fourth-Quarter-and-Full-Year-2024-Results" TargetMode="External"/><Relationship Id="rId2" Type="http://schemas.openxmlformats.org/officeDocument/2006/relationships/hyperlink" Target="https://aon.mediaroom.com/2025-01-31-Aon-Reports-Fourth-Quarter-and-Full-Year-2024-Results" TargetMode="External"/><Relationship Id="rId3" Type="http://schemas.openxmlformats.org/officeDocument/2006/relationships/hyperlink" Target="https://www.insurancebusinessmag.com/us/news/breaking-news/gallagher-reports-growth-as-insurance-market-expands-522857.aspx" TargetMode="External"/><Relationship Id="rId4" Type="http://schemas.openxmlformats.org/officeDocument/2006/relationships/hyperlink" Target="https://www.businessinsurance.com/wtw-reports-higher-q4-revenue-profit/" TargetMode="External"/><Relationship Id="rId5" Type="http://schemas.openxmlformats.org/officeDocument/2006/relationships/hyperlink" Target="https://www.businesswire.com/news/home/20250520063765/en/Alliant-Insurance-Services-Named-One-of-Insurance-Business-Americas-Fast-Brokerages" TargetMode="External"/><Relationship Id="rId6" Type="http://schemas.openxmlformats.org/officeDocument/2006/relationships/hyperlink" Target="https://rvbusiness.com/brown-brown-q4-24-results-marked-by-1-2b-in-revenue/" TargetMode="External"/><Relationship Id="rId7" Type="http://schemas.openxmlformats.org/officeDocument/2006/relationships/hyperlink" Target="https://www.businessinsurance.com/top-insurance-brokers-no-6-hub-international-ltd/" TargetMode="External"/><Relationship Id="rId8" Type="http://schemas.openxmlformats.org/officeDocument/2006/relationships/hyperlink" Target="https://www.howdengroupholdings.com/news/howden-announces-2024-full-year-results" TargetMode="External"/><Relationship Id="rId9" Type="http://schemas.openxmlformats.org/officeDocument/2006/relationships/hyperlink" Target="https://www.crainsgrandrapids.com/news/banking-finance/acrisures-2-1b-capital-raise-values-grand-rapids-fintech-at-32b/" TargetMode="External"/><Relationship Id="rId10" Type="http://schemas.openxmlformats.org/officeDocument/2006/relationships/hyperlink" Target="https://www.businessinsurance.com/lockton-reports-15-revenue-increase-for-fiscal-year/" TargetMode="External"/><Relationship Id="rId11" Type="http://schemas.openxmlformats.org/officeDocument/2006/relationships/hyperlink" Target="https://www.assuredpartners.com/about-us/" TargetMode="External"/><Relationship Id="rId12" Type="http://schemas.openxmlformats.org/officeDocument/2006/relationships/hyperlink" Target="https://www.usi.com/investor-relations/" TargetMode="External"/><Relationship Id="rId13" Type="http://schemas.openxmlformats.org/officeDocument/2006/relationships/hyperlink" Target="https://www.ardonagh.com/wp-content/uploads/2025/03/The-Ardonagh-Group-Sustainability-Report-2024.pdf" TargetMode="External"/><Relationship Id="rId14" Type="http://schemas.openxmlformats.org/officeDocument/2006/relationships/hyperlink" Target="https://broadstreetcorp.com/about/" TargetMode="External"/><Relationship Id="rId15" Type="http://schemas.openxmlformats.org/officeDocument/2006/relationships/hyperlink" Target="https://www.insurancejournal.com/news/national/2025/06/10/826916.htm" TargetMode="External"/><Relationship Id="rId16" Type="http://schemas.openxmlformats.org/officeDocument/2006/relationships/hyperlink" Target="https://aleragroup.com/news" TargetMode="External"/><Relationship Id="rId17" Type="http://schemas.openxmlformats.org/officeDocument/2006/relationships/hyperlink" Target="https://alliant.com/media/2togmkgh/business-insurance-largest-brokers.pdf" TargetMode="External"/><Relationship Id="rId18" Type="http://schemas.openxmlformats.org/officeDocument/2006/relationships/hyperlink" Target="https://www.epicbrokers.com/the-2024-epic-perspective-market-report/" TargetMode="External"/><Relationship Id="rId19" Type="http://schemas.openxmlformats.org/officeDocument/2006/relationships/hyperlink" Target="https://www.annualreports.com/HostedData/AnnualReports/PDF/ASX_SDF_2024.pdf" TargetMode="External"/><Relationship Id="rId20" Type="http://schemas.openxmlformats.org/officeDocument/2006/relationships/hyperlink" Target="https://diot-siaci.com/fr/diot-siaci-depasse-le-milliard-deuros-de-chiffre-daffaires-en-2024/" TargetMode="External"/><Relationship Id="rId21" Type="http://schemas.openxmlformats.org/officeDocument/2006/relationships/hyperlink" Target="https://www.onedigital.com/mergers-acquisitions/" TargetMode="External"/><Relationship Id="rId22" Type="http://schemas.openxmlformats.org/officeDocument/2006/relationships/hyperlink" Target="https://alliant.com/media/2togmkgh/business-insurance-largest-brokers.pdf" TargetMode="External"/><Relationship Id="rId23" Type="http://schemas.openxmlformats.org/officeDocument/2006/relationships/hyperlink" Target="https://alliant.com/media/2togmkgh/business-insurance-largest-brokers.pdf" TargetMode="External"/><Relationship Id="rId24" Type="http://schemas.openxmlformats.org/officeDocument/2006/relationships/hyperlink" Target="https://www.aubgroup.com.au/annual-reports/" TargetMode="External"/><Relationship Id="rId25" Type="http://schemas.openxmlformats.org/officeDocument/2006/relationships/hyperlink" Target="https://www.permira.com/news-and-insights/announcements/ggw-group-secures-investment-from-permira-as-the-firm-scales-as-a-leading-insurance-brokerage-group-in-europe" TargetMode="External"/><Relationship Id="rId26" Type="http://schemas.openxmlformats.org/officeDocument/2006/relationships/hyperlink" Target="https://www.funk-gruppe.de/de/medien-events/presse/fakten-und-kennzahlen" TargetMode="External"/><Relationship Id="rId27" Type="http://schemas.openxmlformats.org/officeDocument/2006/relationships/hyperlink" Target="https://www.kessler.ch/fileadmin/09_PDFs/Insight_Risk_Insurance_2024_EN.pdf" TargetMode="External"/><Relationship Id="rId28" Type="http://schemas.openxmlformats.org/officeDocument/2006/relationships/hyperlink" Target="https://www.renomia.com/renomia-group"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linkedin.com/posts/allianz-reinsurance_allianz-jio-re-limited-commences-underwriting-activity-7442824086717779969-vY4R" TargetMode="External"/><Relationship Id="rId2" Type="http://schemas.openxmlformats.org/officeDocument/2006/relationships/hyperlink" Target="https://www.allianz.com/content/dam/onemarketing/azcom/Allianz_com/about-us/who-we-are/at-a-glance/en-Allianz-fact-sheet.pdf" TargetMode="External"/><Relationship Id="rId3" Type="http://schemas.openxmlformats.org/officeDocument/2006/relationships/hyperlink" Target="https://www.allstateindia.com/about-us/news" TargetMode="External"/><Relationship Id="rId4" Type="http://schemas.openxmlformats.org/officeDocument/2006/relationships/hyperlink" Target="https://stockanalysis.com/stocks/all/employees/" TargetMode="External"/><Relationship Id="rId5" Type="http://schemas.openxmlformats.org/officeDocument/2006/relationships/hyperlink" Target="https://www.thecompanycheck.com/company/accenture-operations-services-private-limited/U74990KA2009PTC076432" TargetMode="External"/><Relationship Id="rId6" Type="http://schemas.openxmlformats.org/officeDocument/2006/relationships/hyperlink" Target="https://www.thecompanycheck.com/company/accenture-operations-services-private-limited/U74990KA2009PTC076432" TargetMode="External"/><Relationship Id="rId7" Type="http://schemas.openxmlformats.org/officeDocument/2006/relationships/hyperlink" Target="https://www.reinsurancene.ws/leading-indian-life-insurer-to-implement-aons-modelling-platform-pathwise/" TargetMode="External"/><Relationship Id="rId8" Type="http://schemas.openxmlformats.org/officeDocument/2006/relationships/hyperlink" Target="https://in.marketscreener.com/news/admiral-group-plc-reports-earnings-results-for-the-full-year-ended-december-31-2025-ce7e5fdbd88af525" TargetMode="External"/><Relationship Id="rId9" Type="http://schemas.openxmlformats.org/officeDocument/2006/relationships/hyperlink" Target="https://in.linkedin.com/company/admiral-solutions" TargetMode="External"/><Relationship Id="rId10" Type="http://schemas.openxmlformats.org/officeDocument/2006/relationships/hyperlink" Target="https://www.businesswire.com/news/home/20251027224074/en/Arch-Global-Services-India-Opens-Technology-Hub-in-Hyderabad-to-Accelerate-Innovation?utm_source=chatgpt.com" TargetMode="External"/><Relationship Id="rId11" Type="http://schemas.openxmlformats.org/officeDocument/2006/relationships/hyperlink" Target="https://www.prnewswire.com/in/news-releases/axa-global-business-services-embarks-on-a-new-era-of-transformation-as-it-celebrates-30-years-in-india-302375701.html" TargetMode="External"/><Relationship Id="rId12" Type="http://schemas.openxmlformats.org/officeDocument/2006/relationships/hyperlink" Target="https://www.prnewswire.com/in/news-releases/axa-global-business-services-embarks-on-a-new-era-of-transformation-as-it-celebrates-30-years-in-india-302375701.html" TargetMode="External"/><Relationship Id="rId13" Type="http://schemas.openxmlformats.org/officeDocument/2006/relationships/hyperlink" Target="https://www.itij.com/latest/news/bupa-careconnect-signs-11-new-workplace-healthcare-agreements-global-health-exhibition?utm_source=chatgpt.com" TargetMode="External"/><Relationship Id="rId14" Type="http://schemas.openxmlformats.org/officeDocument/2006/relationships/hyperlink" Target="https://careers.bupa.co.uk/bupa-capability-centre-india" TargetMode="External"/><Relationship Id="rId15" Type="http://schemas.openxmlformats.org/officeDocument/2006/relationships/hyperlink" Target="https://newsroom.cigna.com/cigna-healthcare-unveils-industry-leading-ai-powered-digital-tools" TargetMode="External"/><Relationship Id="rId16" Type="http://schemas.openxmlformats.org/officeDocument/2006/relationships/hyperlink" Target="https://cignainternational.com/chsi" TargetMode="External"/><Relationship Id="rId17" Type="http://schemas.openxmlformats.org/officeDocument/2006/relationships/hyperlink" Target="https://upstox.com/news/business-news/latest-updates/star-union-life-quantum-street-ai-partner-to-launch-ai-led-investment-products/article-118564/?utm_source=chatgpt.com" TargetMode="External"/><Relationship Id="rId18" Type="http://schemas.openxmlformats.org/officeDocument/2006/relationships/hyperlink" Target="https://newsroom.fmglobal.com/releases/fm-expands-footprint-in-india-with-new-innovative-centre-in-bengaluru" TargetMode="External"/><Relationship Id="rId19" Type="http://schemas.openxmlformats.org/officeDocument/2006/relationships/hyperlink" Target="https://www.sahmcapital.com/news/content/a-look-at-first-american-financials-valuation-after-new-title-fraud-monitoring-service-launch-2026-01-21?utm_source=chatgpt.com" TargetMode="External"/><Relationship Id="rId20" Type="http://schemas.openxmlformats.org/officeDocument/2006/relationships/hyperlink" Target="https://www.prnewswire.com/news-releases/arthur-j-gallagher--co-acquires-first-actuarial-302629760.html?utm_source=chatgpt.com" TargetMode="External"/><Relationship Id="rId21" Type="http://schemas.openxmlformats.org/officeDocument/2006/relationships/hyperlink" Target="https://news.europawire.eu/hannover-re-unveils-dedicated-cyber-and-digital-business-unit-for-enhanced-reinsurance-expertise/eu-press-release/2024/03/26/10/53/52/133057/?utm.com" TargetMode="External"/><Relationship Id="rId22" Type="http://schemas.openxmlformats.org/officeDocument/2006/relationships/hyperlink" Target="https://in.investing.com/news/company-news/markel-partners-with-insurate-for-aidriven-workers-com-93CH-4865708?utm.com" TargetMode="External"/><Relationship Id="rId23" Type="http://schemas.openxmlformats.org/officeDocument/2006/relationships/hyperlink" Target="https://www.mercer.com/en-ae/about/newsroom/marsh-mclennan-and-its-businesses-will-brand-as-marsh/?utm_source=chatgpt.com" TargetMode="External"/><Relationship Id="rId24" Type="http://schemas.openxmlformats.org/officeDocument/2006/relationships/hyperlink" Target="https://www.mercer.com/en-ae/about/newsroom/marsh-mclennan-and-its-businesses-will-brand-as-marsh/?utm_source=chatgpt.com" TargetMode="External"/><Relationship Id="rId25" Type="http://schemas.openxmlformats.org/officeDocument/2006/relationships/hyperlink" Target="https://www.f1lasvegasgp.com/2025/10/massmutual-accelerates-brand-presence-with-sponsorship-of-the-formula-1-heineken-las-vegas-grand-prix-2025-as-the-official-wealth-management-partner/" TargetMode="External"/><Relationship Id="rId26" Type="http://schemas.openxmlformats.org/officeDocument/2006/relationships/hyperlink" Target="https://www.corporatereport.com/massmutual/2024/ar/governance/ttps:/www.corporatereport.com/massmutual/2024/ar/governance/" TargetMode="External"/><Relationship Id="rId27" Type="http://schemas.openxmlformats.org/officeDocument/2006/relationships/hyperlink" Target="https://thetimesofhindustan.com/metlife-accelerates-digital-transformation-with-new-global-capability-center/?utm.com" TargetMode="External"/><Relationship Id="rId28" Type="http://schemas.openxmlformats.org/officeDocument/2006/relationships/hyperlink" Target="https://www.metlifecareers.com/en_US/ml/in" TargetMode="External"/><Relationship Id="rId29" Type="http://schemas.openxmlformats.org/officeDocument/2006/relationships/hyperlink" Target="https://www.business-standard.com/amp/companies/interviews/india-to-soon-have-about-50-of-swiss-re-s-global-tech-talent-amit-kalra-125051100389_1.html?utm.com" TargetMode="External"/><Relationship Id="rId30" Type="http://schemas.openxmlformats.org/officeDocument/2006/relationships/hyperlink" Target="https://www.swissre.com/about-us/our-leadership.html" TargetMode="External"/><Relationship Id="rId31" Type="http://schemas.openxmlformats.org/officeDocument/2006/relationships/hyperlink" Target="https://www.insurancebusinessmag.com/us/news/mergers-acquisitions/the-standard-finalizes-allstate-voluntary-benefits-acquisition-530726.aspx?utm_source=chatgpt.com" TargetMode="External"/><Relationship Id="rId32" Type="http://schemas.openxmlformats.org/officeDocument/2006/relationships/hyperlink" Target="https://gcc.economictimes.indiatimes.com/news/the-standard-expands-global-footprint-with-new-office-and-mohua-sengupta-as-country-head-in-india/125379556" TargetMode="External"/><Relationship Id="rId33" Type="http://schemas.openxmlformats.org/officeDocument/2006/relationships/hyperlink" Target="https://hrtoday.in/gaurish-wagh-appointed-as-global-people-development-lead-india-at-mg-global-services-private-limited/" TargetMode="External"/><Relationship Id="rId34" Type="http://schemas.openxmlformats.org/officeDocument/2006/relationships/hyperlink" Target="https://www.thecompanycheck.com/company/mg-global-services-private-limited/U74140MH2002PTC137446" TargetMode="External"/><Relationship Id="rId35" Type="http://schemas.openxmlformats.org/officeDocument/2006/relationships/hyperlink" Target="https://www.dig-in.com/news/chubb-launches-ai-embedded-engine-trucordia-acquires-5-insurance-news?utm_source=chatgpt.com" TargetMode="External"/><Relationship Id="rId36" Type="http://schemas.openxmlformats.org/officeDocument/2006/relationships/hyperlink" Target="https://timesofindia.indiatimes.com/city/hyderabad/chubbs-tech-hub-expansion-hyderabad-leads-as-major-global-workforce-center/articleshow/115310608.cms" TargetMode="External"/><Relationship Id="rId37" Type="http://schemas.openxmlformats.org/officeDocument/2006/relationships/hyperlink" Target="https://yourstory.com/enterprise-story/2025/03/india-gcc-microcosm-guardian-life-insurance-shiney-prasad" TargetMode="External"/><Relationship Id="rId38" Type="http://schemas.openxmlformats.org/officeDocument/2006/relationships/hyperlink" Target="https://yourstory.com/enterprise-story/2025/03/india-gcc-microcosm-guardian-life-insurance-shiney-prasad" TargetMode="External"/><Relationship Id="rId39" Type="http://schemas.openxmlformats.org/officeDocument/2006/relationships/hyperlink" Target="https://www.greatplacetowork.in/great/company/tiaa-global-business-services-india-pvt-ltd" TargetMode="External"/><Relationship Id="rId40" Type="http://schemas.openxmlformats.org/officeDocument/2006/relationships/hyperlink" Target="https://careers.tiaa.org/global-capabilities" TargetMode="External"/><Relationship Id="rId41" Type="http://schemas.openxmlformats.org/officeDocument/2006/relationships/hyperlink" Target="https://www.sunlife.com/slgs/en/newsroom/press-releases/2026/sun-life-global-solutions-india-at-20/" TargetMode="External"/><Relationship Id="rId42" Type="http://schemas.openxmlformats.org/officeDocument/2006/relationships/hyperlink" Target="https://www.optum.com/en/about-us/news/page.hub5.ai-powered-digital-prior-authorization.html" TargetMode="External"/><Relationship Id="rId43" Type="http://schemas.openxmlformats.org/officeDocument/2006/relationships/hyperlink" Target="https://www.unitedhealthgroup.com/careers/in/work.html" TargetMode="External"/><Relationship Id="rId44" Type="http://schemas.openxmlformats.org/officeDocument/2006/relationships/hyperlink" Target="https://www.prudentialplc.com/en/newsroom/company-news/2025/prudential-launches-global-services-hub-in-bengaluru-india/" TargetMode="External"/><Relationship Id="rId45" Type="http://schemas.openxmlformats.org/officeDocument/2006/relationships/hyperlink" Target="https://www.prudentialplc.com/en/newsroom/company-news/2025/prudential-launches-global-services-hub-in-bengaluru-india/" TargetMode="External"/><Relationship Id="rId46" Type="http://schemas.openxmlformats.org/officeDocument/2006/relationships/hyperlink" Target="https://www.prudentialplc.com/en/about-us/our-leadership/" TargetMode="External"/><Relationship Id="rId47" Type="http://schemas.openxmlformats.org/officeDocument/2006/relationships/hyperlink" Target="https://www.linkedin.com/posts/principalglobalservices_we-are-proud-to-announce-that-principal-financial-activity-7249737828945850368-sWEF/" TargetMode="External"/><Relationship Id="rId48" Type="http://schemas.openxmlformats.org/officeDocument/2006/relationships/hyperlink" Target="https://www.principal.com/about-us/our-company/worldwide-locations" TargetMode="External"/><Relationship Id="rId49" Type="http://schemas.openxmlformats.org/officeDocument/2006/relationships/hyperlink" Target="https://news.nationwide.com/kevin-m-strong-named-new-n2g-ceo/Agnes%20Carey&#8209;Drace" TargetMode="External"/><Relationship Id="rId50" Type="http://schemas.openxmlformats.org/officeDocument/2006/relationships/hyperlink" Target="http://timesofindia.indiatimes.com/articleshow/123018438.cms?utm_source=contentofinterest&amp;utm_medium=text&amp;utm_campaign=cppst" TargetMode="External"/><Relationship Id="rId51" Type="http://schemas.openxmlformats.org/officeDocument/2006/relationships/hyperlink" Target="https://timesofindia.indiatimes.com/city/hyderabad/200-year-old-us-insurer-the-hartford-opens-first-india-global-tech-centre-in-hyderabad/articleshow/128727054.cms" TargetMode="External"/><Relationship Id="rId52" Type="http://schemas.openxmlformats.org/officeDocument/2006/relationships/hyperlink" Target="https://gcc.economictimes.indiatimes.com/news/workplace-transformation/nationwide-launches-first-international-global-capability-center-in-hyderabad/132263509" TargetMode="External"/><Relationship Id="rId53" Type="http://schemas.openxmlformats.org/officeDocument/2006/relationships/hyperlink" Target="https://in.linkedin.com/showcase/genworthindia/" TargetMode="External"/><Relationship Id="rId54" Type="http://schemas.openxmlformats.org/officeDocument/2006/relationships/hyperlink" Target="https://investor.genworth.com/company-information/corporate-leadership" TargetMode="External"/><Relationship Id="rId55" Type="http://schemas.openxmlformats.org/officeDocument/2006/relationships/hyperlink" Target="https://fnf.com/companies/annuities-life-insurance" TargetMode="External"/><Relationship Id="rId56" Type="http://schemas.openxmlformats.org/officeDocument/2006/relationships/hyperlink" Target="https://axaxl.com/press-releases/axa-xl-strengthens-team-in-india-with-key-appointments" TargetMode="External"/><Relationship Id="rId57" Type="http://schemas.openxmlformats.org/officeDocument/2006/relationships/hyperlink" Target="https://www.cnbctv18.com/business/companies/axa-opens-new-office-in-pune-expands-global-business-services-centre-19490273.htm" TargetMode="External"/><Relationship Id="rId58" Type="http://schemas.openxmlformats.org/officeDocument/2006/relationships/hyperlink" Target="https://www.millenniumpost.in/business/foreign-reinsurers-can-repatriate-up-to-20-of-excess-assigned-capital-says-irdai-497062?utm.com" TargetMode="External"/><Relationship Id="rId59" Type="http://schemas.openxmlformats.org/officeDocument/2006/relationships/hyperlink" Target="https://asiainsurancepost.com/archives/75498" TargetMode="External"/><Relationship Id="rId60" Type="http://schemas.openxmlformats.org/officeDocument/2006/relationships/hyperlink" Target="https://firstindia.co.in/articles/gallagher-creates-indias-first-pandemic-insurance-using-parametric-triggers-launched-by-new-india-assurance-reinsured-by-munich-re?utm.com" TargetMode="External"/><Relationship Id="rId61" Type="http://schemas.openxmlformats.org/officeDocument/2006/relationships/hyperlink" Target="https://www.insurancebusinessmag.com/reinsurance/news/breaking-news/genai-adoption-accelerates-in-reinsurance-as-rga-outlines-quarterly-advancements-544036.aspx?utm.com" TargetMode="External"/><Relationship Id="rId62" Type="http://schemas.openxmlformats.org/officeDocument/2006/relationships/hyperlink" Target="https://www.rgare.com/our-company/people/detail/sunil-sharma" TargetMode="External"/><Relationship Id="rId63" Type="http://schemas.openxmlformats.org/officeDocument/2006/relationships/hyperlink" Target="https://www.insurancebusinessmag.com/reinsurance/news/breaking-news/scor-takes-lead-role-in-global-ai-infrastructure-facility-562322.aspx?utm_source=chatgpt.com" TargetMode="External"/><Relationship Id="rId64" Type="http://schemas.openxmlformats.org/officeDocument/2006/relationships/hyperlink" Target="https://www.business-standard.com/amp/companies/news/swiss-grc-targets-revenue-of-10-million-from-indian-market-in-fy25-124020601359_1.html?utm.com" TargetMode="External"/><Relationship Id="rId65" Type="http://schemas.openxmlformats.org/officeDocument/2006/relationships/hyperlink" Target="https://www.swissre.com/profile/Amitabha_Ray/ip_88cead" TargetMode="External"/><Relationship Id="rId66" Type="http://schemas.openxmlformats.org/officeDocument/2006/relationships/hyperlink" Target="https://asiainsurancepost.com/archives/59645?utm.com" TargetMode="External"/><Relationship Id="rId67" Type="http://schemas.openxmlformats.org/officeDocument/2006/relationships/hyperlink" Target="https://www.insurancebusinessmag.com/asia/news/breaking-news/axa-xl-builds-india-bench-with-strategic-appointments-535759.aspx?utm_source=chatgpt.com" TargetMode="External"/><Relationship Id="rId68" Type="http://schemas.openxmlformats.org/officeDocument/2006/relationships/hyperlink" Target="https://bfsi.economictimes.indiatimes.com/news/financial-services/wtws-india-global-delivery-centre-marks-successful-growth-and-expansion-through-strategic-global-transformation-program/113494332" TargetMode="External"/><Relationship Id="rId69" Type="http://schemas.openxmlformats.org/officeDocument/2006/relationships/hyperlink" Target="https://bfsi.economictimes.indiatimes.com/news/financial-services/wtws-india-global-delivery-centre-marks-successful-growth-and-expansion-through-strategic-global-transformation-program/113494332" TargetMode="External"/><Relationship Id="rId70" Type="http://schemas.openxmlformats.org/officeDocument/2006/relationships/hyperlink" Target="https://beinsure.com/ranking/top-global-re-insurance-brokers/?utm_source=chatgpt.com" TargetMode="External"/><Relationship Id="rId71" Type="http://schemas.openxmlformats.org/officeDocument/2006/relationships/hyperlink" Target="https://global.lockton.com/in/en/who-we-are" TargetMode="External"/><Relationship Id="rId72" Type="http://schemas.openxmlformats.org/officeDocument/2006/relationships/hyperlink" Target="https://qna.org.qa/en/News-Area/News/2026-8/26/qatar-islamic-insurance-group-obtains-license-to-open-branch-in-india"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www.centene.com/why-were-different/corporate-sustainability/empowering-health/innovation-thought-leadership.html" TargetMode="External"/><Relationship Id="rId2" Type="http://schemas.openxmlformats.org/officeDocument/2006/relationships/hyperlink" Target="https://humana.gcs-web.com/news-releases/news-release-details/humana-reports-first-quarter-2026-financial-results-affirms-full" TargetMode="External"/><Relationship Id="rId3" Type="http://schemas.openxmlformats.org/officeDocument/2006/relationships/hyperlink" Target="https://www.repairerdrivennews.com/2026/03/10/progressive-investors-hear-about-ai-strategies-successes/" TargetMode="External"/><Relationship Id="rId4" Type="http://schemas.openxmlformats.org/officeDocument/2006/relationships/hyperlink" Target="https://newsroom.statefarm.com/state-farm-advances-ai-vision-through-collaboration-with-openai/" TargetMode="External"/><Relationship Id="rId5" Type="http://schemas.openxmlformats.org/officeDocument/2006/relationships/hyperlink" Target="https://actuary.info/insights/berkshire-q1-2026-geico-abel-tech-rebuild" TargetMode="External"/><Relationship Id="rId6" Type="http://schemas.openxmlformats.org/officeDocument/2006/relationships/hyperlink" Target="https://www.tokiomarinehd.com/en/newsroom/release/" TargetMode="External"/><Relationship Id="rId7" Type="http://schemas.openxmlformats.org/officeDocument/2006/relationships/hyperlink" Target="https://investor.travelers.com/newsroom/press-releases/news-details/2026/Travelers-Advances-AI-Strategy-with-Award-Winning-Insurance-Specific-Large-Language-Model/default.aspx" TargetMode="External"/><Relationship Id="rId8" Type="http://schemas.openxmlformats.org/officeDocument/2006/relationships/hyperlink" Target="https://www.alleghany.com/about-alleghany/our-leadership/person-details/default.aspx?ItemId=fa1fcc76-76a8-4b11-8bd4-56387e91cee6" TargetMode="External"/><Relationship Id="rId9" Type="http://schemas.openxmlformats.org/officeDocument/2006/relationships/hyperlink" Target="https://newsroom.amfam.com/american-family-completes-main-street-america-insurance-bonds-renewal-rights-transaction/" TargetMode="External"/><Relationship Id="rId10" Type="http://schemas.openxmlformats.org/officeDocument/2006/relationships/hyperlink" Target="https://markets.financialcontent.com/wral/article/bizwire-2026-3-16-lincoln-financial-unveils-new-fixed-indexed-annuity-income-solutions-with-category-first-legacy-planning" TargetMode="External"/><Relationship Id="rId11" Type="http://schemas.openxmlformats.org/officeDocument/2006/relationships/hyperlink" Target="https://ir.oldrepublic.com/news/news-details/2026/OLD-REPUBLIC-FORMS-NEW-PROPERTY-INSURANCE-COMPANY/default.aspx" TargetMode="External"/><Relationship Id="rId12" Type="http://schemas.openxmlformats.org/officeDocument/2006/relationships/hyperlink" Target="https://finance.yahoo.com/markets/stocks/articles/faf-q1-deep-dive-commercial-081323035.html" TargetMode="External"/><Relationship Id="rId13" Type="http://schemas.openxmlformats.org/officeDocument/2006/relationships/hyperlink" Target="https://markets.financialcontent.com/dowtheoryletters/article/stockstory-2026-1-27-wrb-q4-deep-dive-management-focuses-on-technology-distribution-and-underwriting-discipline" TargetMode="External"/><Relationship Id="rId14" Type="http://schemas.openxmlformats.org/officeDocument/2006/relationships/hyperlink" Target="https://www.prnewswire.com/news-releases/thrivent-continues-major-growth-push-with-plans-to-add-600-more-financial-advisors-in-2026-302708534.html" TargetMode="External"/><Relationship Id="rId15" Type="http://schemas.openxmlformats.org/officeDocument/2006/relationships/hyperlink" Target="https://investors.corebridgefinancial.com/news/news-details/2026/Corebridge-Financial-and-Equitable-Holdings-Announce-Transformational-Merger/default.aspx" TargetMode="External"/><Relationship Id="rId16" Type="http://schemas.openxmlformats.org/officeDocument/2006/relationships/hyperlink" Target="https://news.northwesternmutual.com/2025-10-28-Northwestern-Mutual-Announces-Historic-9-2-Billion-Dividend-Payout-in-2026-A-Powerful-Demonstration-of-Companys-Enduring-Commitment-to-Policyowners" TargetMode="External"/><Relationship Id="rId17" Type="http://schemas.openxmlformats.org/officeDocument/2006/relationships/hyperlink" Target="https://ebs.publicnow.com/view/5292601E48DFC70E085A0BBD9D8B8899516B5420" TargetMode="External"/><Relationship Id="rId18" Type="http://schemas.openxmlformats.org/officeDocument/2006/relationships/hyperlink" Target="https://investors.cinfin.com/2026-06-19-Cincinnati-Financial-Corporation-Expands-Board-With-Appointment-of-Independent-Director" TargetMode="External"/><Relationship Id="rId19" Type="http://schemas.openxmlformats.org/officeDocument/2006/relationships/hyperlink" Target="https://investors.jackson.com/news/news-details/2026/Jackson-Introduces-Dow-Jones-Industrial-Average-Index-Option-Flexible-Premiums-Six-Year-Rate-Guarantee-in-Latest-Registered-Index-Linked-Annuity-Launch/default.aspx" TargetMode="External"/><Relationship Id="rId20" Type="http://schemas.openxmlformats.org/officeDocument/2006/relationships/hyperlink" Target="https://www.publicnow.com/view/BAD5E3E6229A69F9D68A4DF36BF2B3B8EB08F9F9" TargetMode="External"/><Relationship Id="rId21" Type="http://schemas.openxmlformats.org/officeDocument/2006/relationships/hyperlink" Target="https://www.pacificlife.com/press-releases/stories/pacific-life-polls-industry-leaders-in-2026-underwriting-outlook-survey.html" TargetMode="External"/><Relationship Id="rId22"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hyperlink" Target="mailto:Pratik.Shah@in.ey.com" TargetMode="External"/><Relationship Id="rId2" Type="http://schemas.openxmlformats.org/officeDocument/2006/relationships/hyperlink" Target="https://www.liciuk.com/" TargetMode="External"/><Relationship Id="rId3" Type="http://schemas.openxmlformats.org/officeDocument/2006/relationships/hyperlink" Target="../../../:b:/r/sites/InsuranceResearch/Shared%20Documents/Insurance%20Research/Top%2020%20UK/Indian%20Insurers%20operating%20in%20UK/LIC_AR%202024-25.pdf%3Fcsf=1&amp;web=1&amp;e=Jcp2ak" TargetMode="External"/><Relationship Id="rId4" Type="http://schemas.openxmlformats.org/officeDocument/2006/relationships/hyperlink" Target="mailto:Gaurav.Taneja@in.ey.com" TargetMode="External"/><Relationship Id="rId5" Type="http://schemas.openxmlformats.org/officeDocument/2006/relationships/hyperlink" Target="https://www.newindia.co.uk/solvency-financial-condition-reports/" TargetMode="External"/><Relationship Id="rId6" Type="http://schemas.openxmlformats.org/officeDocument/2006/relationships/hyperlink" Target="../../../:b:/r/sites/InsuranceResearch/Shared%20Documents/Insurance%20Research/Top%2020%20UK/Indian%20Insurers%20operating%20in%20UK/New%20India%20Final%20Annual%20Report24-25.pdf%3Fcsf=1&amp;web=1&amp;e=xFzKpg" TargetMode="External"/><Relationship Id="rId7" Type="http://schemas.openxmlformats.org/officeDocument/2006/relationships/hyperlink" Target="https://www.reinsurancene.ws/indias-gic-re-planning-to-launch-uk-based-subsidiary/" TargetMode="External"/><Relationship Id="rId8" Type="http://schemas.openxmlformats.org/officeDocument/2006/relationships/hyperlink" Target="../../../:b:/r/sites/InsuranceResearch/Shared%20Documents/Insurance%20Research/Top%2020%20UK/Indian%20Insurers%20operating%20in%20UK/GIC_Annual_Report_2024-25.pdf%3Fcsf=1&amp;web=1&amp;e=ikOStm" TargetMode="External"/><Relationship Id="rId9" Type="http://schemas.openxmlformats.org/officeDocument/2006/relationships/hyperlink" Target="mailto:Aman.Dutta@in.ey.com" TargetMode="External"/><Relationship Id="rId10" Type="http://schemas.openxmlformats.org/officeDocument/2006/relationships/hyperlink" Target="https://www.tcs.com/who-we-are/newsroom/press-release/tcs-strengthens-partnership-aviva-uk-enhance-life-pensions-customer-experience" TargetMode="External"/><Relationship Id="rId11" Type="http://schemas.openxmlformats.org/officeDocument/2006/relationships/hyperlink" Target="../../../:b:/r/sites/InsuranceResearch/Shared%20Documents/Insurance%20Research/Top%2020%20UK/Indian%20Insurers%20operating%20in%20UK/Diligenta%20Annual%20Report-2024-25.pdf%3Fcsf=1&amp;web=1&amp;e=HkOQUW" TargetMode="External"/><Relationship Id="rId12" Type="http://schemas.openxmlformats.org/officeDocument/2006/relationships/hyperlink" Target="https://www.hcltech.com/sites/default/files/documents/resources/pdf-landing-page/files/2025/07/07/18-HCL-Insurance-BPO-Services-Limited.pdf" TargetMode="External"/><Relationship Id="rId13" Type="http://schemas.openxmlformats.org/officeDocument/2006/relationships/hyperlink" Target="../../../:b:/r/sites/InsuranceResearch/Shared%20Documents/Insurance%20Research/Top%2020%20UK/Indian%20Insurers%20operating%20in%20UK/HCL-Insurance-Annual%20Report%202025.pdf%3Fcsf=1&amp;web=1&amp;e=oP6dRJ" TargetMode="External"/><Relationship Id="rId14" Type="http://schemas.openxmlformats.org/officeDocument/2006/relationships/drawing" Target="../drawings/drawing4.xml"/>
</Relationships>
</file>

<file path=xl/worksheets/_rels/sheet10.xml.rels><?xml version="1.0" encoding="UTF-8"?>
<Relationships xmlns="http://schemas.openxmlformats.org/package/2006/relationships"><Relationship Id="rId1" Type="http://schemas.openxmlformats.org/officeDocument/2006/relationships/hyperlink" Target="https://thesharpdaily.com/the-sanlam-jubilee-deal/" TargetMode="External"/><Relationship Id="rId2" Type="http://schemas.openxmlformats.org/officeDocument/2006/relationships/hyperlink" Target="../../../:b:/r/sites/InsuranceResearch/Shared%20Documents/Insurance%20Research/Top%2020%20Africa/Sanlam-AFS-2025-spreads.pdf%3Fcsf=1&amp;web=1&amp;e=QsxXiv" TargetMode="External"/><Relationship Id="rId3" Type="http://schemas.openxmlformats.org/officeDocument/2006/relationships/hyperlink" Target="https://www.moonstone.co.za/old-mutual-earnings-rise-as-insurance-investments-and-africa-drive-results/" TargetMode="External"/><Relationship Id="rId4" Type="http://schemas.openxmlformats.org/officeDocument/2006/relationships/hyperlink" Target="../../../:b:/r/sites/InsuranceResearch/Shared%20Documents/Insurance%20Research/Top%2020%20Africa/OMLACSA_Financial_Statements_for_the_year_ended_31_December_2025.pdf%3Fcsf=1&amp;web=1&amp;e=WmoLoF" TargetMode="External"/><Relationship Id="rId5" Type="http://schemas.openxmlformats.org/officeDocument/2006/relationships/hyperlink" Target="https://neweralive.na/sanlamallianz-expands-insurance-and-financial-services-across-africa/" TargetMode="External"/><Relationship Id="rId6" Type="http://schemas.openxmlformats.org/officeDocument/2006/relationships/hyperlink" Target="https://www.sanlam.com/downloads/integrated-report-and-annual-financial-statements/2025/Sanlam-AFS-2025-spreads.pdf" TargetMode="External"/><Relationship Id="rId7" Type="http://schemas.openxmlformats.org/officeDocument/2006/relationships/hyperlink" Target="https://www.iol.co.za/business/2026-01-06-discovery-health-members-face-financial-shock-due-to-medical-aid-error" TargetMode="External"/><Relationship Id="rId8" Type="http://schemas.openxmlformats.org/officeDocument/2006/relationships/hyperlink" Target="../../../:b:/r/sites/InsuranceResearch/Shared%20Documents/Insurance%20Research/Top%2020%20Africa/discovery-health-afs-30-june-2025.pdf%3Fcsf=1&amp;web=1&amp;e=y3IFgO" TargetMode="External"/><Relationship Id="rId9" Type="http://schemas.openxmlformats.org/officeDocument/2006/relationships/hyperlink" Target="https://www.listcorp.com/jse/mtm/momentum-metropolitan-holdings/news/operating-update-for-the-three-months-ended-30-september-2025-3279259.html" TargetMode="External"/><Relationship Id="rId10" Type="http://schemas.openxmlformats.org/officeDocument/2006/relationships/hyperlink" Target="../../../:b:/r/sites/InsuranceResearch/Shared%20Documents/Insurance%20Research/Top%2020%20Africa/momentum-metropolitan-life-annual-financial-statements-f2025.pdf%3Fcsf=1&amp;web=1&amp;e=m4gdLR" TargetMode="External"/><Relationship Id="rId11" Type="http://schemas.openxmlformats.org/officeDocument/2006/relationships/hyperlink" Target="https://www.santam.com/about-us/media-centre/investor-news/santam-delivers-strong-performance-for-2025-financial-year/" TargetMode="External"/><Relationship Id="rId12" Type="http://schemas.openxmlformats.org/officeDocument/2006/relationships/hyperlink" Target="../../../:b:/r/sites/InsuranceResearch/Shared%20Documents/Insurance%20Research/Top%2020%20Africa/Santam%20Limited%202025-financial-statements.pdf%3Fcsf=1&amp;web=1&amp;e=0Wv0T3" TargetMode="External"/><Relationship Id="rId13" Type="http://schemas.openxmlformats.org/officeDocument/2006/relationships/hyperlink" Target="https://africanfinancials.com/document/ke-lbty-2025-ab-00/" TargetMode="External"/><Relationship Id="rId14" Type="http://schemas.openxmlformats.org/officeDocument/2006/relationships/hyperlink" Target="../../../:b:/r/sites/InsuranceResearch/Shared%20Documents/Insurance%20Research/Top%2020%20Africa/31122025-liberty-group-limited-afs-2025.pdf%3Fcsf=1&amp;web=1&amp;e=zhJ1bE" TargetMode="External"/><Relationship Id="rId15" Type="http://schemas.openxmlformats.org/officeDocument/2006/relationships/hyperlink" Target="https://dailyinvestor.com/finance/93584/south-africas-best-known-insurance-company-shooting-the-lights-out/" TargetMode="External"/><Relationship Id="rId16" Type="http://schemas.openxmlformats.org/officeDocument/2006/relationships/hyperlink" Target="../../../:b:/r/sites/InsuranceResearch/Shared%20Documents/Insurance%20Research/Top%2020%20Africa/RMH-Audited-financial-Statements-2025.pdf%3Fcsf=1&amp;web=1&amp;e=rvckya" TargetMode="External"/><Relationship Id="rId17" Type="http://schemas.openxmlformats.org/officeDocument/2006/relationships/hyperlink" Target="https://www.munichre.com/en/company/media-relations/media-information-and-corporate-news/business-news/2025/business-news-2025-09-15.html" TargetMode="External"/><Relationship Id="rId18" Type="http://schemas.openxmlformats.org/officeDocument/2006/relationships/hyperlink" Target="../../../:b:/r/sites/InsuranceResearch/Shared%20Documents/Insurance%20Research/Top%2020%20Africa/MunichRe-Group-Annual-Report-2025-en.pdf%3Fcsf=1&amp;web=1&amp;e=8RwMZe" TargetMode="External"/><Relationship Id="rId19" Type="http://schemas.openxmlformats.org/officeDocument/2006/relationships/hyperlink" Target="https://www.businessinsurance.com/africa-res-profits-climb-20/" TargetMode="External"/><Relationship Id="rId20" Type="http://schemas.openxmlformats.org/officeDocument/2006/relationships/hyperlink" Target="https://www.africa-re.com/uploads/content/download_translation/download/e2594192-5ff9-4cd7-b60d-fcd713e723d5.pdf" TargetMode="External"/><Relationship Id="rId21" Type="http://schemas.openxmlformats.org/officeDocument/2006/relationships/hyperlink" Target="https://www.hannover-re.com/en/news/2026/hannover-re-increases-earnings-and-dividend-reinforces-sustained-profitability-significantly/" TargetMode="External"/><Relationship Id="rId22" Type="http://schemas.openxmlformats.org/officeDocument/2006/relationships/hyperlink" Target="https://assets.hannover-re.com/asset/533267266226/document_vm5644i6q91ol8khnekpbcrt3s/2025_GBKonzern_e.pdf?content-disposition=inline" TargetMode="External"/><Relationship Id="rId23" Type="http://schemas.openxmlformats.org/officeDocument/2006/relationships/hyperlink" Target="https://techcabal.com/2025/06/10/sanlam-and-allianz-merge-nigerian-operations/?utm.com" TargetMode="External"/><Relationship Id="rId24" Type="http://schemas.openxmlformats.org/officeDocument/2006/relationships/hyperlink" Target="https://www.allianz.com/en/investor_relations/results-reports/financial-statements.html" TargetMode="External"/><Relationship Id="rId25" Type="http://schemas.openxmlformats.org/officeDocument/2006/relationships/hyperlink" Target="https://www.moroccoworldnews.com/2026/03/282141/axa-makes-casablanca-hub-of-new-atlantic-africa-insurance-region/" TargetMode="External"/><Relationship Id="rId26" Type="http://schemas.openxmlformats.org/officeDocument/2006/relationships/hyperlink" Target="https://www.atlas-mag.net/en/articles/axa-2025-results" TargetMode="External"/><Relationship Id="rId27" Type="http://schemas.openxmlformats.org/officeDocument/2006/relationships/hyperlink" Target="https://www.ecofinagency.com/finance/1706-47306-morocco-s-wafa-assurance-launches-takeover-bid-for-egypt-s-delta-insurance?utm.com" TargetMode="External"/><Relationship Id="rId28" Type="http://schemas.openxmlformats.org/officeDocument/2006/relationships/hyperlink" Target="https://www.atlas-mag.net/en/articles/wafa-assurance-2025-results" TargetMode="External"/><Relationship Id="rId29" Type="http://schemas.openxmlformats.org/officeDocument/2006/relationships/hyperlink" Target="https://www.linkedin.com/posts/morocco-world-news_morocco-um6p-rma-activity-7449749364429737984-kOjk" TargetMode="External"/><Relationship Id="rId30" Type="http://schemas.openxmlformats.org/officeDocument/2006/relationships/hyperlink" Target="../../GY357SQ/Downloads/rapport_annuel_rma_2023.pdf" TargetMode="External"/><Relationship Id="rId31" Type="http://schemas.openxmlformats.org/officeDocument/2006/relationships/hyperlink" Target="https://www.meinsurancereview.com/Magazine/ReadMagazineArticle?aid=60089" TargetMode="External"/><Relationship Id="rId32" Type="http://schemas.openxmlformats.org/officeDocument/2006/relationships/hyperlink" Target="https://www.atlas-mag.net/en/articles/ranking-moroccan-insurers-according-2024-turnover-0" TargetMode="External"/><Relationship Id="rId33" Type="http://schemas.openxmlformats.org/officeDocument/2006/relationships/hyperlink" Target="https://www.moroccoworldnews.com/2026/03/282609/sanlam-maroc-to-absorb-allianz-maroc-in-insurance-mega-merger/" TargetMode="External"/><Relationship Id="rId34" Type="http://schemas.openxmlformats.org/officeDocument/2006/relationships/hyperlink" Target="https://www.financialafrik.com/en/2026/02/12/sanlam-morocco-announces-an-increase-in-profit-and-a-decrease-in-revenue-in-2025/" TargetMode="External"/><Relationship Id="rId35" Type="http://schemas.openxmlformats.org/officeDocument/2006/relationships/hyperlink" Target="https://thegulfobserver.com/atlantasanad-assurance-launches-moroccos-first-ai-powered-insurance-assistant-assia/" TargetMode="External"/><Relationship Id="rId36" Type="http://schemas.openxmlformats.org/officeDocument/2006/relationships/hyperlink" Target="https://www.fanews.co.za/article/company-news-results/1/hollard/1301/hollard-international-deepens-its-africa-expansion-strategy-as-the-insurer-acquires-absa-s-life-insurance-businesses-in-mozambique-and-botswana/41584" TargetMode="External"/><Relationship Id="rId37" Type="http://schemas.openxmlformats.org/officeDocument/2006/relationships/hyperlink" Target="https://www.hollard.com.au/media/jxyfchit/hic-financial-statement-20250630.pdf" TargetMode="External"/><Relationship Id="rId38" Type="http://schemas.openxmlformats.org/officeDocument/2006/relationships/hyperlink" Target="https://www.metropolitan.co.za/press-releases/articles/ASK-AFRICA-Orange-Index-Awards/" TargetMode="External"/><Relationship Id="rId39" Type="http://schemas.openxmlformats.org/officeDocument/2006/relationships/hyperlink" Target="../../GY357SQ/Downloads/momentum-group-f2025-annual-financial-statements.pdf" TargetMode="External"/><Relationship Id="rId40" Type="http://schemas.openxmlformats.org/officeDocument/2006/relationships/hyperlink" Target="https://www.moroccoworldnews.com/2026/03/282141/axa-makes-casablanca-hub-of-new-atlantic-africa-insurance-region/" TargetMode="External"/><Relationship Id="rId41" Type="http://schemas.openxmlformats.org/officeDocument/2006/relationships/hyperlink" Target="https://www-axa-com.cdn.prismic.io/www-axa-com/ab1gEB5fn6DF3CqE_axa_urd2025_accessible_va.pdf" TargetMode="External"/><Relationship Id="rId42" Type="http://schemas.openxmlformats.org/officeDocument/2006/relationships/hyperlink" Target="https://www.businessinsurance.com/egypts-largest-insurers-posts-record-profit/" TargetMode="External"/><Relationship Id="rId43" Type="http://schemas.openxmlformats.org/officeDocument/2006/relationships/hyperlink" Target="https://www.businessinsurance.com/egypts-largest-insurers-posts-record-profit/" TargetMode="External"/><Relationship Id="rId44" Type="http://schemas.openxmlformats.org/officeDocument/2006/relationships/hyperlink" Target="https://www.archyde.com/moroccan-climate-insurance-success-story-mamdas-role-in-agricultural-risk-management/" TargetMode="External"/><Relationship Id="rId45" Type="http://schemas.openxmlformats.org/officeDocument/2006/relationships/hyperlink" Target="https://www.mamda-mcma.ma/qui-sommes-nous/chiffres-cles" TargetMode="External"/><Relationship Id="rId46" Type="http://schemas.openxmlformats.org/officeDocument/2006/relationships/hyperlink" Target="https://www.insurancebusinessmag.com/reinsurance/news/breaking-news/continental-reinsurance-restructures-with-new-holdings-and-nigeria-leaders-537209.aspx" TargetMode="External"/><Relationship Id="rId47" Type="http://schemas.openxmlformats.org/officeDocument/2006/relationships/hyperlink" Target="https://www.continental-re.com/wp-content/uploads/2025/07/CReFinStmts-31122024b.pdf" TargetMode="External"/><Relationship Id="rId48" Type="http://schemas.openxmlformats.org/officeDocument/2006/relationships/hyperlink" Target="https://www.graphic.com.gh/news/general-news/ghana-news-prudential-life-settles-ghc100-000-medical-bills.html" TargetMode="External"/><Relationship Id="rId49" Type="http://schemas.openxmlformats.org/officeDocument/2006/relationships/hyperlink" Target="../../../:b:/r/sites/InsuranceResearch/Shared%20Documents/Insurance%20Research/Top%2020%20Africa/prudential-plc-ar-2025.pdf%3Fcsf=1&amp;web=1&amp;e=vOjeNU" TargetMode="External"/><Relationship Id="rId50" Type="http://schemas.openxmlformats.org/officeDocument/2006/relationships/hyperlink" Target="https://clone.businessday.ng/cica-re-pushes-expansion-open-north-african-regional-office-soon/" TargetMode="External"/><Relationship Id="rId51" Type="http://schemas.openxmlformats.org/officeDocument/2006/relationships/hyperlink" Target="https://cica-re.com/-Rapports-Annuels-.html" TargetMode="External"/><Relationship Id="rId52" Type="http://schemas.openxmlformats.org/officeDocument/2006/relationships/hyperlink" Target="https://www.thefreelibrary.com/How+will+the+SanlamAllianz+merger+transform+Africa%27s+insurance...-a0823368203" TargetMode="External"/><Relationship Id="rId53" Type="http://schemas.openxmlformats.org/officeDocument/2006/relationships/hyperlink" Target="https://www.allianz.com/content/dam/onemarketing/azcom/Allianz_com/investor-relations/en/results-reports/annual-report/ar-2025/en-allianz-se-annual-report-2025.pdf" TargetMode="External"/><Relationship Id="rId54" Type="http://schemas.openxmlformats.org/officeDocument/2006/relationships/hyperlink" Target="https://www.financialafrik.com/en/2026/03/31/kenya-re-records-a-26-9-decline-in-net-profits-in-2025/" TargetMode="External"/><Relationship Id="rId55" Type="http://schemas.openxmlformats.org/officeDocument/2006/relationships/hyperlink" Target="https://www.nse.co.ke/wp-content/uploads/Kenya-Re-Insurance-Corporation-Ltd-Audited-Financial-Statements-for-the-Period-Ended-31-Dec-2025.pdf" TargetMode="External"/><Relationship Id="rId56"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hyperlink" Target="https://www.finanznachrichten.de/nachrichten-2026-01/67412889-admiral-group-plc-chief-financial-officer-transition-399.htm" TargetMode="External"/><Relationship Id="rId2" Type="http://schemas.openxmlformats.org/officeDocument/2006/relationships/hyperlink" Target="../../../:b:/r/sites/InsuranceResearch/Shared%20Documents/Insurance%20Research/Top%2020%20UK/Admiral%202025%20Annual%20Report%20and%20Accounts.pdf%3Fcsf=1&amp;web=1&amp;e=tuKydq" TargetMode="External"/><Relationship Id="rId3" Type="http://schemas.openxmlformats.org/officeDocument/2006/relationships/hyperlink" Target="https://www.ageas.co.uk/press-releases/2025/ageas-uk-completes-acquisition-of-esure/" TargetMode="External"/><Relationship Id="rId4" Type="http://schemas.openxmlformats.org/officeDocument/2006/relationships/hyperlink" Target="../../../:b:/r/sites/InsuranceResearch/Shared%20Documents/Insurance%20Research/Top%2020%20UK/Ageas%20Annual%20Report%202024.pdf%3Fcsf=1&amp;web=1&amp;e=aZR7jX" TargetMode="External"/><Relationship Id="rId5" Type="http://schemas.openxmlformats.org/officeDocument/2006/relationships/hyperlink" Target="https://www.allianz.co.uk/news-and-insight/news/allianz-accident-sickness-unemployment.html" TargetMode="External"/><Relationship Id="rId6" Type="http://schemas.openxmlformats.org/officeDocument/2006/relationships/hyperlink" Target="../../../:b:/r/sites/InsuranceResearch/Shared%20Documents/Insurance%20Research/Top%2020%20UK/Allianz%20UK%20Annual%20Report%202025.pdf%3Fcsf=1&amp;web=1&amp;e=2qmzRa" TargetMode="External"/><Relationship Id="rId7" Type="http://schemas.openxmlformats.org/officeDocument/2006/relationships/hyperlink" Target="https://aig.gcs-web.com/news-releases/news-release-details/mcgill-and-partners-and-aig-launch-long-term-strategic?noback" TargetMode="External"/><Relationship Id="rId8" Type="http://schemas.openxmlformats.org/officeDocument/2006/relationships/hyperlink" Target="../../../:b:/r/sites/InsuranceResearch/Shared%20Documents/Insurance%20Research/Top%2020%20UK/AIG%20UK%202024%20Annual%20Report.pdf%3Fcsf=1&amp;web=1&amp;e=LTOpPb" TargetMode="External"/><Relationship Id="rId9" Type="http://schemas.openxmlformats.org/officeDocument/2006/relationships/hyperlink" Target="https://www.directlinegroup.co.uk/en/index.html" TargetMode="External"/><Relationship Id="rId10" Type="http://schemas.openxmlformats.org/officeDocument/2006/relationships/hyperlink" Target="../../../:b:/r/sites/InsuranceResearch/Shared%20Documents/Insurance%20Research/Top%2020%20UK/Aviva%20annual-report-and-accounts-2025.pdf%3Fcsf=1&amp;web=1&amp;e=3Y7s8q" TargetMode="External"/><Relationship Id="rId11" Type="http://schemas.openxmlformats.org/officeDocument/2006/relationships/hyperlink" Target="https://insurance-edge.net/2026/03/25/axa-insurance-uk-will-unify-commercial-retail/" TargetMode="External"/><Relationship Id="rId12" Type="http://schemas.openxmlformats.org/officeDocument/2006/relationships/hyperlink" Target="../../../:b:/r/sites/InsuranceResearch/Shared%20Documents/Insurance%20Research/Top%2020%20UK/AXA%20Annual%20Report%202025.pdf%3Fcsf=1&amp;web=1&amp;e=n88iIa" TargetMode="External"/><Relationship Id="rId13" Type="http://schemas.openxmlformats.org/officeDocument/2006/relationships/hyperlink" Target="https://www.insurancebusinessmag.com/uk/news/life-insurance/bupa-seals-fouryear-spire-deal-as-pmi-demand-surges-571445.aspx" TargetMode="External"/><Relationship Id="rId14" Type="http://schemas.openxmlformats.org/officeDocument/2006/relationships/hyperlink" Target="../../../:b:/r/sites/InsuranceResearch/Shared%20Documents/Insurance%20Research/Top%2020%20UK/bupa-group-results-and-financial-statement-fy2025.pdf%3Fcsf=1&amp;web=1&amp;e=gNT1GQ" TargetMode="External"/><Relationship Id="rId15" Type="http://schemas.openxmlformats.org/officeDocument/2006/relationships/hyperlink" Target="https://group.legalandgeneral.com/en/newsroom/press-releases/l-g-announces-collaboration-with-microsoft-to-drive-customer-focused-ai-transformation" TargetMode="External"/><Relationship Id="rId16" Type="http://schemas.openxmlformats.org/officeDocument/2006/relationships/hyperlink" Target="../../../:b:/r/sites/InsuranceResearch/Shared%20Documents/Insurance%20Research/Top%2020%20UK/Legal%20PLC%20annual-reports-and-accounts-2025.pdf%3Fcsf=1&amp;web=1&amp;e=lhamj4" TargetMode="External"/><Relationship Id="rId17" Type="http://schemas.openxmlformats.org/officeDocument/2006/relationships/hyperlink" Target="https://www.lv.com/about-us/news/sharing-our-2025-financial-results?_gl=1*o2jo2n*_up*MQ..*_ga*MTM4MDcyOTQ5MS4xNzc2MTQzODE3*_ga_3MD00281LR*czE3NzYxNDM4MTckbzEkZzAkdDE3NzYxNDM4MTckajYwJGwwJGgw" TargetMode="External"/><Relationship Id="rId18" Type="http://schemas.openxmlformats.org/officeDocument/2006/relationships/hyperlink" Target="../../../:b:/r/sites/InsuranceResearch/Shared%20Documents/Insurance%20Research/Top%2020%20UK/Liver%20Annual%20Report%20-%202025.pdf%3Fcsf=1&amp;web=1&amp;e=pwKNvy" TargetMode="External"/><Relationship Id="rId19" Type="http://schemas.openxmlformats.org/officeDocument/2006/relationships/hyperlink" Target="https://www.businesswire.com/news/home/20260126340964/en/NFU-Mutual-to-Further-Improve-Customer-Service-by-Moving-to-Guidewire-Cloud-Platform" TargetMode="External"/><Relationship Id="rId20" Type="http://schemas.openxmlformats.org/officeDocument/2006/relationships/hyperlink" Target="../../../:b:/r/sites/InsuranceResearch/Shared%20Documents/Insurance%20Research/Top%2020%20UK/NFU%20Mutual%20Fund%20Annual%20report%202024.pdf%3Fcsf=1&amp;web=1&amp;e=PztFjK" TargetMode="External"/><Relationship Id="rId21" Type="http://schemas.openxmlformats.org/officeDocument/2006/relationships/hyperlink" Target="https://www.londonstockexchange.com/news-article/PHNX/change-of-company-name/17474860" TargetMode="External"/><Relationship Id="rId22" Type="http://schemas.openxmlformats.org/officeDocument/2006/relationships/hyperlink" Target="../../../:b:/r/sites/InsuranceResearch/Shared%20Documents/Insurance%20Research/Top%2020%20UK/Phieonox%20Annual%20Report%202024.pdf%3Fcsf=1&amp;web=1&amp;e=xj66AF" TargetMode="External"/><Relationship Id="rId23" Type="http://schemas.openxmlformats.org/officeDocument/2006/relationships/hyperlink" Target="https://uk.advfn.com/stock-market/london/prudential-PRU/share-news/Prudential-PLC-Appointment-of-Chair-Designate/97610507" TargetMode="External"/><Relationship Id="rId24" Type="http://schemas.openxmlformats.org/officeDocument/2006/relationships/hyperlink" Target="../../../:b:/r/sites/InsuranceResearch/Shared%20Documents/Insurance%20Research/Top%2020%20UK/Prudential-plc-ar-2025.pdf%3Fcsf=1&amp;web=1&amp;e=yhMMFp" TargetMode="External"/><Relationship Id="rId25" Type="http://schemas.openxmlformats.org/officeDocument/2006/relationships/hyperlink" Target="https://www.rsainsurance.co.uk/" TargetMode="External"/><Relationship Id="rId26" Type="http://schemas.openxmlformats.org/officeDocument/2006/relationships/hyperlink" Target="../../../:b:/r/sites/InsuranceResearch/Shared%20Documents/Insurance%20Research/Top%2020%20UK/RSA%20Insurance%20Annual%20Report%202025.pdf%3Fcsf=1&amp;web=1&amp;e=eOvlg3" TargetMode="External"/><Relationship Id="rId27" Type="http://schemas.openxmlformats.org/officeDocument/2006/relationships/hyperlink" Target="https://healthcareandprotection.com/zurich-launches-cancer-assessment-tool-from-further-for-group-risk-schemes/" TargetMode="External"/><Relationship Id="rId28" Type="http://schemas.openxmlformats.org/officeDocument/2006/relationships/hyperlink" Target="https://www.zurich.co.uk/media-centre/zurich-uk-reports-its-full-year-results-for-the-2024" TargetMode="External"/><Relationship Id="rId29" Type="http://schemas.openxmlformats.org/officeDocument/2006/relationships/hyperlink" Target="https://www.hiscoxgroup.com/news/press-releases/2026/16-02-26" TargetMode="External"/><Relationship Id="rId30" Type="http://schemas.openxmlformats.org/officeDocument/2006/relationships/hyperlink" Target="../../../:b:/r/sites/InsuranceResearch/Shared%20Documents/Insurance%20Research/Top%2020%20UK/Hiscox_report_and_accounts_2025.pdf%3Fcsf=1&amp;web=1&amp;e=OJYNw3" TargetMode="External"/><Relationship Id="rId31" Type="http://schemas.openxmlformats.org/officeDocument/2006/relationships/hyperlink" Target="https://www.rsmuk.com/insights/tax-voice/hmrc-loses-vat-battle-of-hastings-for-the-second-time" TargetMode="External"/><Relationship Id="rId32" Type="http://schemas.openxmlformats.org/officeDocument/2006/relationships/hyperlink" Target="https://www.hastingsgroup.uk/news-announcements/hastings-group-reports-fourth-quarter-results-2025" TargetMode="External"/><Relationship Id="rId33" Type="http://schemas.openxmlformats.org/officeDocument/2006/relationships/hyperlink" Target="mailto:ablackmore@uk.ey.com" TargetMode="External"/><Relationship Id="rId34" Type="http://schemas.openxmlformats.org/officeDocument/2006/relationships/hyperlink" Target="https://www.ecclesiastical.com/media-centre/crack-down-on-fraudsters/" TargetMode="External"/><Relationship Id="rId35" Type="http://schemas.openxmlformats.org/officeDocument/2006/relationships/hyperlink" Target="../../../:b:/r/sites/InsuranceResearch/Shared%20Documents/Insurance%20Research/Top%2020%20UK/Ecclesiastical-annual-results-2025.pdf%3Fcsf=1&amp;web=1&amp;e=43TThX" TargetMode="External"/><Relationship Id="rId36" Type="http://schemas.openxmlformats.org/officeDocument/2006/relationships/hyperlink" Target="mailto:ablackmore@uk.ey.com" TargetMode="External"/><Relationship Id="rId37" Type="http://schemas.openxmlformats.org/officeDocument/2006/relationships/hyperlink" Target="https://convexin.com/wp-content/uploads/2026/02/Press-release-Convexs-new-ownership-structure-receives-regulatory-approval-060226.pdf" TargetMode="External"/><Relationship Id="rId38" Type="http://schemas.openxmlformats.org/officeDocument/2006/relationships/hyperlink" Target="https://convexin.com/2026/02/20/record-profit-achieved-in-2025/" TargetMode="External"/><Relationship Id="rId39" Type="http://schemas.openxmlformats.org/officeDocument/2006/relationships/hyperlink" Target="https://corporate.tescoinsurance.com/tesco-insurance-names-new-ceo-following-separation-from-tesco-bank/" TargetMode="External"/><Relationship Id="rId40" Type="http://schemas.openxmlformats.org/officeDocument/2006/relationships/hyperlink" Target="../../../:b:/r/sites/InsuranceResearch/Shared%20Documents/Insurance%20Research/Top%2020%20UK/Tesco-limited-annual-accounts-2024.pdf%3Fcsf=1&amp;web=1&amp;e=Jyh1DA" TargetMode="External"/><Relationship Id="rId41" Type="http://schemas.openxmlformats.org/officeDocument/2006/relationships/hyperlink" Target="https://www.markerstudygroup.com/media/news/markerstudy-group/markerstudy-welcomes-glen-ward-as-group-chief-financial-officer/" TargetMode="External"/><Relationship Id="rId42" Type="http://schemas.openxmlformats.org/officeDocument/2006/relationships/hyperlink" Target="../../../:b:/r/sites/InsuranceResearch/Shared%20Documents/Insurance%20Research/Top%2020%20UK/Makerstudy%20-annual-report-2024.pdf%3Fcsf=1&amp;web=1&amp;e=ZoiU2k" TargetMode="External"/><Relationship Id="rId43" Type="http://schemas.openxmlformats.org/officeDocument/2006/relationships/hyperlink" Target="https://financialpost.com/pmn/business-pmn/lloyds-phoenix-submit-initial-bids-for-aegons-uk-unit" TargetMode="External"/><Relationship Id="rId44" Type="http://schemas.openxmlformats.org/officeDocument/2006/relationships/hyperlink" Target="../../EW352AX/Forms/AllItems.aspx%3Fid=/sites/InsuranceResearch/Shared%20Documents/Insurance%20Research/Top%2020%20UK/Aegon%20UK%20PLC%20Group%20accounts%202024.pdf&amp;parent=/sites/InsuranceResearch/Shared%20Documents/Insurance%20Research/Top%2020%20UK" TargetMode="External"/><Relationship Id="rId45" Type="http://schemas.openxmlformats.org/officeDocument/2006/relationships/hyperlink" Target="https://www.insurancejournal.com/news/international/2026/03/02/860121.htm" TargetMode="External"/><Relationship Id="rId46" Type="http://schemas.openxmlformats.org/officeDocument/2006/relationships/hyperlink" Target="../../../:b:/r/sites/InsuranceResearch/Shared%20Documents/Insurance%20Research/Top%2020%20UK/Bezley%20PLC%20Annual%20Report%202025.pdf%3Fcsf=1&amp;web=1&amp;e=8FR6or" TargetMode="External"/><Relationship Id="rId47" Type="http://schemas.openxmlformats.org/officeDocument/2006/relationships/hyperlink" Target="https://www.aon.com/unitedkingdom/media-room/articles/aon-carl-nordling-uk-nordics-director" TargetMode="External"/><Relationship Id="rId48" Type="http://schemas.openxmlformats.org/officeDocument/2006/relationships/hyperlink" Target="../../../:b:/r/sites/InsuranceResearch/Shared%20Documents/Insurance%20Research/Top%2020%20UK/Aon-2024-10K-25635809.pdf%3Fcsf=1&amp;web=1&amp;e=eJD7pW" TargetMode="External"/><Relationship Id="rId49" Type="http://schemas.openxmlformats.org/officeDocument/2006/relationships/hyperlink" Target="https://www.captiveinsurancetimes.com/captiveinsurancenews/industryarticle.php?article_id=9966&amp;navigationaction=industrynews&amp;newssection=industry" TargetMode="External"/><Relationship Id="rId50" Type="http://schemas.openxmlformats.org/officeDocument/2006/relationships/hyperlink" Target="../../../:b:/r/sites/InsuranceResearch/Shared%20Documents/Insurance%20Research/Top%2020%20UK/WTW%20Annual%20Report%202025.pdf%3Fcsf=1&amp;web=1&amp;e=qoSFDE" TargetMode="External"/><Relationship Id="rId51" Type="http://schemas.openxmlformats.org/officeDocument/2006/relationships/hyperlink" Target="https://www.insuranceage.co.uk/insight/7958160/howden-diversifies-with-new-arm-on-back-of-acquisition" TargetMode="External"/><Relationship Id="rId52" Type="http://schemas.openxmlformats.org/officeDocument/2006/relationships/hyperlink" Target="https://www.howdengroupholdings.com/news/howden-announces-2024-full-year-results" TargetMode="External"/><Relationship Id="rId53" Type="http://schemas.openxmlformats.org/officeDocument/2006/relationships/hyperlink" Target="https://www.directlinegroup.co.uk/en/index.html" TargetMode="External"/><Relationship Id="rId54" Type="http://schemas.openxmlformats.org/officeDocument/2006/relationships/hyperlink" Target="../../../:b:/r/sites/InsuranceResearch/Shared%20Documents/Insurance%20Research/Top%2020%20UK/Direct%20Line%20annual-report-and-accounts-2024.pdf%3Fcsf=1&amp;web=1&amp;e=lIHGcz" TargetMode="External"/><Relationship Id="rId55" Type="http://schemas.openxmlformats.org/officeDocument/2006/relationships/hyperlink" Target="https://www.aviva.com/newsroom/news-releases/2025/07/aviva-completes-acquisition-of-direct-line/" TargetMode="External"/><Relationship Id="rId56" Type="http://schemas.openxmlformats.org/officeDocument/2006/relationships/drawing" Target="../drawings/drawing6.xml"/>
</Relationships>
</file>

<file path=xl/worksheets/_rels/sheet14.xml.rels><?xml version="1.0" encoding="UTF-8"?>
<Relationships xmlns="http://schemas.openxmlformats.org/package/2006/relationships"><Relationship Id="rId1" Type="http://schemas.openxmlformats.org/officeDocument/2006/relationships/drawing" Target="../drawings/drawing7.xml"/>
</Relationships>
</file>

<file path=xl/worksheets/_rels/sheet15.xml.rels><?xml version="1.0" encoding="UTF-8"?>
<Relationships xmlns="http://schemas.openxmlformats.org/package/2006/relationships"><Relationship Id="rId1" Type="http://schemas.openxmlformats.org/officeDocument/2006/relationships/hyperlink" Target="https://www.technoparktoday.com/allianz-services-india-hosts-innovation-marathon-2026-sree-chitra-thirunal-college-of-engineering-emerges-as-winner/" TargetMode="External"/><Relationship Id="rId2" Type="http://schemas.openxmlformats.org/officeDocument/2006/relationships/hyperlink" Target="https://careers.allianz.com/global/en/allianz-services" TargetMode="External"/><Relationship Id="rId3" Type="http://schemas.openxmlformats.org/officeDocument/2006/relationships/hyperlink" Target="https://www.linkedin.com/showcase/allianz-services-india/" TargetMode="External"/><Relationship Id="rId4" Type="http://schemas.openxmlformats.org/officeDocument/2006/relationships/hyperlink" Target="https://www.thecompanycheck.com/company/allianz-services-private-limited/U72200KL2003PTC015907" TargetMode="External"/><Relationship Id="rId5" Type="http://schemas.openxmlformats.org/officeDocument/2006/relationships/hyperlink" Target="https://www.technoparktoday.com/allianz-services-india-actuarial-edge-2025-iaqs-mumbai-wins/" TargetMode="External"/><Relationship Id="rId6" Type="http://schemas.openxmlformats.org/officeDocument/2006/relationships/hyperlink" Target="https://www.linkedin.com/showcase/allianz-services-india/" TargetMode="External"/><Relationship Id="rId7" Type="http://schemas.openxmlformats.org/officeDocument/2006/relationships/hyperlink" Target="https://www.insurancejournal.com/news/national/2026/08/07/880719.htm" TargetMode="External"/><Relationship Id="rId8" Type="http://schemas.openxmlformats.org/officeDocument/2006/relationships/hyperlink" Target="https://www.business-standard.com/content/press-releases-ani/reimagining-the-role-of-insurance-gccs-allstate-india-s-journey-towards-a-global-talent-center-124082600741_1.html" TargetMode="External"/><Relationship Id="rId9" Type="http://schemas.openxmlformats.org/officeDocument/2006/relationships/hyperlink" Target="https://tracxn.com/d/companies/allstateindia/__9hXgvLj6uzJEc20xuVzrjVJQxh1sjroMM9etIjj845E" TargetMode="External"/><Relationship Id="rId10" Type="http://schemas.openxmlformats.org/officeDocument/2006/relationships/hyperlink" Target="https://hrtoday.in/shibu-mathew-zacharia-appointed-as-vice-president-and-managing-director-at-allstate-india/" TargetMode="External"/><Relationship Id="rId11" Type="http://schemas.openxmlformats.org/officeDocument/2006/relationships/hyperlink" Target="https://www.prnewswire.com/in/news-releases/reimagining-the-role-of-insurance-gccs-allstate-indias-journey-towards-a-global-talent-center-302230355.html" TargetMode="External"/><Relationship Id="rId12" Type="http://schemas.openxmlformats.org/officeDocument/2006/relationships/hyperlink" Target="https://www.zaubacorp.com/company/AIG-ANALYTICS-SERVICES-PRIVATE-LIMITED/U74990KA2009PTC076432" TargetMode="External"/><Relationship Id="rId13" Type="http://schemas.openxmlformats.org/officeDocument/2006/relationships/hyperlink" Target="https://fortune.com/2022/07/21/aig-imploded-2008-recession-financial-crisis-turnaround-plan-6000-employees-accenture/" TargetMode="External"/><Relationship Id="rId14" Type="http://schemas.openxmlformats.org/officeDocument/2006/relationships/hyperlink" Target="https://www.aon.com/apac/in-the-press/asia-newsroom/2026/aon-reinforces-india-as-key-global-hub" TargetMode="External"/><Relationship Id="rId15" Type="http://schemas.openxmlformats.org/officeDocument/2006/relationships/hyperlink" Target="https://www.reinsurancene.ws/aon-expands-bengalurus-global-capability-centre-with-new-facility/" TargetMode="External"/><Relationship Id="rId16" Type="http://schemas.openxmlformats.org/officeDocument/2006/relationships/hyperlink" Target="https://hrtoday.in/shiney-prasad-embarks-on-new-journey-with-aon-as-head-of-global-capability-centers/" TargetMode="External"/><Relationship Id="rId17" Type="http://schemas.openxmlformats.org/officeDocument/2006/relationships/hyperlink" Target="https://reinasia.com/aon-taps-nayana-mitter-to-lead-global-capability-centres-strategy-and-programme-management/" TargetMode="External"/><Relationship Id="rId18" Type="http://schemas.openxmlformats.org/officeDocument/2006/relationships/hyperlink" Target="https://www.admiralindia.com/" TargetMode="External"/><Relationship Id="rId19" Type="http://schemas.openxmlformats.org/officeDocument/2006/relationships/hyperlink" Target="https://www.admiralindia.com/current-jobs/" TargetMode="External"/><Relationship Id="rId20" Type="http://schemas.openxmlformats.org/officeDocument/2006/relationships/hyperlink" Target="https://career.admiralsolutions.in/vacancies/" TargetMode="External"/><Relationship Id="rId21" Type="http://schemas.openxmlformats.org/officeDocument/2006/relationships/hyperlink" Target="https://www.admiralsolutions.in/" TargetMode="External"/><Relationship Id="rId22" Type="http://schemas.openxmlformats.org/officeDocument/2006/relationships/hyperlink" Target="https://www.businesswire.com/news/home/20251027224074/en/Arch-Global-Services-India-Opens-Technology-Hub-in-Hyderabad-to-Accelerate-Innovation" TargetMode="External"/><Relationship Id="rId23" Type="http://schemas.openxmlformats.org/officeDocument/2006/relationships/hyperlink" Target="https://www.reinsurancene.ws/arch-global-services-india-opens-technology-hub-in-hyderabad/" TargetMode="External"/><Relationship Id="rId24" Type="http://schemas.openxmlformats.org/officeDocument/2006/relationships/hyperlink" Target="https://www.archgroup.com/arch-global-services-india-opens-new-office-in-trivandrum-to-drive-innovation/" TargetMode="External"/><Relationship Id="rId25" Type="http://schemas.openxmlformats.org/officeDocument/2006/relationships/hyperlink" Target="https://www.businesswire.com/news/home/20251029203215/en/arch-global-services-india-opens-new-office-in-trivandrum-to-drive-innovation/" TargetMode="External"/><Relationship Id="rId26" Type="http://schemas.openxmlformats.org/officeDocument/2006/relationships/hyperlink" Target="https://www.archgroup.com/arch-capital-group-opens-global-capabilities-centers-in-india/" TargetMode="External"/><Relationship Id="rId27" Type="http://schemas.openxmlformats.org/officeDocument/2006/relationships/hyperlink" Target="https://www.business-standard.com/content/press-releases-ani/axa-global-business-services-embarks-on-a-new-era-of-transformation-as-it-celebrates-30-years-in-india-125021300860_1.html" TargetMode="External"/><Relationship Id="rId28" Type="http://schemas.openxmlformats.org/officeDocument/2006/relationships/hyperlink" Target="https://cxotoday.com/press-release/axa-global-business-services-embarks-on-a-new-era-of-transformation-as-it-celebrates-30-years-in-india/" TargetMode="External"/><Relationship Id="rId29" Type="http://schemas.openxmlformats.org/officeDocument/2006/relationships/hyperlink" Target="https://www.prnewswire.com/in/news-releases/axa-unveils-state-of-the-art-office-space-in-pune-expands-its-global-business-services-center-302271407.html" TargetMode="External"/><Relationship Id="rId30" Type="http://schemas.openxmlformats.org/officeDocument/2006/relationships/hyperlink" Target="https://tracxn.com/d/legal-entities/india/axa-global-business-services-private-limited/__YU7KMI_cCEU4d_R8dX_1H3gmvZ32z1HhrCxNpWhXrV0" TargetMode="External"/><Relationship Id="rId31" Type="http://schemas.openxmlformats.org/officeDocument/2006/relationships/hyperlink" Target="https://www.tribuneindia.com/news/business/axa-global-business-services-embarks-on-a-new-era-of-transformation-as-it-celebrates-30-years-in-india/" TargetMode="External"/><Relationship Id="rId32" Type="http://schemas.openxmlformats.org/officeDocument/2006/relationships/hyperlink" Target="https://www.instafinancials.com/company/bupa-capability-centre-private-limited-U70200HR2025FTC131860" TargetMode="External"/><Relationship Id="rId33" Type="http://schemas.openxmlformats.org/officeDocument/2006/relationships/hyperlink" Target="https://careers.bupa.co.uk/bupa-capability-centre-india" TargetMode="External"/><Relationship Id="rId34" Type="http://schemas.openxmlformats.org/officeDocument/2006/relationships/hyperlink" Target="https://careers.bupa.co.uk/bupa-capability-centre" TargetMode="External"/><Relationship Id="rId35" Type="http://schemas.openxmlformats.org/officeDocument/2006/relationships/hyperlink" Target="https://careers.bupa.co.uk/search-jobs/bupa-capability-centre-india/gurugram/finance-specialist-2/R1225113" TargetMode="External"/><Relationship Id="rId36" Type="http://schemas.openxmlformats.org/officeDocument/2006/relationships/hyperlink" Target="https://careers.bupa.co.uk/bupa-capability-centre-india" TargetMode="External"/><Relationship Id="rId37" Type="http://schemas.openxmlformats.org/officeDocument/2006/relationships/hyperlink" Target="https://www.projectstoday.com/News/Evernorth-Health-Services-expands-presence-in-Hyderabad-GCC-inaugurated" TargetMode="External"/><Relationship Id="rId38" Type="http://schemas.openxmlformats.org/officeDocument/2006/relationships/hyperlink" Target="https://builtin.com/job/machine-learning-analyst-hih-evernorth/6849277" TargetMode="External"/><Relationship Id="rId39" Type="http://schemas.openxmlformats.org/officeDocument/2006/relationships/hyperlink" Target="https://www.hrkatha.com/features/how-evernorth-is-building-a-workforce-for-the-future-at-its-hyderabad-gcc/" TargetMode="External"/><Relationship Id="rId40" Type="http://schemas.openxmlformats.org/officeDocument/2006/relationships/hyperlink" Target="https://www.talentmate.com/jobs/india/greater-hyderabad-area/hih-financial-analysis-lead-analyst/2607-2340-174" TargetMode="External"/><Relationship Id="rId41" Type="http://schemas.openxmlformats.org/officeDocument/2006/relationships/hyperlink" Target="https://www.digitalhealthnews.com/cigna-s-evernorth-launches-first-global-innovation-hub-in-hyderabad" TargetMode="External"/><Relationship Id="rId42" Type="http://schemas.openxmlformats.org/officeDocument/2006/relationships/hyperlink" Target="https://www.linkedin.com/in/ashwani-agarwal-0214976/" TargetMode="External"/><Relationship Id="rId43" Type="http://schemas.openxmlformats.org/officeDocument/2006/relationships/hyperlink" Target="https://www.capgemini.com/news/press-releases/dai-ichi-life-group-and-capgemini-sign-multi-year-agreement-to-establish-a-global-capability-center-in-india-to-drive-international-digital-transformation/" TargetMode="External"/><Relationship Id="rId44" Type="http://schemas.openxmlformats.org/officeDocument/2006/relationships/hyperlink" Target="https://gccrise.com/dai-ichi-life-to-expand-india-gcc-to-600-employees-partners-with-capgemini-to-bridge-cultures/" TargetMode="External"/><Relationship Id="rId45" Type="http://schemas.openxmlformats.org/officeDocument/2006/relationships/hyperlink" Target="https://www.insurancebusinessmag.com/asia/news/technology/daiichi-life-sets-up-global-tech-hub-in-india-538626.aspx" TargetMode="External"/><Relationship Id="rId46" Type="http://schemas.openxmlformats.org/officeDocument/2006/relationships/hyperlink" Target="https://www.fm.com/newsroom/news/2026/fm-strengthens-india-commitment-with-opening-of-mumbai-office" TargetMode="External"/><Relationship Id="rId47" Type="http://schemas.openxmlformats.org/officeDocument/2006/relationships/hyperlink" Target="https://constrofacilitator.com/fm-signs-2-2-lakh-sq-ft-office-lease-in-bengaluru/" TargetMode="External"/><Relationship Id="rId48" Type="http://schemas.openxmlformats.org/officeDocument/2006/relationships/hyperlink" Target="https://www.fm.com/newsroom/news/2025/fm-expands-footprint-in-india-with-new-innovative-centre-in-bengaluru" TargetMode="External"/><Relationship Id="rId49" Type="http://schemas.openxmlformats.org/officeDocument/2006/relationships/hyperlink" Target="https://www.fm.com/newsroom/news/2026/fm-strengthens-india-commitment-with-opening-of-mumbai-office" TargetMode="External"/><Relationship Id="rId50" Type="http://schemas.openxmlformats.org/officeDocument/2006/relationships/hyperlink" Target="https://www.fm.com/newsroom/news/2026/fm-strengthens-india-commitment-with-opening-of-mumbai-office" TargetMode="External"/><Relationship Id="rId51" Type="http://schemas.openxmlformats.org/officeDocument/2006/relationships/hyperlink" Target="https://www.cxodigitalpulse.com/first-american-india-appoints-gautam-mukherjee-as-chief-technology-officer/" TargetMode="External"/><Relationship Id="rId52" Type="http://schemas.openxmlformats.org/officeDocument/2006/relationships/hyperlink" Target="https://in.linkedin.com/company/first-american-india-pvt-ltd" TargetMode="External"/><Relationship Id="rId53" Type="http://schemas.openxmlformats.org/officeDocument/2006/relationships/hyperlink" Target="https://www.greatplacetowork.in/great/company/first-american-india-pvt-ltd" TargetMode="External"/><Relationship Id="rId54" Type="http://schemas.openxmlformats.org/officeDocument/2006/relationships/hyperlink" Target="https://ajg.jibeapply.com/gcoe-home" TargetMode="External"/><Relationship Id="rId55" Type="http://schemas.openxmlformats.org/officeDocument/2006/relationships/hyperlink" Target="https://www.ajg.com/in/about-us/gallagher-center-of-excellence/" TargetMode="External"/><Relationship Id="rId56" Type="http://schemas.openxmlformats.org/officeDocument/2006/relationships/hyperlink" Target="https://www.ajg.com/in/about-us/gallagher-center-of-excellence/" TargetMode="External"/><Relationship Id="rId57" Type="http://schemas.openxmlformats.org/officeDocument/2006/relationships/hyperlink" Target="https://hrtoday.in/meenu-agrawal-joins-gallagher-center-of-excellence-as-group-vice-president-talent-acquisition/" TargetMode="External"/><Relationship Id="rId58" Type="http://schemas.openxmlformats.org/officeDocument/2006/relationships/hyperlink" Target="https://www.reinsurancene.ws/hannover-re-appoints-prateek-maheshwari-as-cfo-india-branch/" TargetMode="External"/><Relationship Id="rId59" Type="http://schemas.openxmlformats.org/officeDocument/2006/relationships/hyperlink" Target="https://reinasia.com/hannover-re-appoints-prateek-maheshwari-as-cfo-for-india-branch/" TargetMode="External"/><Relationship Id="rId60" Type="http://schemas.openxmlformats.org/officeDocument/2006/relationships/hyperlink" Target="https://www.captive.com/news/asia-india-reinsurance-renewals-show-continued-softening" TargetMode="External"/><Relationship Id="rId61" Type="http://schemas.openxmlformats.org/officeDocument/2006/relationships/hyperlink" Target="https://jobs.hannover-re.com/job/Mumbai-Associate-Underwriter-P&amp;C-Base-MH-400-099/1165499555" TargetMode="External"/><Relationship Id="rId62" Type="http://schemas.openxmlformats.org/officeDocument/2006/relationships/hyperlink" Target="https://www.hannover-re.com/en/local-offices/asia/india/life-and-health/" TargetMode="External"/><Relationship Id="rId63" Type="http://schemas.openxmlformats.org/officeDocument/2006/relationships/hyperlink" Target="https://www.markel.com/international/news-and-insights/markel-international-launches-ai-centre-of-enablement-with-appointment-of-head-of-ai" TargetMode="External"/><Relationship Id="rId64" Type="http://schemas.openxmlformats.org/officeDocument/2006/relationships/hyperlink" Target="https://www.markel.com/about-us/news-and-press/markel-announces-collaboration-with-insurate-to-advance-middle-market-workers-compensation-through-ai-and-innovative-safety-scoring-122847" TargetMode="External"/><Relationship Id="rId65" Type="http://schemas.openxmlformats.org/officeDocument/2006/relationships/hyperlink" Target="https://www.insurancebusinessmag.com/asia/news/marine/markel-adds-local-marine-claims-expertise-in-india-582194.aspx" TargetMode="External"/><Relationship Id="rId66" Type="http://schemas.openxmlformats.org/officeDocument/2006/relationships/hyperlink" Target="https://www.markel.com/international/news-and-insights/markel-launches-asia-pacific-warranty-and-indemnity-capability-in-hong-kong-and-india" TargetMode="External"/><Relationship Id="rId67" Type="http://schemas.openxmlformats.org/officeDocument/2006/relationships/hyperlink" Target="https://www.markel.com/about-us/news-and-press/markel-announces-priyanka-gautama-as-chief-underwriting-officer-for-india" TargetMode="External"/><Relationship Id="rId68" Type="http://schemas.openxmlformats.org/officeDocument/2006/relationships/hyperlink" Target="https://www.markel.com/international/news-and-insights/markel-appoints-ravi-jain-business-development-distribution-lead-india" TargetMode="External"/><Relationship Id="rId69" Type="http://schemas.openxmlformats.org/officeDocument/2006/relationships/hyperlink" Target="https://www.marketbeat.com/earnings/reports/2026-4-16-marsh-mclennan-companies-inc-stock/" TargetMode="External"/><Relationship Id="rId70" Type="http://schemas.openxmlformats.org/officeDocument/2006/relationships/hyperlink" Target="https://careers.marshmclennan.com/global/en/india" TargetMode="External"/><Relationship Id="rId71" Type="http://schemas.openxmlformats.org/officeDocument/2006/relationships/hyperlink" Target="https://www.peoplematters.in/news/appointments/marsh-mclennan-appoints-andrea-bono-as-ceo-of-india-middle-east-and-africa-47072" TargetMode="External"/><Relationship Id="rId72" Type="http://schemas.openxmlformats.org/officeDocument/2006/relationships/hyperlink" Target="https://scoutify.com/companies/marsh-mclennan/jobs/1102984/" TargetMode="External"/><Relationship Id="rId73" Type="http://schemas.openxmlformats.org/officeDocument/2006/relationships/hyperlink" Target="https://apna.co/job/gurgaon/manager-risk-control-testing-pension-domain-1244513274" TargetMode="External"/><Relationship Id="rId74" Type="http://schemas.openxmlformats.org/officeDocument/2006/relationships/hyperlink" Target="https://builtin.com/job/corptech-im-sr-python-ai-developer/6470821" TargetMode="External"/><Relationship Id="rId75" Type="http://schemas.openxmlformats.org/officeDocument/2006/relationships/hyperlink" Target="https://telanganatoday.com/tag/global-capability-center-gcc" TargetMode="External"/><Relationship Id="rId76" Type="http://schemas.openxmlformats.org/officeDocument/2006/relationships/hyperlink" Target="https://builtin.com/job/private-equity-fund-accounting-operations-assistant-manager/7869950" TargetMode="External"/><Relationship Id="rId77" Type="http://schemas.openxmlformats.org/officeDocument/2006/relationships/hyperlink" Target="https://builtin.com/job/senior-analyst-operations-pension-risk-transfer/7013935" TargetMode="External"/><Relationship Id="rId78" Type="http://schemas.openxmlformats.org/officeDocument/2006/relationships/hyperlink" Target="https://www.michaelpage.co.in/job-detail/compliance-gcc-4-6-yrs-hyderabad/ref/jn-042026-6997546" TargetMode="External"/><Relationship Id="rId79" Type="http://schemas.openxmlformats.org/officeDocument/2006/relationships/hyperlink" Target="https://ssfglobal.in/?p=40139" TargetMode="External"/><Relationship Id="rId80" Type="http://schemas.openxmlformats.org/officeDocument/2006/relationships/hyperlink" Target="https://yourstory.com/2026/04/tdelivery-hubs-decisions-centres-indias-gccs-reshape-global-enterprisehe-ys" TargetMode="External"/><Relationship Id="rId81" Type="http://schemas.openxmlformats.org/officeDocument/2006/relationships/hyperlink" Target="https://builtinhyderabad.in/job/senior-manager-fp/4491047" TargetMode="External"/><Relationship Id="rId82" Type="http://schemas.openxmlformats.org/officeDocument/2006/relationships/hyperlink" Target="https://builtinhyderabad.in/job/actuarial-services-emea/4238923" TargetMode="External"/><Relationship Id="rId83" Type="http://schemas.openxmlformats.org/officeDocument/2006/relationships/hyperlink" Target="https://www.swissre.com/profile/Amit_Kalra/ip_f2cb75" TargetMode="External"/><Relationship Id="rId84" Type="http://schemas.openxmlformats.org/officeDocument/2006/relationships/hyperlink" Target="https://reinasia.com/zurich-taps-amit-kalra-to-lead-new-global-capability-centre-in-india/" TargetMode="External"/><Relationship Id="rId85" Type="http://schemas.openxmlformats.org/officeDocument/2006/relationships/hyperlink" Target="https://www.thepeoplesboard.com/?p=17616" TargetMode="External"/><Relationship Id="rId86" Type="http://schemas.openxmlformats.org/officeDocument/2006/relationships/hyperlink" Target="https://www.peoplematters.in/news/business/the-standard-grows-india-gcc-to-400-positioning-bengaluru-at-the-centre-of-its-innovation-strategy-51594" TargetMode="External"/><Relationship Id="rId87" Type="http://schemas.openxmlformats.org/officeDocument/2006/relationships/hyperlink" Target="https://www.peoplematters.in/news/leadership/the-standard-india-appoints-new-hr-talent-acquisition-and-technology-heads-51147" TargetMode="External"/><Relationship Id="rId88" Type="http://schemas.openxmlformats.org/officeDocument/2006/relationships/hyperlink" Target="https://www.peoplematters.in/news/business/the-standard-grows-india-gcc-to-400-positioning-bengaluru-at-the-centre-of-its-innovation-strategy-51594" TargetMode="External"/><Relationship Id="rId89" Type="http://schemas.openxmlformats.org/officeDocument/2006/relationships/hyperlink" Target="https://yourstory.com/enterprise-story/2025/11/us-financial-services-firm-the-standard-opens-new-gcc-in-india" TargetMode="External"/><Relationship Id="rId90" Type="http://schemas.openxmlformats.org/officeDocument/2006/relationships/hyperlink" Target="https://www.efinancialcareers.com/jobs-India-Mumbai-Senior_Manager_Income_Accounting.id24535075" TargetMode="External"/><Relationship Id="rId91" Type="http://schemas.openxmlformats.org/officeDocument/2006/relationships/hyperlink" Target="https://www.efinancialcareers.com/jobs-India-Mumbai-Senior_Manager_Income_Accounting.id24535075" TargetMode="External"/><Relationship Id="rId92" Type="http://schemas.openxmlformats.org/officeDocument/2006/relationships/hyperlink" Target="https://www.efinancialcareers.com/jobs-India-Mumbai-Manager_Actuarial.id24464288" TargetMode="External"/><Relationship Id="rId93" Type="http://schemas.openxmlformats.org/officeDocument/2006/relationships/hyperlink" Target="https://www.efinancialcareers.com/jobs-India-Mumbai-Senior_Manager_-_IA_Operations_Auditor_Ops__QA_Practices_Community.id24592434" TargetMode="External"/><Relationship Id="rId94" Type="http://schemas.openxmlformats.org/officeDocument/2006/relationships/hyperlink" Target="https://ssfglobal.in/industry_action/chubb-launches-first-chennai-gcc-to-expand-global-analytics-and-engineering-capabilities/" TargetMode="External"/><Relationship Id="rId95" Type="http://schemas.openxmlformats.org/officeDocument/2006/relationships/hyperlink" Target="https://www.hrkatha.com/news/chubb-and-nordex-to-drive-job-creation-with-chennai-gcc-and-rd-expansion/" TargetMode="External"/><Relationship Id="rId96" Type="http://schemas.openxmlformats.org/officeDocument/2006/relationships/hyperlink" Target="https://about.chubb.com/careers/engineering-centers/india-engineering-center.html" TargetMode="External"/><Relationship Id="rId97" Type="http://schemas.openxmlformats.org/officeDocument/2006/relationships/hyperlink" Target="https://www.businessofgcc.com/gcc-data/companies/chubb-india" TargetMode="External"/><Relationship Id="rId98" Type="http://schemas.openxmlformats.org/officeDocument/2006/relationships/hyperlink" Target="https://jobs.anitab.org/companies/chubb/jobs/90305101-analyst-i-cat-modelling" TargetMode="External"/><Relationship Id="rId99" Type="http://schemas.openxmlformats.org/officeDocument/2006/relationships/hyperlink" Target="https://www.businessofgcc.com/gcc-data/companies/chubb-india" TargetMode="External"/><Relationship Id="rId100" Type="http://schemas.openxmlformats.org/officeDocument/2006/relationships/hyperlink" Target="https://jobs.anitab.org/companies/chubb/jobs/90305173-global-it-sox-compliance-lead" TargetMode="External"/><Relationship Id="rId101" Type="http://schemas.openxmlformats.org/officeDocument/2006/relationships/hyperlink" Target="https://www.businesstoday.in/amp/technology/story/hcltech-to-acquire-guardian-india-nearly-2000-employees-to-join-the-it-giant-543486-2026-07-16" TargetMode="External"/><Relationship Id="rId102" Type="http://schemas.openxmlformats.org/officeDocument/2006/relationships/hyperlink" Target="https://kyodonewsprwire.jp/release/202607162705" TargetMode="External"/><Relationship Id="rId103" Type="http://schemas.openxmlformats.org/officeDocument/2006/relationships/hyperlink" Target="https://www.hrkatha.com/news/merger-acquisition/hcltech-brings-guardian-india-operations-staff-on-board/" TargetMode="External"/><Relationship Id="rId104" Type="http://schemas.openxmlformats.org/officeDocument/2006/relationships/hyperlink" Target="https://www.outlookbusiness.com/corporate/hcltech-to-acquire-guardian-india-for-105-million-2000-employees-to-transition" TargetMode="External"/><Relationship Id="rId105" Type="http://schemas.openxmlformats.org/officeDocument/2006/relationships/hyperlink" Target="https://www.constructionworld.in/policy-updates-and-economic-news/tiaa-global-capabilities-leases-255713-square-feet-in-pune/96764" TargetMode="External"/><Relationship Id="rId106" Type="http://schemas.openxmlformats.org/officeDocument/2006/relationships/hyperlink" Target="https://hrtoday.in/deepak-gupta-appointed-as-head-of-tiaa-global-capabilities-and-member-of-the-tiaa-india-board-of-directors/" TargetMode="External"/><Relationship Id="rId107" Type="http://schemas.openxmlformats.org/officeDocument/2006/relationships/hyperlink" Target="https://careers.tiaa.org/analyst-onboarding-client-assignment/job/CE18DAD11D2B59AA57CE07977DBB34B8" TargetMode="External"/><Relationship Id="rId108" Type="http://schemas.openxmlformats.org/officeDocument/2006/relationships/hyperlink" Target="https://careers.tiaa.org/analyst-finance-control/job/31A93F863B6F1182CFCC849708C5E845" TargetMode="External"/><Relationship Id="rId109" Type="http://schemas.openxmlformats.org/officeDocument/2006/relationships/hyperlink" Target="https://careers.tiaa.org/analyst-associate-onboarding-client-assignment/job/73A80F1434BAEF873D854491623A81A7" TargetMode="External"/><Relationship Id="rId110" Type="http://schemas.openxmlformats.org/officeDocument/2006/relationships/hyperlink" Target="https://www.constructionworld.in/policy-updates-and-economic-news/tiaa-global-capabilities-leases-255713-square-feet-in-pune/96764" TargetMode="External"/><Relationship Id="rId111" Type="http://schemas.openxmlformats.org/officeDocument/2006/relationships/hyperlink" Target="https://careers.tiaa.org/analyst-finance-control/job/31A93F863B6F1182CFCC849708C5E845" TargetMode="External"/><Relationship Id="rId112" Type="http://schemas.openxmlformats.org/officeDocument/2006/relationships/hyperlink" Target="https://www.sunlife.com/slgs/en/newsroom/press-releases/2026/sun-life-global-solutions-india-at-20/" TargetMode="External"/><Relationship Id="rId113" Type="http://schemas.openxmlformats.org/officeDocument/2006/relationships/hyperlink" Target="https://www.cxodigitalpulse.com/?p=45758" TargetMode="External"/><Relationship Id="rId114" Type="http://schemas.openxmlformats.org/officeDocument/2006/relationships/hyperlink" Target="https://www.sunlife.com/slgs/en/newsroom/press-releases/2024/sun-life-global-solutions-partners-with-IIT-Indore-to-foster-innovation/" TargetMode="External"/><Relationship Id="rId115" Type="http://schemas.openxmlformats.org/officeDocument/2006/relationships/hyperlink" Target="https://www.sunlife.com/slgs/en/newsroom/press-releases/2026/sun-life-appoints-bianca-ilibasic-as-managing-director-sun-life/" TargetMode="External"/><Relationship Id="rId116" Type="http://schemas.openxmlformats.org/officeDocument/2006/relationships/hyperlink" Target="https://www.sunlife.com/slgs/en/newsroom/press-releases/2026/sun-life-appoints-bianca-ilibasic-as-managing-director-sun-life/" TargetMode="External"/><Relationship Id="rId117" Type="http://schemas.openxmlformats.org/officeDocument/2006/relationships/hyperlink" Target="https://www.sunlife.com/slgs/en/newsroom/press-releases/2026/sun-life-appoints-bianca-ilibasic-as-managing-director-sun-life/" TargetMode="External"/><Relationship Id="rId118" Type="http://schemas.openxmlformats.org/officeDocument/2006/relationships/hyperlink" Target="https://www.sunlife.com/slgs/en/newsroom/press-releases/2026/sun-life-global-solutions-india-at-20/" TargetMode="External"/><Relationship Id="rId119" Type="http://schemas.openxmlformats.org/officeDocument/2006/relationships/hyperlink" Target="https://www.sunlife.com/slgs/en/newsroom/press-releases/2026/sun-life-appoints-bianca-ilibasic-as-managing-director-sun-life/" TargetMode="External"/><Relationship Id="rId120" Type="http://schemas.openxmlformats.org/officeDocument/2006/relationships/hyperlink" Target="https://www.digitalhealthnews.com/ansr-launches-healthcare-gcc-accelerator-platform-to-drive-ai-enabled-enterprise-transformation" TargetMode="External"/><Relationship Id="rId121" Type="http://schemas.openxmlformats.org/officeDocument/2006/relationships/hyperlink" Target="https://ansr.com/?p=67716" TargetMode="External"/><Relationship Id="rId122" Type="http://schemas.openxmlformats.org/officeDocument/2006/relationships/hyperlink" Target="https://www.optum.in/about/news/uma-ratnam-krishnan-top-gcc-leader-2026.html" TargetMode="External"/><Relationship Id="rId123" Type="http://schemas.openxmlformats.org/officeDocument/2006/relationships/hyperlink" Target="https://careers.unitedhealthgroup.com/job/bengaluru/director-ai-ml-engineering-gcc-sales-and-solution/50688/96482817536" TargetMode="External"/><Relationship Id="rId124" Type="http://schemas.openxmlformats.org/officeDocument/2006/relationships/hyperlink" Target="https://www.digitalhealthnews.com/optum-expands-healthcare-gcc-network-with-chennai-office-lease" TargetMode="External"/><Relationship Id="rId125" Type="http://schemas.openxmlformats.org/officeDocument/2006/relationships/hyperlink" Target="https://www.prudentialplc.com/en/newsroom/company-news/2025/prudential-launches-global-services-hub-in-bengaluru-india/" TargetMode="External"/><Relationship Id="rId126" Type="http://schemas.openxmlformats.org/officeDocument/2006/relationships/hyperlink" Target="https://builtinbengaluru.in/job/manager-ethicalhacking-penetration-testing/7540087" TargetMode="External"/><Relationship Id="rId127" Type="http://schemas.openxmlformats.org/officeDocument/2006/relationships/hyperlink" Target="https://builtinbengaluru.in/job/senior-executive-finance-contract/7563619" TargetMode="External"/><Relationship Id="rId128" Type="http://schemas.openxmlformats.org/officeDocument/2006/relationships/hyperlink" Target="https://www.finews.asia/finance/42932-prudential-services-india-bengaluru-technology-data-ai-software-development-automated-testing-cybersecurity" TargetMode="External"/><Relationship Id="rId129" Type="http://schemas.openxmlformats.org/officeDocument/2006/relationships/hyperlink" Target="https://www.prudentialplc.com/en/newsroom/company-news/2026/Prudential-plc-repositions-its-India-operations-through--a-controlling-stake-in-Bharti-Life-Insurance/" TargetMode="External"/><Relationship Id="rId130" Type="http://schemas.openxmlformats.org/officeDocument/2006/relationships/hyperlink" Target="https://finance.yahoo.com/news/principal-financial-ceo-lifts-roe-210429080.html" TargetMode="External"/><Relationship Id="rId131" Type="http://schemas.openxmlformats.org/officeDocument/2006/relationships/hyperlink" Target="https://priglobal.com/india-offices/" TargetMode="External"/><Relationship Id="rId132" Type="http://schemas.openxmlformats.org/officeDocument/2006/relationships/hyperlink" Target="https://in.indeed.com/Principal-Global-Services-jobs" TargetMode="External"/><Relationship Id="rId133" Type="http://schemas.openxmlformats.org/officeDocument/2006/relationships/hyperlink" Target="https://in.indeed.com/Principal-Global-Services-jobs" TargetMode="External"/><Relationship Id="rId134" Type="http://schemas.openxmlformats.org/officeDocument/2006/relationships/hyperlink" Target="https://finance.yahoo.com/news/principal-financial-ceo-lifts-roe-210429080.html" TargetMode="External"/><Relationship Id="rId135" Type="http://schemas.openxmlformats.org/officeDocument/2006/relationships/hyperlink" Target="https://in.indeed.com/Principal-Global-Services-jobs" TargetMode="External"/><Relationship Id="rId136" Type="http://schemas.openxmlformats.org/officeDocument/2006/relationships/hyperlink" Target="https://www.barandbench.com/law-firms/dealstreet/tta-assists-n2g-insurance-on-setting-up-global-capability-center-in-india" TargetMode="External"/><Relationship Id="rId137" Type="http://schemas.openxmlformats.org/officeDocument/2006/relationships/hyperlink" Target="https://tta.in/?p=12496" TargetMode="External"/><Relationship Id="rId138" Type="http://schemas.openxmlformats.org/officeDocument/2006/relationships/hyperlink" Target="https://www.barandbench.com/law-firms/dealstreet/tta-assists-n2g-insurance-on-setting-up-global-capability-center-in-india" TargetMode="External"/><Relationship Id="rId139" Type="http://schemas.openxmlformats.org/officeDocument/2006/relationships/hyperlink" Target="https://www.ergo.com/en/microsite/ergo-technology-services-india/about-ets-india" TargetMode="External"/><Relationship Id="rId140" Type="http://schemas.openxmlformats.org/officeDocument/2006/relationships/hyperlink" Target="https://www.greatplacetowork.in/great/company/ergo-technology-services-limited" TargetMode="External"/><Relationship Id="rId141" Type="http://schemas.openxmlformats.org/officeDocument/2006/relationships/hyperlink" Target="https://www.insurancebusinessmag.com/us/news/breaking-news/ergo-group-creates-a-chief-ai-officer-role-591322.aspx" TargetMode="External"/><Relationship Id="rId142" Type="http://schemas.openxmlformats.org/officeDocument/2006/relationships/hyperlink" Target="https://www.theweek.in/wire-updates/business/2025/09/12/dcm46-the-hartford.html" TargetMode="External"/><Relationship Id="rId143" Type="http://schemas.openxmlformats.org/officeDocument/2006/relationships/hyperlink" Target="https://www.siasat.com/us-insurance-major-the-hartford-opens-global-tech-centre-in-hyderabad-3374371/" TargetMode="External"/><Relationship Id="rId144" Type="http://schemas.openxmlformats.org/officeDocument/2006/relationships/hyperlink" Target="https://hrtoday.in/pritam-banerjee-joins-the-hartford-india-as-senior-director-to-lead-ai-initiatives-across-business-lines/" TargetMode="External"/><Relationship Id="rId145" Type="http://schemas.openxmlformats.org/officeDocument/2006/relationships/hyperlink" Target="https://themachinemaker.com/news/the-hartford-opens-technology-center-in-hyderabad-to-advance-innovation-and-ai-capabilities/" TargetMode="External"/><Relationship Id="rId146" Type="http://schemas.openxmlformats.org/officeDocument/2006/relationships/hyperlink" Target="https://explorer.hub71.com/news/feed/zurich-insurance-launches-global-capability-center-in-hyderabad-to-advance-ai-and-tech-capabilities" TargetMode="External"/><Relationship Id="rId147" Type="http://schemas.openxmlformats.org/officeDocument/2006/relationships/hyperlink" Target="https://reinsurancene.ws/zurich-appoints-amit-kalra-to-lead-new-global-capability-center-in-india/" TargetMode="External"/><Relationship Id="rId148" Type="http://schemas.openxmlformats.org/officeDocument/2006/relationships/hyperlink" Target="https://www.cxodigitalpulse.com/?p=61973" TargetMode="External"/><Relationship Id="rId149" Type="http://schemas.openxmlformats.org/officeDocument/2006/relationships/hyperlink" Target="https://digitalterminal.in/amp/story/tech-companies/zurich-insurance-group-launches-new-hyderabad-gcc-to-boost-ai-growth-appoints-amit-kalra-as-global-head" TargetMode="External"/><Relationship Id="rId150" Type="http://schemas.openxmlformats.org/officeDocument/2006/relationships/hyperlink" Target="https://www.apna.co/job/bengaluru/gen-ai-tech-lead-gr-39784-71565-jr194894-1815241818" TargetMode="External"/><Relationship Id="rId151" Type="http://schemas.openxmlformats.org/officeDocument/2006/relationships/hyperlink" Target="https://www.businessofgcc.com/gcc-data/companies/elevance-health-india" TargetMode="External"/><Relationship Id="rId152" Type="http://schemas.openxmlformats.org/officeDocument/2006/relationships/hyperlink" Target="https://gcc.et-edge.com/2024-hyderabad/?p=11625" TargetMode="External"/><Relationship Id="rId153" Type="http://schemas.openxmlformats.org/officeDocument/2006/relationships/hyperlink" Target="https://www.anthem.com/content/carelon/public-cgs/us/en/home-in/about-us.html" TargetMode="External"/><Relationship Id="rId154" Type="http://schemas.openxmlformats.org/officeDocument/2006/relationships/hyperlink" Target="https://www.intactinsurance.co.uk/india-branch/leadership" TargetMode="External"/><Relationship Id="rId155" Type="http://schemas.openxmlformats.org/officeDocument/2006/relationships/hyperlink" Target="https://hrtoday.in/sameer-madan-joins-intact-india-as-chief-of-finance-technology-and-operations-for-india-gcc/" TargetMode="External"/><Relationship Id="rId156" Type="http://schemas.openxmlformats.org/officeDocument/2006/relationships/hyperlink" Target="https://www.intactinsurance.co.uk/india-branch/leadership" TargetMode="External"/><Relationship Id="rId157" Type="http://schemas.openxmlformats.org/officeDocument/2006/relationships/hyperlink" Target="https://www.theinsurer.com/ti/news/rsa-officially-rebrands-to-intact-insurance-eyes-specialty-lines-growth-2025-10-06" TargetMode="External"/><Relationship Id="rId158" Type="http://schemas.openxmlformats.org/officeDocument/2006/relationships/hyperlink" Target="https://www.uniindia.com/business-economy/business-haryana-pfi-innovation-centre/188639" TargetMode="External"/><Relationship Id="rId159" Type="http://schemas.openxmlformats.org/officeDocument/2006/relationships/hyperlink" Target="https://jobs.weekday.works/wkdyw7sa88" TargetMode="External"/><Relationship Id="rId160" Type="http://schemas.openxmlformats.org/officeDocument/2006/relationships/hyperlink" Target="https://jobs.assurant.com/locations/india/" TargetMode="External"/><Relationship Id="rId161" Type="http://schemas.openxmlformats.org/officeDocument/2006/relationships/hyperlink" Target="https://jobs.weekday.works/data-engineer-at-assurant-4405571676" TargetMode="External"/><Relationship Id="rId162" Type="http://schemas.openxmlformats.org/officeDocument/2006/relationships/hyperlink" Target="https://builtinbengaluru.in/job/associate-technical-scientist/4134740" TargetMode="External"/><Relationship Id="rId163" Type="http://schemas.openxmlformats.org/officeDocument/2006/relationships/hyperlink" Target="https://jobs.assurant.com/locations/india/" TargetMode="External"/><Relationship Id="rId164" Type="http://schemas.openxmlformats.org/officeDocument/2006/relationships/hyperlink" Target="https://jobs.assurant.com/en/india-build-your-future-in-a-technology-forward-workplace/" TargetMode="External"/><Relationship Id="rId165" Type="http://schemas.openxmlformats.org/officeDocument/2006/relationships/hyperlink" Target="https://hrtoday.in/harini-kannan-appointed-as-country-head-india-at-assurant/" TargetMode="External"/><Relationship Id="rId166" Type="http://schemas.openxmlformats.org/officeDocument/2006/relationships/hyperlink" Target="https://www.uniindia.com/nationwide-opens-first-international-campus-in-hyderabad-to-expand-global-operations/business-economy/news/3902972.html" TargetMode="External"/><Relationship Id="rId167" Type="http://schemas.openxmlformats.org/officeDocument/2006/relationships/hyperlink" Target="https://telanganatoday.com/us-insurance-giant-nationwide-opens-global-services-centre-in-hyderabad" TargetMode="External"/><Relationship Id="rId168" Type="http://schemas.openxmlformats.org/officeDocument/2006/relationships/hyperlink" Target="https://www.newsbytesapp.com/news/business/nationwide-opens-1st-international-campus-in-hyderabad-to-speed-innovation/tldr" TargetMode="External"/><Relationship Id="rId169" Type="http://schemas.openxmlformats.org/officeDocument/2006/relationships/hyperlink" Target="https://ssfglobal.in/?p=41673" TargetMode="External"/><Relationship Id="rId170" Type="http://schemas.openxmlformats.org/officeDocument/2006/relationships/hyperlink" Target="https://builtin.com/job/finance-lead/3082704" TargetMode="External"/><Relationship Id="rId171" Type="http://schemas.openxmlformats.org/officeDocument/2006/relationships/hyperlink" Target="https://ssfglobal.in/?p=41624" TargetMode="External"/><Relationship Id="rId172" Type="http://schemas.openxmlformats.org/officeDocument/2006/relationships/hyperlink" Target="https://www.instahyre.com/job-332378-gen-ai-app-developer-at-voya-india-bangalore/" TargetMode="External"/><Relationship Id="rId173" Type="http://schemas.openxmlformats.org/officeDocument/2006/relationships/hyperlink" Target="https://www.greatplacetowork.in/great/company/vfi-slk-global-sevices" TargetMode="External"/><Relationship Id="rId174" Type="http://schemas.openxmlformats.org/officeDocument/2006/relationships/hyperlink" Target="https://accajobs.quintedge.com/jobs/sox-compliance-analyst-voya-india-7qbke6" TargetMode="External"/><Relationship Id="rId175" Type="http://schemas.openxmlformats.org/officeDocument/2006/relationships/hyperlink" Target="https://www.greatplacetowork.in/great/company/vfi-slk-global-sevices" TargetMode="External"/><Relationship Id="rId176" Type="http://schemas.openxmlformats.org/officeDocument/2006/relationships/hyperlink" Target="https://joinsaarthi.com/jobs/voya-financial/senior-associate-36367-bengaluru/5d4252df-6baa-49ac-89c2-13d092fefa5e" TargetMode="External"/><Relationship Id="rId177" Type="http://schemas.openxmlformats.org/officeDocument/2006/relationships/hyperlink" Target="https://accajobs.quintedge.com/jobs/sox-compliance-analyst-voya-india-7qbke6" TargetMode="External"/><Relationship Id="rId178" Type="http://schemas.openxmlformats.org/officeDocument/2006/relationships/hyperlink" Target="https://www.greatplacetowork.in/great/company/fnf-india-private-limited" TargetMode="External"/><Relationship Id="rId179" Type="http://schemas.openxmlformats.org/officeDocument/2006/relationships/hyperlink" Target="https://jobs.weekday.works/walk-ins-at-fnfi-full-search-current-owner-two-owner-searchers-at-fnf-india-private-limited-wkdye0djwi" TargetMode="External"/><Relationship Id="rId180" Type="http://schemas.openxmlformats.org/officeDocument/2006/relationships/hyperlink" Target="https://www.greatplacetowork.in/great/company/fnf-india-private-limited" TargetMode="External"/><Relationship Id="rId181" Type="http://schemas.openxmlformats.org/officeDocument/2006/relationships/hyperlink" Target="https://jobs.weekday.works/title-specialist-at-fnf-india-private-limited-wkdyqgm2s7" TargetMode="External"/><Relationship Id="rId182" Type="http://schemas.openxmlformats.org/officeDocument/2006/relationships/hyperlink" Target="https://www.reinsurancene.ws/alok-shukla-named-ceo-of-xl-insurance-india-reinsurance-branch/" TargetMode="External"/><Relationship Id="rId183" Type="http://schemas.openxmlformats.org/officeDocument/2006/relationships/hyperlink" Target="https://axaxl.com/press-releases/axa-xl-strengthens-team-in-india-with-key-appointments" TargetMode="External"/><Relationship Id="rId184" Type="http://schemas.openxmlformats.org/officeDocument/2006/relationships/hyperlink" Target="https://www.reinsurancene.ws/axa-xl-bolsters-indian-team-with-several-senior-appointments/" TargetMode="External"/><Relationship Id="rId185" Type="http://schemas.openxmlformats.org/officeDocument/2006/relationships/hyperlink" Target="https://jobs.empower.com/india" TargetMode="External"/><Relationship Id="rId186" Type="http://schemas.openxmlformats.org/officeDocument/2006/relationships/hyperlink" Target="https://jobs.empower.com/india" TargetMode="External"/><Relationship Id="rId187" Type="http://schemas.openxmlformats.org/officeDocument/2006/relationships/hyperlink" Target="https://jobs.haceonline.org/job/specialist-processing-participant-transaction/83839144/" TargetMode="External"/><Relationship Id="rId188" Type="http://schemas.openxmlformats.org/officeDocument/2006/relationships/hyperlink" Target="https://www.thecompanycheck.com/company/empower-global-business-services-india-private-limited/U74900KA2014FTC077522" TargetMode="External"/><Relationship Id="rId189" Type="http://schemas.openxmlformats.org/officeDocument/2006/relationships/hyperlink" Target="https://esi.in/finance/insurance/reinsurer-branches/general-reinsurance-ag-india-branch/" TargetMode="External"/><Relationship Id="rId190" Type="http://schemas.openxmlformats.org/officeDocument/2006/relationships/hyperlink" Target="https://www.intelligentinsurer.com/aon-recruits-gen-re-actuary-to-strengthen-new-landh-practice-in-india" TargetMode="External"/><Relationship Id="rId191" Type="http://schemas.openxmlformats.org/officeDocument/2006/relationships/hyperlink" Target="https://www.lloyds.com/insights/news/new-local-partner-in-India" TargetMode="External"/><Relationship Id="rId192" Type="http://schemas.openxmlformats.org/officeDocument/2006/relationships/hyperlink" Target="https://www.insurancebusinessmag.com/asia/news/breaking-news/lloyds-follows-partnerre-into-india-reinsurance-hub-570097.aspx" TargetMode="External"/><Relationship Id="rId193" Type="http://schemas.openxmlformats.org/officeDocument/2006/relationships/hyperlink" Target="https://www.insurancebusinessmag.com/asia/news/breaking-news/polo-backs-first-lloyds-syndicate-in-indias-gift-city-571939.aspx" TargetMode="External"/><Relationship Id="rId194" Type="http://schemas.openxmlformats.org/officeDocument/2006/relationships/hyperlink" Target="https://www.reinsurancene.ws/lloyds-reported-to-have-applied-to-set-up-in-indias-gift-city/" TargetMode="External"/><Relationship Id="rId195" Type="http://schemas.openxmlformats.org/officeDocument/2006/relationships/hyperlink" Target="https://www.reinsurancene.ws/gallagher-creates-india-parametric-pandemic-policy-reinsured-by-munich-re/" TargetMode="External"/><Relationship Id="rId196" Type="http://schemas.openxmlformats.org/officeDocument/2006/relationships/hyperlink" Target="https://www.munichre.com/en/company/media-relations/media-information-and-corporate-news/media-information/2024/media-release-2024-04-18.html" TargetMode="External"/><Relationship Id="rId197" Type="http://schemas.openxmlformats.org/officeDocument/2006/relationships/hyperlink" Target="https://www.intelligentinsurer.com/axa-xl-lands-munich-re-talent-for-new-india-reinsurance-ceo" TargetMode="External"/><Relationship Id="rId198" Type="http://schemas.openxmlformats.org/officeDocument/2006/relationships/hyperlink" Target="https://www.rgare.com/our-company/people/detail/sunil-sharma" TargetMode="External"/><Relationship Id="rId199" Type="http://schemas.openxmlformats.org/officeDocument/2006/relationships/hyperlink" Target="https://www.rgare.com/global-presence/asia-pacific/india" TargetMode="External"/><Relationship Id="rId200" Type="http://schemas.openxmlformats.org/officeDocument/2006/relationships/hyperlink" Target="https://www.scor.com/en/scor-se-india-branch" TargetMode="External"/><Relationship Id="rId201" Type="http://schemas.openxmlformats.org/officeDocument/2006/relationships/hyperlink" Target="https://www.scor.com/sites/default/files/2022-12/NL-42-BOD.pdf" TargetMode="External"/><Relationship Id="rId202" Type="http://schemas.openxmlformats.org/officeDocument/2006/relationships/hyperlink" Target="https://www.business-standard.com/companies/interviews/india-to-soon-have-about-50-of-swiss-re-s-global-tech-talent-amit-kalra-125051100389_1.html" TargetMode="External"/><Relationship Id="rId203" Type="http://schemas.openxmlformats.org/officeDocument/2006/relationships/hyperlink" Target="https://www.swissre.com/careers/india.html" TargetMode="External"/><Relationship Id="rId204" Type="http://schemas.openxmlformats.org/officeDocument/2006/relationships/hyperlink" Target="https://www.swissre.com/careers/indiatech.html" TargetMode="External"/><Relationship Id="rId205" Type="http://schemas.openxmlformats.org/officeDocument/2006/relationships/hyperlink" Target="https://reinasia.com/zurich-taps-amit-kalra-to-lead-new-global-capability-centre-in-india/" TargetMode="External"/><Relationship Id="rId206" Type="http://schemas.openxmlformats.org/officeDocument/2006/relationships/hyperlink" Target="https://careers.swissre.com/job/Bangalore-Accountant-II-KA/1199902701" TargetMode="External"/><Relationship Id="rId207" Type="http://schemas.openxmlformats.org/officeDocument/2006/relationships/hyperlink" Target="https://www.reinsurancene.ws/swiss-re-veteran-amitabha-ray-appointed-as-ceo-of-india-branch/" TargetMode="External"/><Relationship Id="rId208" Type="http://schemas.openxmlformats.org/officeDocument/2006/relationships/hyperlink" Target="https://www.thecompanycheck.com/company/swiss-re-global-business-solutions-india-private-limited/U74140KA2000PTC027640" TargetMode="External"/><Relationship Id="rId209" Type="http://schemas.openxmlformats.org/officeDocument/2006/relationships/hyperlink" Target="https://policyholder.gov.in/en/web/guest/orders1" TargetMode="External"/><Relationship Id="rId210" Type="http://schemas.openxmlformats.org/officeDocument/2006/relationships/hyperlink" Target="https://www.reinsurancene.ws/africa-specialty-risks-appoints-laxmeekant-walikar-as-principal-officer-md-india/" TargetMode="External"/><Relationship Id="rId211" Type="http://schemas.openxmlformats.org/officeDocument/2006/relationships/hyperlink" Target="https://insuranceasianews.com/lloyds-player-volante-global-launches-india-office/" TargetMode="External"/><Relationship Id="rId212" Type="http://schemas.openxmlformats.org/officeDocument/2006/relationships/hyperlink" Target="https://www.reinsurancene.ws/alok-shukla-named-ceo-of-xl-insurance-india-reinsurance-branch/" TargetMode="External"/><Relationship Id="rId213" Type="http://schemas.openxmlformats.org/officeDocument/2006/relationships/hyperlink" Target="https://axaxl.com/press-releases/axa-xl-strengthens-team-in-india-with-key-appointments" TargetMode="External"/><Relationship Id="rId214" Type="http://schemas.openxmlformats.org/officeDocument/2006/relationships/hyperlink" Target="https://axaxl.com/reinsurance/our-companies/xl-insurance-company-se" TargetMode="External"/><Relationship Id="rId215" Type="http://schemas.openxmlformats.org/officeDocument/2006/relationships/hyperlink" Target="https://careers.wtwco.com/blogs/our-stories/wtw-india-gdc-awards-2025" TargetMode="External"/><Relationship Id="rId216" Type="http://schemas.openxmlformats.org/officeDocument/2006/relationships/hyperlink" Target="https://tracxn.com/d/legal-entities/india/wtw-global-delivery-and-solutions-india-private-limited/__c4hDJphJM88IL8sC-3ZHwyi1mCcbWCzqt21Akt8zuOE" TargetMode="External"/><Relationship Id="rId217" Type="http://schemas.openxmlformats.org/officeDocument/2006/relationships/hyperlink" Target="https://careers.wtwco.com/jobs/business-analyst-mumbai-maharashtra-india-thane" TargetMode="External"/><Relationship Id="rId218" Type="http://schemas.openxmlformats.org/officeDocument/2006/relationships/hyperlink" Target="https://www.wtwco.com/en-in/news/2025/07/willis-is-named-best-broker-in-india-indonesia-the-philippines-singapore-and-vietnam-at-the-2025" TargetMode="External"/><Relationship Id="rId219" Type="http://schemas.openxmlformats.org/officeDocument/2006/relationships/hyperlink" Target="https://www.insurancebusinessmag.com/asia/news/travel/wtws-willis-taps-new-head-for-india-aviation-insurance-532935.aspx" TargetMode="External"/><Relationship Id="rId220" Type="http://schemas.openxmlformats.org/officeDocument/2006/relationships/hyperlink" Target="https://www.wtwco.com/en-in/insights/2024/11/wtw-named-as-broker-of-the-year-in-asia" TargetMode="External"/><Relationship Id="rId221" Type="http://schemas.openxmlformats.org/officeDocument/2006/relationships/hyperlink" Target="https://careers.wtwco.com/zh/jobs/senior-soc-sme-system-and-organization-controls-mumbai-maharashtra-india" TargetMode="External"/><Relationship Id="rId222" Type="http://schemas.openxmlformats.org/officeDocument/2006/relationships/hyperlink" Target="https://www.insurancebusinessmag.com/reinsurance/news/breaking-news/lockton-taps-aons-renuka-nar-to-lead-life-and-health-reinsurance-in-india-566052.aspx" TargetMode="External"/><Relationship Id="rId223" Type="http://schemas.openxmlformats.org/officeDocument/2006/relationships/hyperlink" Target="https://global.lockton.com/in/en/news-insights/lockton-indias-strategic-growth-navigating-insurance-markets-and-expanding" TargetMode="External"/><Relationship Id="rId224" Type="http://schemas.openxmlformats.org/officeDocument/2006/relationships/hyperlink" Target="https://global.lockton.com/in/en/news-insights/lockton-india-strengthens-customer-confidence-in-ev-ownership-through-jsw-mg" TargetMode="External"/><Relationship Id="rId225" Type="http://schemas.openxmlformats.org/officeDocument/2006/relationships/hyperlink" Target="https://global.lockton.com/apac/en/news-insights/lockton-recognized-for-brokerage-and-claims-excellence-across-asia" TargetMode="External"/><Relationship Id="rId226" Type="http://schemas.openxmlformats.org/officeDocument/2006/relationships/hyperlink" Target="https://www.hrkatha.com/people/movement/sudip-indani-joins-lockton-as-md-people-solutions/" TargetMode="External"/><Relationship Id="rId227" Type="http://schemas.openxmlformats.org/officeDocument/2006/relationships/hyperlink" Target="https://www.reinsurancene.ws/bms-establishes-global-capability-centre-in-mumbai-led-by-nipun-mapara/" TargetMode="External"/><Relationship Id="rId228" Type="http://schemas.openxmlformats.org/officeDocument/2006/relationships/hyperlink" Target="https://www.insurancebusinessmag.com/reinsurance/news/breaking-news/bms-expands-ai-and-analytics-footprint-in-india-580123.aspx" TargetMode="External"/><Relationship Id="rId229" Type="http://schemas.openxmlformats.org/officeDocument/2006/relationships/hyperlink" Target="https://www.bmsgroup.com/en/news/bms-opens-global-capability-centre-in-mumbai" TargetMode="External"/><Relationship Id="rId230" Type="http://schemas.openxmlformats.org/officeDocument/2006/relationships/hyperlink" Target="https://asiainsurancepost.com/archives/81504" TargetMode="External"/><Relationship Id="rId231" Type="http://schemas.openxmlformats.org/officeDocument/2006/relationships/hyperlink" Target="https://insurance-edge.net/2026/06/23/bms-opens-global-capability-centre-in-mumbai/" TargetMode="External"/><Relationship Id="rId232" Type="http://schemas.openxmlformats.org/officeDocument/2006/relationships/hyperlink" Target="https://www.bmsgroup.com/en/news/bms-opens-global-capability-centre-in-mumbai" TargetMode="External"/><Relationship Id="rId233" Type="http://schemas.openxmlformats.org/officeDocument/2006/relationships/hyperlink" Target="https://www.allianz.com/en/mediacenter/news/media-releases/financials/260326-allianz-jio-reinsurance-limited-commences-operations.html" TargetMode="External"/><Relationship Id="rId234" Type="http://schemas.openxmlformats.org/officeDocument/2006/relationships/hyperlink" Target="https://www.allianz.com/en/mediacenter/news/media-releases/financials/260326-allianz-jio-reinsurance-limited-commences-operations.html" TargetMode="External"/><Relationship Id="rId235" Type="http://schemas.openxmlformats.org/officeDocument/2006/relationships/hyperlink" Target="https://www.insurancebusinessmag.com/reinsurance/news/breaking-news/allianz-jio-re-starts-operations-in-india-reinsurance-sector-570048.aspx" TargetMode="External"/><Relationship Id="rId236" Type="http://schemas.openxmlformats.org/officeDocument/2006/relationships/hyperlink" Target="https://reinasia.com/allianz-jio-re-receives-approval-to-begin-reinsurance-operations-in-india-names-sonia-rawal-as-ceo/" TargetMode="External"/><Relationship Id="rId237" Type="http://schemas.openxmlformats.org/officeDocument/2006/relationships/hyperlink" Target="https://www.reinsurancene.ws/korean-re-approved-to-establish-branch-in-indias-gift-city" TargetMode="External"/><Relationship Id="rId238" Type="http://schemas.openxmlformats.org/officeDocument/2006/relationships/hyperlink" Target="https://eng.koreanre.co.kr/webzine/Bulletin_198/bull3.html" TargetMode="External"/><Relationship Id="rId239" Type="http://schemas.openxmlformats.org/officeDocument/2006/relationships/hyperlink" Target="https://reinasia.com/mapfre-re-adds-treaty-underwriting-and-finance-hires-in-india/" TargetMode="External"/><Relationship Id="rId240" Type="http://schemas.openxmlformats.org/officeDocument/2006/relationships/hyperlink" Target="https://www.mapfre.com/en/communicate/corporate-communicate/mapfre-re-approval-opening-branch-office-india/" TargetMode="External"/><Relationship Id="rId241" Type="http://schemas.openxmlformats.org/officeDocument/2006/relationships/hyperlink" Target="https://www.mapfre.com/en/communicate/corporate-communicate/mapfre-re-appointment-head-india-branch/" TargetMode="External"/><Relationship Id="rId242" Type="http://schemas.openxmlformats.org/officeDocument/2006/relationships/hyperlink" Target="https://reinasia.com/mapfre-re-adds-treaty-underwriting-and-finance-hires-in-india/" TargetMode="External"/><Relationship Id="rId243" Type="http://schemas.openxmlformats.org/officeDocument/2006/relationships/hyperlink" Target="https://www.everestglobal.com/bm-en/news-media/press-releases/2025/everest-reinsurance-expands-apac-footprint-with-new-office-in-indias-gift-city" TargetMode="External"/><Relationship Id="rId244" Type="http://schemas.openxmlformats.org/officeDocument/2006/relationships/hyperlink" Target="https://www.scconline.com/blog/post/2025/10/28/cam-advises-everest-reinsurance-ifsc-insurance-office-gift-city/" TargetMode="External"/><Relationship Id="rId245" Type="http://schemas.openxmlformats.org/officeDocument/2006/relationships/hyperlink" Target="https://reinasia.com/berkley-officially-begins-india-operations-becomes-first-pc-insurer-in-gift-city-with-dual-licences/" TargetMode="External"/><Relationship Id="rId246" Type="http://schemas.openxmlformats.org/officeDocument/2006/relationships/hyperlink" Target="https://www.businesswire.com/news/home/20241219735973/en/W.-R.-Berkley-Corporation-Establishes-Branch-Office-of-Berkley-Insurance-Company-in-India" TargetMode="External"/><Relationship Id="rId247" Type="http://schemas.openxmlformats.org/officeDocument/2006/relationships/hyperlink" Target="https://www.insurancebusinessmag.com/asia/news/breaking-news/berkley-gift-city-branch-first-pandc-with-dual-licences-559861.aspx" TargetMode="External"/><Relationship Id="rId248" Type="http://schemas.openxmlformats.org/officeDocument/2006/relationships/hyperlink" Target="https://www.partnerre.com/news/partnerre-to-establish-a-branch-in-indias-gift-city-gujarat-international-finance-tec-city/" TargetMode="External"/><Relationship Id="rId249" Type="http://schemas.openxmlformats.org/officeDocument/2006/relationships/hyperlink" Target="https://www.reinsurancene.ws/partnerre-names-ankur-gupta-as-ceo-india/" TargetMode="External"/><Relationship Id="rId250" Type="http://schemas.openxmlformats.org/officeDocument/2006/relationships/hyperlink" Target="https://www.businesswire.com/news/home/20260608431690/en" TargetMode="External"/><Relationship Id="rId251" Type="http://schemas.openxmlformats.org/officeDocument/2006/relationships/hyperlink" Target="https://www.reinsurancene.ws/igi-to-open-a-new-branch-in-indias-gift-city-as-it-secures-license/" TargetMode="External"/><Relationship Id="rId252" Type="http://schemas.openxmlformats.org/officeDocument/2006/relationships/hyperlink" Target="https://www.reinsurancene.ws/santam-becomes-first-brics-based-insurer-to-set-up-presence-in-india-gift-city/" TargetMode="External"/><Relationship Id="rId253" Type="http://schemas.openxmlformats.org/officeDocument/2006/relationships/hyperlink" Target="https://www.moonstone.co.za/santam-authorised-to-establish-ifsc-reinsurance-office-in-india/" TargetMode="External"/><Relationship Id="rId254" Type="http://schemas.openxmlformats.org/officeDocument/2006/relationships/hyperlink" Target="https://www.insurancebusinessmag.com/reinsurance/news/breaking-news/echo-re-opens-first-branch-outside-zurich-in-indias-gift-city-568642.aspx" TargetMode="External"/><Relationship Id="rId255" Type="http://schemas.openxmlformats.org/officeDocument/2006/relationships/hyperlink" Target="https://reinasia.com/rajil-khare-joins-echo-re-as-senior-underwriter-indian-subcontinent/" TargetMode="External"/><Relationship Id="rId256" Type="http://schemas.openxmlformats.org/officeDocument/2006/relationships/hyperlink" Target="https://www.reinsurancene.ws/ankur-sharma-named-principal-officer-of-echo-res-india-branch/" TargetMode="External"/><Relationship Id="rId257" Type="http://schemas.openxmlformats.org/officeDocument/2006/relationships/hyperlink" Target="https://www.saudiexchange.sa/wps/portal/saudiexchange/newsandreports/issuer-news/issuer-announcements/issuer-announcements-details/?anId=92665" TargetMode="External"/><Relationship Id="rId258" Type="http://schemas.openxmlformats.org/officeDocument/2006/relationships/hyperlink" Target="https://www.insurancebusinessmag.com/reinsurance/news/breaking-news/indias-gift-city-scores-another-reinsurance-heavyweight-with-saudi-re-branch-launch-563231.aspx" TargetMode="External"/><Relationship Id="rId259" Type="http://schemas.openxmlformats.org/officeDocument/2006/relationships/hyperlink" Target="https://www.reinsurancene.ws/ruchi-jain-named-principal-officer-of-saudi-res-iio-gift-city-india-branch/" TargetMode="External"/><Relationship Id="rId260" Type="http://schemas.openxmlformats.org/officeDocument/2006/relationships/hyperlink" Target="https://qna.org.qa/en/News-Area/News/2026-8/26/qatar-islamic-insurance-group-obtains-license-to-open-branch-in-india" TargetMode="External"/><Relationship Id="rId261" Type="http://schemas.openxmlformats.org/officeDocument/2006/relationships/hyperlink" Target="https://www.reinsurancene.ws/qatar-islamic-insurance-to-establish-its-reinsurance-branch-in-indias-gift-city/" TargetMode="External"/><Relationship Id="rId262" Type="http://schemas.openxmlformats.org/officeDocument/2006/relationships/hyperlink" Target="https://www.wam.ae/en/article/bygeu7d-adnic-open-new-branch-india" TargetMode="External"/><Relationship Id="rId263" Type="http://schemas.openxmlformats.org/officeDocument/2006/relationships/hyperlink" Target="https://meinsurancereview.com/News/ViewNewsLetterArticle/id/95245/type/MiddleEast/UAE-ADNIC-receives-licence-for-branch-in-India-s-GIFT-City" TargetMode="External"/><Relationship Id="rId264" Type="http://schemas.openxmlformats.org/officeDocument/2006/relationships/hyperlink" Target="https://www.reinsurancene.ws/ms-first-capital-begins-reinsurance-operations-from-indias-gift-city/" TargetMode="External"/><Relationship Id="rId265" Type="http://schemas.openxmlformats.org/officeDocument/2006/relationships/hyperlink" Target="https://www.reinsurancene.ws/ms-first-capital-begins-reinsurance-operations-from-indias-gift-city/" TargetMode="External"/><Relationship Id="rId266" Type="http://schemas.openxmlformats.org/officeDocument/2006/relationships/hyperlink" Target="https://reinasia.com/ms-first-capital-kicks-off-reinsurance-operations-from-gift-city/" TargetMode="External"/><Relationship Id="rId267" Type="http://schemas.openxmlformats.org/officeDocument/2006/relationships/hyperlink" Target="https://inc42.com/buzz/inrisk-labs-raises-27-mn-to-scale-ai-led-reinsurance-platform-earthre/" TargetMode="External"/><Relationship Id="rId268" Type="http://schemas.openxmlformats.org/officeDocument/2006/relationships/hyperlink" Target="https://www.dealstreetasia.com/stories/bessemer-northpoint-inrisk-labs-491236" TargetMode="External"/><Relationship Id="rId269" Type="http://schemas.openxmlformats.org/officeDocument/2006/relationships/hyperlink" Target="https://yourstory.com/2026/08/insurtech-startup-inrisk-labs-raises-27-million-in-series-a" TargetMode="External"/><Relationship Id="rId270" Type="http://schemas.openxmlformats.org/officeDocument/2006/relationships/hyperlink" Target="https://www.reinsurancene.ws/earthre-gets-reinsurance-licence-for-gift-city-as-parent-inrisk-labs-closes-series-a/" TargetMode="External"/><Relationship Id="rId271" Type="http://schemas.openxmlformats.org/officeDocument/2006/relationships/hyperlink" Target="https://inc42.com/buzz/inrisk-labs-raises-27-mn-to-scale-ai-led-reinsurance-platform-earthre/" TargetMode="External"/><Relationship Id="rId272" Type="http://schemas.openxmlformats.org/officeDocument/2006/relationships/hyperlink" Target="https://www.allianz-partners.com/en_IN/in-the-news/press-releases/Allianz-Partners-becomes-the-First-Foreign-Reinsurer-to-launch-operations-in-GIFT-City.html" TargetMode="External"/><Relationship Id="rId273" Type="http://schemas.openxmlformats.org/officeDocument/2006/relationships/hyperlink" Target="https://www.insurancebusinessmag.com/reinsurance/news/breaking-news/allianz-partners-marks-reinsurance-milestone-in-india-484363.aspx" TargetMode="External"/><Relationship Id="rId274" Type="http://schemas.openxmlformats.org/officeDocument/2006/relationships/hyperlink" Target="https://www.insurancebusinessmag.com/reinsurance/news/breaking-news/sing-re-receives-ifsca-approval-to-open-branch-in-gift-city-540076.aspx" TargetMode="External"/><Relationship Id="rId275" Type="http://schemas.openxmlformats.org/officeDocument/2006/relationships/hyperlink" Target="https://www.reinsurancene.ws/singapore-re-secures-reinsurance-branch-license-to-operate-as-iio-in-indias-gift-city/" TargetMode="External"/><Relationship Id="rId276" Type="http://schemas.openxmlformats.org/officeDocument/2006/relationships/hyperlink" Target="https://peak-re.com/en/company/press/peak-re-secures-licence-to-operate-in-gift-ifsc-india/" TargetMode="External"/><Relationship Id="rId277" Type="http://schemas.openxmlformats.org/officeDocument/2006/relationships/hyperlink" Target="https://www.reinsurancene.ws/peak-re-granted-licence-to-operate-in-gift-ifsc-india/" TargetMode="External"/><Relationship Id="rId278" Type="http://schemas.openxmlformats.org/officeDocument/2006/relationships/hyperlink" Target="https://www.theinsurer.com/ti/viewpoint/peak-re-dedicated-to-growing-the-indian-market-2025-09-09" TargetMode="External"/><Relationship Id="rId279" Type="http://schemas.openxmlformats.org/officeDocument/2006/relationships/hyperlink" Target="https://thegroup.com.qa/groupdownload/newsreport//NEWS202412250856025968.html" TargetMode="External"/><Relationship Id="rId280" Type="http://schemas.openxmlformats.org/officeDocument/2006/relationships/hyperlink" Target="https://atlas-mag.net/en/articles/doha-insurance-group-expands-reinsurance-operations-india" TargetMode="External"/><Relationship Id="rId281" Type="http://schemas.openxmlformats.org/officeDocument/2006/relationships/hyperlink" Target="https://www.businessinsurance.com/doha-insurance-expands-reinsurance-operation-to-india/" TargetMode="External"/><Relationship Id="rId282" Type="http://schemas.openxmlformats.org/officeDocument/2006/relationships/drawing" Target="../drawings/drawing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pane xSplit="0" ySplit="1" topLeftCell="A3" activePane="bottomLeft" state="frozen"/>
      <selection pane="topLeft" activeCell="A2" activeCellId="0" sqref="A2"/>
      <selection pane="bottomLeft" activeCell="A4" activeCellId="0" sqref="A4"/>
    </sheetView>
  </sheetViews>
  <sheetFormatPr defaultColWidth="8.8203125" defaultRowHeight="12" zeroHeight="false" outlineLevelRow="0" outlineLevelCol="0"/>
  <cols>
    <col collapsed="false" customWidth="true" hidden="false" outlineLevel="0" max="1" min="1" style="1" width="7.18"/>
    <col collapsed="false" customWidth="true" hidden="false" outlineLevel="0" max="2" min="2" style="2" width="83.18"/>
    <col collapsed="false" customWidth="true" hidden="false" outlineLevel="0" max="3" min="3" style="2" width="21.45"/>
    <col collapsed="false" customWidth="true" hidden="false" outlineLevel="0" max="4" min="4" style="2" width="19.54"/>
    <col collapsed="false" customWidth="true" hidden="false" outlineLevel="0" max="5" min="5" style="2" width="40.18"/>
    <col collapsed="false" customWidth="false" hidden="false" outlineLevel="0" max="6" min="6" style="2" width="8.82"/>
    <col collapsed="false" customWidth="true" hidden="false" outlineLevel="0" max="7" min="7" style="2" width="20.18"/>
    <col collapsed="false" customWidth="true" hidden="true" outlineLevel="0" max="8" min="8" style="2" width="9.01"/>
    <col collapsed="false" customWidth="false" hidden="false" outlineLevel="0" max="16384" min="9" style="2" width="8.82"/>
  </cols>
  <sheetData>
    <row r="1" customFormat="false" ht="13.5" hidden="false" customHeight="true" outlineLevel="0" collapsed="false">
      <c r="A1" s="3" t="s">
        <v>0</v>
      </c>
      <c r="C1" s="2" t="s">
        <v>1</v>
      </c>
    </row>
    <row r="2" s="6" customFormat="true" ht="24.75" hidden="false" customHeight="true" outlineLevel="0" collapsed="false">
      <c r="A2" s="3" t="s">
        <v>2</v>
      </c>
      <c r="B2" s="4" t="s">
        <v>3</v>
      </c>
      <c r="C2" s="5" t="s">
        <v>4</v>
      </c>
    </row>
    <row r="3" customFormat="false" ht="12" hidden="false" customHeight="true" outlineLevel="0" collapsed="false">
      <c r="C3" s="2" t="s">
        <v>5</v>
      </c>
    </row>
    <row r="4" customFormat="false" ht="13.5" hidden="false" customHeight="true" outlineLevel="0" collapsed="false">
      <c r="A4" s="7" t="s">
        <v>6</v>
      </c>
      <c r="B4" s="8" t="s">
        <v>7</v>
      </c>
      <c r="C4" s="8" t="s">
        <v>8</v>
      </c>
      <c r="D4" s="8" t="s">
        <v>9</v>
      </c>
      <c r="E4" s="8" t="s">
        <v>10</v>
      </c>
      <c r="F4" s="8" t="s">
        <v>11</v>
      </c>
      <c r="G4" s="8" t="s">
        <v>12</v>
      </c>
      <c r="H4" s="8" t="s">
        <v>13</v>
      </c>
    </row>
    <row r="5" customFormat="false" ht="12" hidden="false" customHeight="true" outlineLevel="0" collapsed="false">
      <c r="A5" s="9" t="n">
        <v>1</v>
      </c>
      <c r="B5" s="10" t="s">
        <v>14</v>
      </c>
      <c r="C5" s="10" t="s">
        <v>15</v>
      </c>
      <c r="D5" s="11" t="s">
        <v>16</v>
      </c>
      <c r="E5" s="11" t="s">
        <v>17</v>
      </c>
      <c r="F5" s="9" t="s">
        <v>17</v>
      </c>
      <c r="G5" s="12" t="n">
        <v>488848.92</v>
      </c>
      <c r="H5" s="11" t="n">
        <v>1</v>
      </c>
    </row>
    <row r="6" customFormat="false" ht="12" hidden="false" customHeight="true" outlineLevel="0" collapsed="false">
      <c r="A6" s="9" t="n">
        <v>2</v>
      </c>
      <c r="B6" s="11" t="s">
        <v>18</v>
      </c>
      <c r="C6" s="11" t="s">
        <v>15</v>
      </c>
      <c r="D6" s="11" t="s">
        <v>16</v>
      </c>
      <c r="E6" s="11" t="s">
        <v>17</v>
      </c>
      <c r="F6" s="9" t="s">
        <v>17</v>
      </c>
      <c r="G6" s="12" t="n">
        <v>84984.63</v>
      </c>
      <c r="H6" s="11" t="n">
        <v>2</v>
      </c>
    </row>
    <row r="7" customFormat="false" ht="12" hidden="false" customHeight="true" outlineLevel="0" collapsed="false">
      <c r="A7" s="9" t="n">
        <v>3</v>
      </c>
      <c r="B7" s="11" t="s">
        <v>19</v>
      </c>
      <c r="C7" s="11" t="s">
        <v>15</v>
      </c>
      <c r="D7" s="11" t="s">
        <v>16</v>
      </c>
      <c r="E7" s="11" t="s">
        <v>17</v>
      </c>
      <c r="F7" s="9" t="s">
        <v>17</v>
      </c>
      <c r="G7" s="12" t="n">
        <v>71044.91</v>
      </c>
      <c r="H7" s="11" t="n">
        <v>3</v>
      </c>
    </row>
    <row r="8" customFormat="false" ht="12" hidden="false" customHeight="true" outlineLevel="0" collapsed="false">
      <c r="A8" s="9" t="n">
        <v>4</v>
      </c>
      <c r="B8" s="11" t="s">
        <v>20</v>
      </c>
      <c r="C8" s="11" t="s">
        <v>15</v>
      </c>
      <c r="D8" s="11" t="s">
        <v>16</v>
      </c>
      <c r="E8" s="11" t="s">
        <v>21</v>
      </c>
      <c r="F8" s="13" t="n">
        <v>0.22</v>
      </c>
      <c r="G8" s="12" t="n">
        <v>48950.71</v>
      </c>
      <c r="H8" s="11" t="n">
        <v>4</v>
      </c>
    </row>
    <row r="9" customFormat="false" ht="12" hidden="false" customHeight="true" outlineLevel="0" collapsed="false">
      <c r="A9" s="9" t="n">
        <v>5</v>
      </c>
      <c r="B9" s="11" t="s">
        <v>22</v>
      </c>
      <c r="C9" s="11" t="s">
        <v>15</v>
      </c>
      <c r="D9" s="11" t="s">
        <v>23</v>
      </c>
      <c r="E9" s="11" t="s">
        <v>17</v>
      </c>
      <c r="F9" s="9" t="s">
        <v>17</v>
      </c>
      <c r="G9" s="12" t="n">
        <v>33223</v>
      </c>
      <c r="H9" s="11" t="n">
        <v>5</v>
      </c>
    </row>
    <row r="10" customFormat="false" ht="12" hidden="false" customHeight="true" outlineLevel="0" collapsed="false">
      <c r="A10" s="9" t="n">
        <v>6</v>
      </c>
      <c r="B10" s="11" t="s">
        <v>24</v>
      </c>
      <c r="C10" s="11" t="s">
        <v>15</v>
      </c>
      <c r="D10" s="11" t="s">
        <v>16</v>
      </c>
      <c r="E10" s="11" t="s">
        <v>25</v>
      </c>
      <c r="F10" s="13" t="n">
        <v>0.49</v>
      </c>
      <c r="G10" s="12" t="n">
        <v>31483.6</v>
      </c>
      <c r="H10" s="11" t="n">
        <v>6</v>
      </c>
    </row>
    <row r="11" customFormat="false" ht="12" hidden="false" customHeight="true" outlineLevel="0" collapsed="false">
      <c r="A11" s="9" t="n">
        <v>7</v>
      </c>
      <c r="B11" s="11" t="s">
        <v>26</v>
      </c>
      <c r="C11" s="11" t="s">
        <v>15</v>
      </c>
      <c r="D11" s="11" t="s">
        <v>27</v>
      </c>
      <c r="E11" s="11" t="s">
        <v>28</v>
      </c>
      <c r="F11" s="13" t="n">
        <v>0.26</v>
      </c>
      <c r="G11" s="12" t="n">
        <v>27160.06</v>
      </c>
      <c r="H11" s="11" t="n">
        <v>7</v>
      </c>
    </row>
    <row r="12" customFormat="false" ht="12" hidden="false" customHeight="true" outlineLevel="0" collapsed="false">
      <c r="A12" s="9" t="n">
        <v>8</v>
      </c>
      <c r="B12" s="11" t="s">
        <v>29</v>
      </c>
      <c r="C12" s="11" t="s">
        <v>15</v>
      </c>
      <c r="D12" s="11" t="s">
        <v>16</v>
      </c>
      <c r="E12" s="11" t="s">
        <v>30</v>
      </c>
      <c r="F12" s="13" t="n">
        <v>0.49</v>
      </c>
      <c r="G12" s="12" t="n">
        <v>20638.77</v>
      </c>
      <c r="H12" s="11" t="n">
        <v>8</v>
      </c>
    </row>
    <row r="13" customFormat="false" ht="12" hidden="false" customHeight="true" outlineLevel="0" collapsed="false">
      <c r="A13" s="9" t="n">
        <v>9</v>
      </c>
      <c r="B13" s="11" t="s">
        <v>31</v>
      </c>
      <c r="C13" s="11" t="s">
        <v>15</v>
      </c>
      <c r="D13" s="11" t="s">
        <v>16</v>
      </c>
      <c r="E13" s="11" t="s">
        <v>17</v>
      </c>
      <c r="F13" s="9" t="s">
        <v>17</v>
      </c>
      <c r="G13" s="12" t="n">
        <v>18375.67</v>
      </c>
      <c r="H13" s="11" t="n">
        <v>9</v>
      </c>
    </row>
    <row r="14" customFormat="false" ht="12" hidden="false" customHeight="true" outlineLevel="0" collapsed="false">
      <c r="A14" s="9" t="n">
        <v>10</v>
      </c>
      <c r="B14" s="11" t="s">
        <v>32</v>
      </c>
      <c r="C14" s="11" t="s">
        <v>15</v>
      </c>
      <c r="D14" s="11" t="s">
        <v>33</v>
      </c>
      <c r="E14" s="11" t="s">
        <v>34</v>
      </c>
      <c r="F14" s="13" t="n">
        <v>0.5</v>
      </c>
      <c r="G14" s="12" t="n">
        <v>11752.39</v>
      </c>
      <c r="H14" s="11" t="n">
        <v>10</v>
      </c>
    </row>
    <row r="15" customFormat="false" ht="12" hidden="false" customHeight="true" outlineLevel="0" collapsed="false">
      <c r="A15" s="9" t="n">
        <v>11</v>
      </c>
      <c r="B15" s="11" t="s">
        <v>35</v>
      </c>
      <c r="C15" s="11" t="s">
        <v>15</v>
      </c>
      <c r="D15" s="11" t="s">
        <v>16</v>
      </c>
      <c r="E15" s="11" t="s">
        <v>36</v>
      </c>
      <c r="F15" s="13" t="n">
        <v>0.47</v>
      </c>
      <c r="G15" s="12" t="n">
        <v>8260.38</v>
      </c>
      <c r="H15" s="11" t="n">
        <v>11</v>
      </c>
    </row>
    <row r="16" customFormat="false" ht="12" hidden="false" customHeight="true" outlineLevel="0" collapsed="false">
      <c r="A16" s="9" t="n">
        <v>12</v>
      </c>
      <c r="B16" s="11" t="s">
        <v>37</v>
      </c>
      <c r="C16" s="11" t="s">
        <v>15</v>
      </c>
      <c r="D16" s="11" t="s">
        <v>38</v>
      </c>
      <c r="E16" s="11" t="s">
        <v>39</v>
      </c>
      <c r="F16" s="13" t="n">
        <v>0.26</v>
      </c>
      <c r="G16" s="12" t="n">
        <v>8027.46</v>
      </c>
      <c r="H16" s="11" t="n">
        <v>12</v>
      </c>
    </row>
    <row r="17" customFormat="false" ht="12" hidden="false" customHeight="true" outlineLevel="0" collapsed="false">
      <c r="A17" s="9" t="n">
        <v>13</v>
      </c>
      <c r="B17" s="11" t="s">
        <v>40</v>
      </c>
      <c r="C17" s="11" t="s">
        <v>15</v>
      </c>
      <c r="D17" s="11" t="s">
        <v>16</v>
      </c>
      <c r="E17" s="11" t="s">
        <v>41</v>
      </c>
      <c r="F17" s="13" t="n">
        <v>0.26</v>
      </c>
      <c r="G17" s="12" t="n">
        <v>7218.1</v>
      </c>
      <c r="H17" s="11" t="n">
        <v>13</v>
      </c>
    </row>
    <row r="18" customFormat="false" ht="12" hidden="false" customHeight="true" outlineLevel="0" collapsed="false">
      <c r="A18" s="9" t="n">
        <v>14</v>
      </c>
      <c r="B18" s="11" t="s">
        <v>42</v>
      </c>
      <c r="C18" s="11" t="s">
        <v>15</v>
      </c>
      <c r="D18" s="11" t="s">
        <v>16</v>
      </c>
      <c r="E18" s="11" t="s">
        <v>43</v>
      </c>
      <c r="F18" s="13" t="n">
        <v>0.49</v>
      </c>
      <c r="G18" s="12" t="n">
        <v>5710.68</v>
      </c>
      <c r="H18" s="11" t="n">
        <v>14</v>
      </c>
    </row>
    <row r="19" customFormat="false" ht="12" hidden="false" customHeight="true" outlineLevel="0" collapsed="false">
      <c r="A19" s="9" t="n">
        <v>15</v>
      </c>
      <c r="B19" s="11" t="s">
        <v>44</v>
      </c>
      <c r="C19" s="11" t="s">
        <v>15</v>
      </c>
      <c r="D19" s="11" t="s">
        <v>45</v>
      </c>
      <c r="E19" s="11" t="s">
        <v>46</v>
      </c>
      <c r="F19" s="13" t="n">
        <v>0.23</v>
      </c>
      <c r="G19" s="12" t="n">
        <v>4216.42</v>
      </c>
      <c r="H19" s="11" t="n">
        <v>15</v>
      </c>
    </row>
    <row r="20" customFormat="false" ht="12" hidden="false" customHeight="true" outlineLevel="0" collapsed="false">
      <c r="A20" s="9" t="n">
        <v>16</v>
      </c>
      <c r="B20" s="11" t="s">
        <v>47</v>
      </c>
      <c r="C20" s="11" t="s">
        <v>15</v>
      </c>
      <c r="D20" s="11" t="s">
        <v>16</v>
      </c>
      <c r="E20" s="11" t="s">
        <v>48</v>
      </c>
      <c r="F20" s="13" t="n">
        <v>0.49</v>
      </c>
      <c r="G20" s="12" t="n">
        <v>3072.74</v>
      </c>
      <c r="H20" s="11" t="n">
        <v>16</v>
      </c>
    </row>
    <row r="21" customFormat="false" ht="12" hidden="false" customHeight="true" outlineLevel="0" collapsed="false">
      <c r="A21" s="9" t="n">
        <v>17</v>
      </c>
      <c r="B21" s="11" t="s">
        <v>49</v>
      </c>
      <c r="C21" s="11" t="s">
        <v>15</v>
      </c>
      <c r="D21" s="11" t="s">
        <v>16</v>
      </c>
      <c r="E21" s="11" t="s">
        <v>17</v>
      </c>
      <c r="F21" s="9" t="s">
        <v>17</v>
      </c>
      <c r="G21" s="12" t="n">
        <v>2979.95</v>
      </c>
      <c r="H21" s="11" t="n">
        <v>17</v>
      </c>
    </row>
    <row r="22" customFormat="false" ht="12" hidden="false" customHeight="true" outlineLevel="0" collapsed="false">
      <c r="A22" s="9" t="n">
        <v>18</v>
      </c>
      <c r="B22" s="11" t="s">
        <v>50</v>
      </c>
      <c r="C22" s="11" t="s">
        <v>15</v>
      </c>
      <c r="D22" s="11" t="s">
        <v>16</v>
      </c>
      <c r="E22" s="11" t="s">
        <v>51</v>
      </c>
      <c r="F22" s="13" t="n">
        <v>0.74</v>
      </c>
      <c r="G22" s="12" t="n">
        <v>2510.85</v>
      </c>
      <c r="H22" s="11" t="n">
        <v>18</v>
      </c>
    </row>
    <row r="23" customFormat="false" ht="12" hidden="false" customHeight="true" outlineLevel="0" collapsed="false">
      <c r="A23" s="9" t="n">
        <v>19</v>
      </c>
      <c r="B23" s="11" t="s">
        <v>52</v>
      </c>
      <c r="C23" s="11" t="s">
        <v>15</v>
      </c>
      <c r="D23" s="11" t="s">
        <v>16</v>
      </c>
      <c r="E23" s="11" t="s">
        <v>53</v>
      </c>
      <c r="F23" s="13" t="n">
        <v>0.2</v>
      </c>
      <c r="G23" s="12" t="n">
        <v>2092.99</v>
      </c>
      <c r="H23" s="11" t="n">
        <v>19</v>
      </c>
    </row>
    <row r="24" customFormat="false" ht="12" hidden="false" customHeight="true" outlineLevel="0" collapsed="false">
      <c r="A24" s="9" t="n">
        <v>20</v>
      </c>
      <c r="B24" s="11" t="s">
        <v>54</v>
      </c>
      <c r="C24" s="11" t="s">
        <v>15</v>
      </c>
      <c r="D24" s="11" t="s">
        <v>38</v>
      </c>
      <c r="E24" s="11" t="s">
        <v>55</v>
      </c>
      <c r="F24" s="13" t="n">
        <v>0.49</v>
      </c>
      <c r="G24" s="12" t="n">
        <v>2074.43</v>
      </c>
      <c r="H24" s="11" t="n">
        <v>20</v>
      </c>
    </row>
    <row r="25" customFormat="false" ht="12" hidden="false" customHeight="true" outlineLevel="0" collapsed="false">
      <c r="A25" s="9" t="n">
        <v>21</v>
      </c>
      <c r="B25" s="11" t="s">
        <v>56</v>
      </c>
      <c r="C25" s="11" t="s">
        <v>15</v>
      </c>
      <c r="D25" s="11" t="s">
        <v>33</v>
      </c>
      <c r="E25" s="11" t="s">
        <v>57</v>
      </c>
      <c r="F25" s="13" t="n">
        <v>0.74</v>
      </c>
      <c r="G25" s="12" t="n">
        <v>1929.5</v>
      </c>
      <c r="H25" s="11" t="n">
        <v>21</v>
      </c>
    </row>
    <row r="26" customFormat="false" ht="12" hidden="false" customHeight="true" outlineLevel="0" collapsed="false">
      <c r="A26" s="9" t="n">
        <v>22</v>
      </c>
      <c r="B26" s="11" t="s">
        <v>58</v>
      </c>
      <c r="C26" s="11" t="s">
        <v>15</v>
      </c>
      <c r="D26" s="11" t="s">
        <v>38</v>
      </c>
      <c r="E26" s="11" t="s">
        <v>59</v>
      </c>
      <c r="F26" s="13" t="n">
        <v>0.74</v>
      </c>
      <c r="G26" s="12" t="n">
        <v>1306.77</v>
      </c>
      <c r="H26" s="11" t="n">
        <v>22</v>
      </c>
    </row>
    <row r="27" customFormat="false" ht="12" hidden="false" customHeight="true" outlineLevel="0" collapsed="false">
      <c r="A27" s="9" t="n">
        <v>23</v>
      </c>
      <c r="B27" s="11" t="s">
        <v>60</v>
      </c>
      <c r="C27" s="11" t="s">
        <v>15</v>
      </c>
      <c r="D27" s="11" t="s">
        <v>27</v>
      </c>
      <c r="E27" s="11" t="s">
        <v>61</v>
      </c>
      <c r="F27" s="13" t="n">
        <v>1</v>
      </c>
      <c r="G27" s="12" t="n">
        <v>1069.41</v>
      </c>
      <c r="H27" s="11" t="n">
        <v>23</v>
      </c>
    </row>
    <row r="28" customFormat="false" ht="12" hidden="false" customHeight="true" outlineLevel="0" collapsed="false">
      <c r="A28" s="9" t="n">
        <v>24</v>
      </c>
      <c r="B28" s="11" t="s">
        <v>62</v>
      </c>
      <c r="C28" s="11" t="s">
        <v>15</v>
      </c>
      <c r="D28" s="11" t="s">
        <v>16</v>
      </c>
      <c r="E28" s="11" t="s">
        <v>17</v>
      </c>
      <c r="F28" s="9" t="s">
        <v>17</v>
      </c>
      <c r="G28" s="12" t="n">
        <v>512.28</v>
      </c>
      <c r="H28" s="11" t="n">
        <v>24</v>
      </c>
    </row>
    <row r="29" customFormat="false" ht="12" hidden="false" customHeight="true" outlineLevel="0" collapsed="false">
      <c r="A29" s="9" t="n">
        <v>25</v>
      </c>
      <c r="B29" s="11" t="s">
        <v>63</v>
      </c>
      <c r="C29" s="11" t="s">
        <v>15</v>
      </c>
      <c r="D29" s="11" t="s">
        <v>33</v>
      </c>
      <c r="E29" s="11" t="s">
        <v>17</v>
      </c>
      <c r="F29" s="9" t="s">
        <v>17</v>
      </c>
      <c r="G29" s="12" t="n">
        <v>64.05</v>
      </c>
      <c r="H29" s="11" t="n">
        <v>25</v>
      </c>
    </row>
    <row r="30" customFormat="false" ht="12" hidden="false" customHeight="true" outlineLevel="0" collapsed="false">
      <c r="A30" s="9" t="n">
        <v>26</v>
      </c>
      <c r="B30" s="11" t="s">
        <v>64</v>
      </c>
      <c r="C30" s="11" t="s">
        <v>15</v>
      </c>
      <c r="D30" s="11" t="s">
        <v>65</v>
      </c>
      <c r="E30" s="11" t="s">
        <v>17</v>
      </c>
      <c r="F30" s="9" t="s">
        <v>17</v>
      </c>
      <c r="G30" s="11" t="s">
        <v>17</v>
      </c>
      <c r="H30" s="11" t="s">
        <v>66</v>
      </c>
    </row>
    <row r="31" customFormat="false" ht="12" hidden="false" customHeight="true" outlineLevel="0" collapsed="false">
      <c r="A31" s="9" t="n">
        <v>27</v>
      </c>
      <c r="B31" s="11" t="s">
        <v>67</v>
      </c>
      <c r="C31" s="11" t="s">
        <v>68</v>
      </c>
      <c r="D31" s="11" t="s">
        <v>16</v>
      </c>
      <c r="E31" s="11" t="s">
        <v>17</v>
      </c>
      <c r="F31" s="9" t="s">
        <v>17</v>
      </c>
      <c r="G31" s="12" t="n">
        <v>38660.5</v>
      </c>
      <c r="H31" s="11" t="n">
        <v>1</v>
      </c>
    </row>
    <row r="32" customFormat="false" ht="12" hidden="false" customHeight="true" outlineLevel="0" collapsed="false">
      <c r="A32" s="9" t="n">
        <v>28</v>
      </c>
      <c r="B32" s="11" t="s">
        <v>69</v>
      </c>
      <c r="C32" s="11" t="s">
        <v>68</v>
      </c>
      <c r="D32" s="11" t="s">
        <v>16</v>
      </c>
      <c r="E32" s="11" t="s">
        <v>17</v>
      </c>
      <c r="F32" s="9" t="s">
        <v>17</v>
      </c>
      <c r="G32" s="12" t="n">
        <v>26833.34</v>
      </c>
      <c r="H32" s="11" t="n">
        <v>2</v>
      </c>
    </row>
    <row r="33" customFormat="false" ht="12" hidden="false" customHeight="true" outlineLevel="0" collapsed="false">
      <c r="A33" s="9" t="n">
        <v>29</v>
      </c>
      <c r="B33" s="11" t="s">
        <v>70</v>
      </c>
      <c r="C33" s="11" t="s">
        <v>68</v>
      </c>
      <c r="D33" s="11" t="s">
        <v>27</v>
      </c>
      <c r="E33" s="11" t="s">
        <v>28</v>
      </c>
      <c r="F33" s="13" t="n">
        <v>0.26</v>
      </c>
      <c r="G33" s="12" t="n">
        <v>21416.81</v>
      </c>
      <c r="H33" s="11" t="n">
        <v>3</v>
      </c>
    </row>
    <row r="34" customFormat="false" ht="12" hidden="false" customHeight="true" outlineLevel="0" collapsed="false">
      <c r="A34" s="9" t="n">
        <v>30</v>
      </c>
      <c r="B34" s="11" t="s">
        <v>71</v>
      </c>
      <c r="C34" s="11" t="s">
        <v>68</v>
      </c>
      <c r="D34" s="11" t="s">
        <v>72</v>
      </c>
      <c r="E34" s="11" t="s">
        <v>17</v>
      </c>
      <c r="F34" s="9" t="s">
        <v>17</v>
      </c>
      <c r="G34" s="12" t="n">
        <v>20073.65</v>
      </c>
      <c r="H34" s="11" t="n">
        <v>4</v>
      </c>
    </row>
    <row r="35" customFormat="false" ht="12" hidden="false" customHeight="true" outlineLevel="0" collapsed="false">
      <c r="A35" s="9" t="n">
        <v>31</v>
      </c>
      <c r="B35" s="11" t="s">
        <v>73</v>
      </c>
      <c r="C35" s="11" t="s">
        <v>68</v>
      </c>
      <c r="D35" s="11" t="s">
        <v>23</v>
      </c>
      <c r="E35" s="11" t="s">
        <v>17</v>
      </c>
      <c r="F35" s="9" t="s">
        <v>17</v>
      </c>
      <c r="G35" s="12" t="n">
        <v>19826.28</v>
      </c>
      <c r="H35" s="11" t="n">
        <v>5</v>
      </c>
    </row>
    <row r="36" customFormat="false" ht="12" hidden="false" customHeight="true" outlineLevel="0" collapsed="false">
      <c r="A36" s="9" t="n">
        <v>32</v>
      </c>
      <c r="B36" s="11" t="s">
        <v>74</v>
      </c>
      <c r="C36" s="11" t="s">
        <v>68</v>
      </c>
      <c r="D36" s="11" t="s">
        <v>16</v>
      </c>
      <c r="E36" s="11" t="s">
        <v>75</v>
      </c>
      <c r="F36" s="13" t="n">
        <v>0.26</v>
      </c>
      <c r="G36" s="12" t="n">
        <v>17702.83</v>
      </c>
      <c r="H36" s="11" t="n">
        <v>6</v>
      </c>
    </row>
    <row r="37" customFormat="false" ht="12" hidden="false" customHeight="true" outlineLevel="0" collapsed="false">
      <c r="A37" s="9" t="n">
        <v>33</v>
      </c>
      <c r="B37" s="11" t="s">
        <v>76</v>
      </c>
      <c r="C37" s="11" t="s">
        <v>68</v>
      </c>
      <c r="D37" s="11" t="s">
        <v>77</v>
      </c>
      <c r="E37" s="11" t="s">
        <v>17</v>
      </c>
      <c r="F37" s="9" t="s">
        <v>17</v>
      </c>
      <c r="G37" s="12" t="n">
        <v>16660.37</v>
      </c>
      <c r="H37" s="11" t="n">
        <v>7</v>
      </c>
    </row>
    <row r="38" customFormat="false" ht="12" hidden="false" customHeight="true" outlineLevel="0" collapsed="false">
      <c r="A38" s="9" t="n">
        <v>34</v>
      </c>
      <c r="B38" s="11" t="s">
        <v>78</v>
      </c>
      <c r="C38" s="11" t="s">
        <v>68</v>
      </c>
      <c r="D38" s="11" t="s">
        <v>16</v>
      </c>
      <c r="E38" s="11" t="s">
        <v>79</v>
      </c>
      <c r="F38" s="13" t="n">
        <v>0.49</v>
      </c>
      <c r="G38" s="12" t="n">
        <v>15817.28</v>
      </c>
      <c r="H38" s="11" t="n">
        <v>8</v>
      </c>
    </row>
    <row r="39" customFormat="false" ht="12" hidden="false" customHeight="true" outlineLevel="0" collapsed="false">
      <c r="A39" s="9" t="n">
        <v>35</v>
      </c>
      <c r="B39" s="11" t="s">
        <v>80</v>
      </c>
      <c r="C39" s="11" t="s">
        <v>68</v>
      </c>
      <c r="D39" s="11" t="s">
        <v>16</v>
      </c>
      <c r="E39" s="11" t="s">
        <v>17</v>
      </c>
      <c r="F39" s="9" t="s">
        <v>17</v>
      </c>
      <c r="G39" s="12" t="n">
        <v>13889.67</v>
      </c>
      <c r="H39" s="11" t="n">
        <v>9</v>
      </c>
    </row>
    <row r="40" customFormat="false" ht="12" hidden="false" customHeight="true" outlineLevel="0" collapsed="false">
      <c r="A40" s="9" t="n">
        <v>36</v>
      </c>
      <c r="B40" s="11" t="s">
        <v>81</v>
      </c>
      <c r="C40" s="11" t="s">
        <v>68</v>
      </c>
      <c r="D40" s="11" t="s">
        <v>16</v>
      </c>
      <c r="E40" s="11" t="s">
        <v>17</v>
      </c>
      <c r="F40" s="9" t="s">
        <v>17</v>
      </c>
      <c r="G40" s="12" t="n">
        <v>12548.37</v>
      </c>
      <c r="H40" s="11" t="n">
        <v>10</v>
      </c>
    </row>
    <row r="41" customFormat="false" ht="12" hidden="false" customHeight="true" outlineLevel="0" collapsed="false">
      <c r="A41" s="9" t="n">
        <v>37</v>
      </c>
      <c r="B41" s="11" t="s">
        <v>82</v>
      </c>
      <c r="C41" s="11" t="s">
        <v>68</v>
      </c>
      <c r="D41" s="11" t="s">
        <v>23</v>
      </c>
      <c r="E41" s="11" t="s">
        <v>17</v>
      </c>
      <c r="F41" s="9" t="s">
        <v>17</v>
      </c>
      <c r="G41" s="12" t="n">
        <v>9738.16</v>
      </c>
      <c r="H41" s="11" t="n">
        <v>11</v>
      </c>
    </row>
    <row r="42" customFormat="false" ht="12" hidden="false" customHeight="true" outlineLevel="0" collapsed="false">
      <c r="A42" s="9" t="n">
        <v>38</v>
      </c>
      <c r="B42" s="11" t="s">
        <v>83</v>
      </c>
      <c r="C42" s="11" t="s">
        <v>68</v>
      </c>
      <c r="D42" s="11" t="s">
        <v>27</v>
      </c>
      <c r="E42" s="11" t="s">
        <v>17</v>
      </c>
      <c r="F42" s="9" t="s">
        <v>17</v>
      </c>
      <c r="G42" s="12" t="n">
        <v>8472.15</v>
      </c>
      <c r="H42" s="11" t="n">
        <v>12</v>
      </c>
    </row>
    <row r="43" customFormat="false" ht="12" hidden="false" customHeight="true" outlineLevel="0" collapsed="false">
      <c r="A43" s="9" t="n">
        <v>39</v>
      </c>
      <c r="B43" s="11" t="s">
        <v>84</v>
      </c>
      <c r="C43" s="11" t="s">
        <v>68</v>
      </c>
      <c r="D43" s="11" t="s">
        <v>38</v>
      </c>
      <c r="E43" s="11" t="s">
        <v>85</v>
      </c>
      <c r="F43" s="13" t="n">
        <v>0.49</v>
      </c>
      <c r="G43" s="12" t="n">
        <v>8312.35</v>
      </c>
      <c r="H43" s="11" t="n">
        <v>13</v>
      </c>
    </row>
    <row r="44" customFormat="false" ht="12" hidden="false" customHeight="true" outlineLevel="0" collapsed="false">
      <c r="A44" s="9" t="n">
        <v>40</v>
      </c>
      <c r="B44" s="11" t="s">
        <v>86</v>
      </c>
      <c r="C44" s="11" t="s">
        <v>68</v>
      </c>
      <c r="D44" s="11" t="s">
        <v>72</v>
      </c>
      <c r="E44" s="11" t="s">
        <v>17</v>
      </c>
      <c r="F44" s="9" t="s">
        <v>17</v>
      </c>
      <c r="G44" s="12" t="n">
        <v>8124.32</v>
      </c>
      <c r="H44" s="11" t="n">
        <v>14</v>
      </c>
    </row>
    <row r="45" customFormat="false" ht="12" hidden="false" customHeight="true" outlineLevel="0" collapsed="false">
      <c r="A45" s="9" t="n">
        <v>41</v>
      </c>
      <c r="B45" s="11" t="s">
        <v>87</v>
      </c>
      <c r="C45" s="11" t="s">
        <v>68</v>
      </c>
      <c r="D45" s="11" t="s">
        <v>16</v>
      </c>
      <c r="E45" s="11" t="s">
        <v>51</v>
      </c>
      <c r="F45" s="13" t="n">
        <v>0.74</v>
      </c>
      <c r="G45" s="12" t="n">
        <v>5408.16</v>
      </c>
      <c r="H45" s="11" t="n">
        <v>15</v>
      </c>
    </row>
    <row r="46" customFormat="false" ht="12" hidden="false" customHeight="true" outlineLevel="0" collapsed="false">
      <c r="A46" s="9" t="n">
        <v>42</v>
      </c>
      <c r="B46" s="11" t="s">
        <v>88</v>
      </c>
      <c r="C46" s="11" t="s">
        <v>68</v>
      </c>
      <c r="D46" s="11" t="s">
        <v>16</v>
      </c>
      <c r="E46" s="11" t="s">
        <v>89</v>
      </c>
      <c r="F46" s="13" t="n">
        <v>0.35</v>
      </c>
      <c r="G46" s="12" t="n">
        <v>5078.44</v>
      </c>
      <c r="H46" s="11" t="n">
        <v>16</v>
      </c>
    </row>
    <row r="47" customFormat="false" ht="12" hidden="false" customHeight="true" outlineLevel="0" collapsed="false">
      <c r="A47" s="9" t="n">
        <v>43</v>
      </c>
      <c r="B47" s="11" t="s">
        <v>90</v>
      </c>
      <c r="C47" s="11" t="s">
        <v>68</v>
      </c>
      <c r="D47" s="11" t="s">
        <v>72</v>
      </c>
      <c r="E47" s="11" t="s">
        <v>91</v>
      </c>
      <c r="F47" s="13" t="n">
        <v>0.4</v>
      </c>
      <c r="G47" s="12" t="n">
        <v>3763.96</v>
      </c>
      <c r="H47" s="11" t="n">
        <v>17</v>
      </c>
    </row>
    <row r="48" customFormat="false" ht="12" hidden="false" customHeight="true" outlineLevel="0" collapsed="false">
      <c r="A48" s="9" t="n">
        <v>44</v>
      </c>
      <c r="B48" s="11" t="s">
        <v>92</v>
      </c>
      <c r="C48" s="11" t="s">
        <v>68</v>
      </c>
      <c r="D48" s="11" t="s">
        <v>93</v>
      </c>
      <c r="E48" s="11" t="s">
        <v>94</v>
      </c>
      <c r="F48" s="13" t="n">
        <v>0.23</v>
      </c>
      <c r="G48" s="12" t="n">
        <v>3753.38</v>
      </c>
      <c r="H48" s="11" t="n">
        <v>18</v>
      </c>
    </row>
    <row r="49" customFormat="false" ht="12" hidden="false" customHeight="true" outlineLevel="0" collapsed="false">
      <c r="A49" s="9" t="n">
        <v>45</v>
      </c>
      <c r="B49" s="11" t="s">
        <v>95</v>
      </c>
      <c r="C49" s="11" t="s">
        <v>68</v>
      </c>
      <c r="D49" s="11" t="s">
        <v>77</v>
      </c>
      <c r="E49" s="11" t="s">
        <v>17</v>
      </c>
      <c r="F49" s="9" t="s">
        <v>17</v>
      </c>
      <c r="G49" s="12" t="n">
        <v>3334.42</v>
      </c>
      <c r="H49" s="11" t="n">
        <v>19</v>
      </c>
    </row>
    <row r="50" customFormat="false" ht="12" hidden="false" customHeight="true" outlineLevel="0" collapsed="false">
      <c r="A50" s="9" t="n">
        <v>46</v>
      </c>
      <c r="B50" s="11" t="s">
        <v>96</v>
      </c>
      <c r="C50" s="11" t="s">
        <v>68</v>
      </c>
      <c r="D50" s="11" t="s">
        <v>16</v>
      </c>
      <c r="E50" s="11" t="s">
        <v>97</v>
      </c>
      <c r="F50" s="13" t="n">
        <v>0.49</v>
      </c>
      <c r="G50" s="12" t="n">
        <v>2246.35</v>
      </c>
      <c r="H50" s="11" t="n">
        <v>20</v>
      </c>
    </row>
    <row r="51" customFormat="false" ht="12" hidden="false" customHeight="true" outlineLevel="0" collapsed="false">
      <c r="A51" s="9" t="n">
        <v>47</v>
      </c>
      <c r="B51" s="11" t="s">
        <v>98</v>
      </c>
      <c r="C51" s="11" t="s">
        <v>68</v>
      </c>
      <c r="D51" s="11" t="s">
        <v>16</v>
      </c>
      <c r="E51" s="11" t="s">
        <v>17</v>
      </c>
      <c r="F51" s="9" t="s">
        <v>17</v>
      </c>
      <c r="G51" s="12" t="n">
        <v>2065</v>
      </c>
      <c r="H51" s="11" t="n">
        <v>21</v>
      </c>
    </row>
    <row r="52" customFormat="false" ht="12" hidden="false" customHeight="true" outlineLevel="0" collapsed="false">
      <c r="A52" s="9" t="n">
        <v>48</v>
      </c>
      <c r="B52" s="11" t="s">
        <v>99</v>
      </c>
      <c r="C52" s="11" t="s">
        <v>68</v>
      </c>
      <c r="D52" s="11" t="s">
        <v>16</v>
      </c>
      <c r="E52" s="11" t="s">
        <v>100</v>
      </c>
      <c r="F52" s="13" t="n">
        <v>0.7</v>
      </c>
      <c r="G52" s="12" t="n">
        <v>1915.38</v>
      </c>
      <c r="H52" s="11" t="n">
        <v>22</v>
      </c>
    </row>
    <row r="53" customFormat="false" ht="12" hidden="false" customHeight="true" outlineLevel="0" collapsed="false">
      <c r="A53" s="9" t="n">
        <v>49</v>
      </c>
      <c r="B53" s="11" t="s">
        <v>101</v>
      </c>
      <c r="C53" s="11" t="s">
        <v>68</v>
      </c>
      <c r="D53" s="11" t="s">
        <v>16</v>
      </c>
      <c r="E53" s="11" t="s">
        <v>17</v>
      </c>
      <c r="F53" s="9" t="s">
        <v>17</v>
      </c>
      <c r="G53" s="12" t="n">
        <v>1366.55</v>
      </c>
      <c r="H53" s="11" t="n">
        <v>23</v>
      </c>
    </row>
    <row r="54" customFormat="false" ht="12" hidden="false" customHeight="true" outlineLevel="0" collapsed="false">
      <c r="A54" s="9" t="n">
        <v>50</v>
      </c>
      <c r="B54" s="11" t="s">
        <v>102</v>
      </c>
      <c r="C54" s="11" t="s">
        <v>68</v>
      </c>
      <c r="D54" s="11" t="s">
        <v>16</v>
      </c>
      <c r="E54" s="11" t="s">
        <v>17</v>
      </c>
      <c r="F54" s="9" t="s">
        <v>17</v>
      </c>
      <c r="G54" s="12" t="n">
        <v>992.29</v>
      </c>
      <c r="H54" s="11" t="n">
        <v>24</v>
      </c>
    </row>
    <row r="55" customFormat="false" ht="12" hidden="false" customHeight="true" outlineLevel="0" collapsed="false">
      <c r="A55" s="9" t="n">
        <v>51</v>
      </c>
      <c r="B55" s="11" t="s">
        <v>103</v>
      </c>
      <c r="C55" s="11" t="s">
        <v>68</v>
      </c>
      <c r="D55" s="11" t="s">
        <v>45</v>
      </c>
      <c r="E55" s="11" t="s">
        <v>17</v>
      </c>
      <c r="F55" s="9" t="s">
        <v>17</v>
      </c>
      <c r="G55" s="12" t="n">
        <v>771.46</v>
      </c>
      <c r="H55" s="11" t="n">
        <v>25</v>
      </c>
    </row>
    <row r="56" customFormat="false" ht="12" hidden="false" customHeight="true" outlineLevel="0" collapsed="false">
      <c r="A56" s="9" t="n">
        <v>52</v>
      </c>
      <c r="B56" s="11" t="s">
        <v>104</v>
      </c>
      <c r="C56" s="11" t="s">
        <v>68</v>
      </c>
      <c r="D56" s="11" t="s">
        <v>16</v>
      </c>
      <c r="E56" s="11" t="s">
        <v>105</v>
      </c>
      <c r="F56" s="13" t="n">
        <v>0.49</v>
      </c>
      <c r="G56" s="12" t="n">
        <v>353.22</v>
      </c>
      <c r="H56" s="11" t="n">
        <v>26</v>
      </c>
    </row>
    <row r="57" customFormat="false" ht="12" hidden="false" customHeight="true" outlineLevel="0" collapsed="false">
      <c r="A57" s="9" t="n">
        <v>53</v>
      </c>
      <c r="B57" s="11" t="s">
        <v>106</v>
      </c>
      <c r="C57" s="11" t="s">
        <v>68</v>
      </c>
      <c r="D57" s="11" t="s">
        <v>33</v>
      </c>
      <c r="E57" s="11" t="s">
        <v>17</v>
      </c>
      <c r="F57" s="9" t="s">
        <v>17</v>
      </c>
      <c r="G57" s="12" t="n">
        <v>99.53</v>
      </c>
      <c r="H57" s="11" t="n">
        <v>27</v>
      </c>
    </row>
    <row r="58" customFormat="false" ht="12" hidden="false" customHeight="true" outlineLevel="0" collapsed="false">
      <c r="A58" s="9" t="n">
        <v>54</v>
      </c>
      <c r="B58" s="11" t="s">
        <v>107</v>
      </c>
      <c r="C58" s="11" t="s">
        <v>108</v>
      </c>
      <c r="D58" s="11" t="s">
        <v>72</v>
      </c>
      <c r="E58" s="11" t="s">
        <v>17</v>
      </c>
      <c r="F58" s="9" t="s">
        <v>17</v>
      </c>
      <c r="G58" s="12" t="n">
        <v>16716.15</v>
      </c>
      <c r="H58" s="11" t="n">
        <v>1</v>
      </c>
    </row>
    <row r="59" customFormat="false" ht="12" hidden="false" customHeight="true" outlineLevel="0" collapsed="false">
      <c r="A59" s="9" t="n">
        <v>55</v>
      </c>
      <c r="B59" s="11" t="s">
        <v>109</v>
      </c>
      <c r="C59" s="11" t="s">
        <v>108</v>
      </c>
      <c r="D59" s="11" t="s">
        <v>23</v>
      </c>
      <c r="E59" s="11" t="s">
        <v>17</v>
      </c>
      <c r="F59" s="9" t="s">
        <v>17</v>
      </c>
      <c r="G59" s="12" t="n">
        <v>8318.25</v>
      </c>
      <c r="H59" s="11" t="n">
        <v>2</v>
      </c>
    </row>
    <row r="60" customFormat="false" ht="12" hidden="false" customHeight="true" outlineLevel="0" collapsed="false">
      <c r="A60" s="9" t="n">
        <v>56</v>
      </c>
      <c r="B60" s="11" t="s">
        <v>110</v>
      </c>
      <c r="C60" s="11" t="s">
        <v>108</v>
      </c>
      <c r="D60" s="11" t="s">
        <v>38</v>
      </c>
      <c r="E60" s="11" t="s">
        <v>17</v>
      </c>
      <c r="F60" s="9" t="s">
        <v>17</v>
      </c>
      <c r="G60" s="12" t="n">
        <v>6762.22</v>
      </c>
      <c r="H60" s="11" t="n">
        <v>3</v>
      </c>
    </row>
    <row r="61" customFormat="false" ht="12" hidden="false" customHeight="true" outlineLevel="0" collapsed="false">
      <c r="A61" s="9" t="n">
        <v>57</v>
      </c>
      <c r="B61" s="11" t="s">
        <v>111</v>
      </c>
      <c r="C61" s="11" t="s">
        <v>108</v>
      </c>
      <c r="D61" s="11" t="s">
        <v>16</v>
      </c>
      <c r="E61" s="11" t="s">
        <v>112</v>
      </c>
      <c r="F61" s="13" t="n">
        <v>0.44</v>
      </c>
      <c r="G61" s="12" t="n">
        <v>4821.7</v>
      </c>
      <c r="H61" s="11" t="n">
        <v>4</v>
      </c>
    </row>
    <row r="62" customFormat="false" ht="12" hidden="false" customHeight="true" outlineLevel="0" collapsed="false">
      <c r="A62" s="9" t="n">
        <v>58</v>
      </c>
      <c r="B62" s="11" t="s">
        <v>113</v>
      </c>
      <c r="C62" s="11" t="s">
        <v>108</v>
      </c>
      <c r="D62" s="11" t="s">
        <v>16</v>
      </c>
      <c r="E62" s="11" t="s">
        <v>114</v>
      </c>
      <c r="F62" s="13" t="n">
        <v>0.49</v>
      </c>
      <c r="G62" s="12" t="n">
        <v>1797.56</v>
      </c>
      <c r="H62" s="11" t="n">
        <v>5</v>
      </c>
    </row>
    <row r="63" customFormat="false" ht="12" hidden="false" customHeight="true" outlineLevel="0" collapsed="false">
      <c r="A63" s="9" t="n">
        <v>59</v>
      </c>
      <c r="B63" s="11" t="s">
        <v>115</v>
      </c>
      <c r="C63" s="11" t="s">
        <v>108</v>
      </c>
      <c r="D63" s="11" t="s">
        <v>72</v>
      </c>
      <c r="E63" s="11" t="s">
        <v>17</v>
      </c>
      <c r="F63" s="9" t="s">
        <v>17</v>
      </c>
      <c r="G63" s="12" t="n">
        <v>16.94</v>
      </c>
      <c r="H63" s="11" t="n">
        <v>6</v>
      </c>
    </row>
    <row r="64" customFormat="false" ht="12" hidden="false" customHeight="true" outlineLevel="0" collapsed="false">
      <c r="A64" s="9" t="n">
        <v>60</v>
      </c>
      <c r="B64" s="11" t="s">
        <v>116</v>
      </c>
      <c r="C64" s="11" t="s">
        <v>108</v>
      </c>
      <c r="D64" s="11" t="s">
        <v>33</v>
      </c>
      <c r="E64" s="11" t="s">
        <v>17</v>
      </c>
      <c r="F64" s="9" t="s">
        <v>17</v>
      </c>
      <c r="G64" s="12" t="n">
        <v>2.37</v>
      </c>
      <c r="H64" s="11" t="n">
        <v>7</v>
      </c>
    </row>
    <row r="65" customFormat="false" ht="12" hidden="false" customHeight="true" outlineLevel="0" collapsed="false">
      <c r="A65" s="9" t="n">
        <v>61</v>
      </c>
      <c r="B65" s="11" t="s">
        <v>117</v>
      </c>
      <c r="C65" s="11" t="s">
        <v>118</v>
      </c>
      <c r="D65" s="11" t="s">
        <v>16</v>
      </c>
      <c r="E65" s="11" t="s">
        <v>17</v>
      </c>
      <c r="F65" s="9" t="s">
        <v>17</v>
      </c>
      <c r="G65" s="12" t="n">
        <v>36130.27</v>
      </c>
      <c r="H65" s="9" t="s">
        <v>17</v>
      </c>
    </row>
    <row r="66" customFormat="false" ht="12" hidden="false" customHeight="true" outlineLevel="0" collapsed="false">
      <c r="A66" s="9" t="n">
        <v>62</v>
      </c>
      <c r="B66" s="11" t="s">
        <v>119</v>
      </c>
      <c r="C66" s="11" t="s">
        <v>120</v>
      </c>
      <c r="D66" s="11" t="s">
        <v>16</v>
      </c>
      <c r="E66" s="11" t="s">
        <v>17</v>
      </c>
      <c r="F66" s="9" t="s">
        <v>17</v>
      </c>
      <c r="G66" s="11" t="s">
        <v>17</v>
      </c>
      <c r="H66" s="9" t="s">
        <v>17</v>
      </c>
    </row>
    <row r="67" customFormat="false" ht="12" hidden="false" customHeight="true" outlineLevel="0" collapsed="false">
      <c r="A67" s="9" t="n">
        <v>63</v>
      </c>
      <c r="B67" s="11" t="s">
        <v>121</v>
      </c>
      <c r="C67" s="11" t="s">
        <v>120</v>
      </c>
      <c r="D67" s="11" t="s">
        <v>16</v>
      </c>
      <c r="E67" s="11" t="s">
        <v>17</v>
      </c>
      <c r="F67" s="9" t="s">
        <v>17</v>
      </c>
      <c r="G67" s="11" t="s">
        <v>17</v>
      </c>
      <c r="H67" s="9" t="s">
        <v>17</v>
      </c>
    </row>
    <row r="68" customFormat="false" ht="12" hidden="false" customHeight="true" outlineLevel="0" collapsed="false">
      <c r="A68" s="9" t="n">
        <v>64</v>
      </c>
      <c r="B68" s="11" t="s">
        <v>122</v>
      </c>
      <c r="C68" s="11" t="s">
        <v>120</v>
      </c>
      <c r="D68" s="11" t="s">
        <v>16</v>
      </c>
      <c r="E68" s="11" t="s">
        <v>17</v>
      </c>
      <c r="F68" s="9" t="s">
        <v>17</v>
      </c>
      <c r="G68" s="11" t="s">
        <v>17</v>
      </c>
      <c r="H68" s="9" t="s">
        <v>17</v>
      </c>
    </row>
    <row r="69" customFormat="false" ht="12" hidden="false" customHeight="true" outlineLevel="0" collapsed="false">
      <c r="A69" s="9" t="n">
        <v>65</v>
      </c>
      <c r="B69" s="11" t="s">
        <v>123</v>
      </c>
      <c r="C69" s="11" t="s">
        <v>120</v>
      </c>
      <c r="D69" s="11" t="s">
        <v>16</v>
      </c>
      <c r="E69" s="11" t="s">
        <v>17</v>
      </c>
      <c r="F69" s="9" t="s">
        <v>17</v>
      </c>
      <c r="G69" s="11" t="s">
        <v>17</v>
      </c>
      <c r="H69" s="9" t="s">
        <v>17</v>
      </c>
    </row>
    <row r="70" customFormat="false" ht="12" hidden="false" customHeight="true" outlineLevel="0" collapsed="false">
      <c r="A70" s="9" t="n">
        <v>66</v>
      </c>
      <c r="B70" s="11" t="s">
        <v>124</v>
      </c>
      <c r="C70" s="11" t="s">
        <v>120</v>
      </c>
      <c r="D70" s="11" t="s">
        <v>16</v>
      </c>
      <c r="E70" s="11" t="s">
        <v>17</v>
      </c>
      <c r="F70" s="9" t="s">
        <v>17</v>
      </c>
      <c r="G70" s="11" t="s">
        <v>17</v>
      </c>
      <c r="H70" s="9" t="s">
        <v>17</v>
      </c>
    </row>
    <row r="71" customFormat="false" ht="12" hidden="false" customHeight="true" outlineLevel="0" collapsed="false">
      <c r="A71" s="9" t="n">
        <v>67</v>
      </c>
      <c r="B71" s="11" t="s">
        <v>125</v>
      </c>
      <c r="C71" s="11" t="s">
        <v>120</v>
      </c>
      <c r="D71" s="11" t="s">
        <v>16</v>
      </c>
      <c r="E71" s="11" t="s">
        <v>17</v>
      </c>
      <c r="F71" s="9" t="s">
        <v>17</v>
      </c>
      <c r="G71" s="11" t="s">
        <v>17</v>
      </c>
      <c r="H71" s="9" t="s">
        <v>17</v>
      </c>
    </row>
    <row r="72" customFormat="false" ht="12" hidden="false" customHeight="true" outlineLevel="0" collapsed="false">
      <c r="A72" s="9" t="n">
        <v>68</v>
      </c>
      <c r="B72" s="11" t="s">
        <v>126</v>
      </c>
      <c r="C72" s="11" t="s">
        <v>120</v>
      </c>
      <c r="D72" s="11" t="s">
        <v>16</v>
      </c>
      <c r="E72" s="11" t="s">
        <v>17</v>
      </c>
      <c r="F72" s="9" t="s">
        <v>17</v>
      </c>
      <c r="G72" s="11" t="s">
        <v>17</v>
      </c>
      <c r="H72" s="9" t="s">
        <v>17</v>
      </c>
    </row>
    <row r="73" customFormat="false" ht="12" hidden="false" customHeight="true" outlineLevel="0" collapsed="false">
      <c r="A73" s="9" t="n">
        <v>69</v>
      </c>
      <c r="B73" s="11" t="s">
        <v>127</v>
      </c>
      <c r="C73" s="11" t="s">
        <v>120</v>
      </c>
      <c r="D73" s="11" t="s">
        <v>16</v>
      </c>
      <c r="E73" s="11" t="s">
        <v>17</v>
      </c>
      <c r="F73" s="9" t="s">
        <v>17</v>
      </c>
      <c r="G73" s="11" t="s">
        <v>17</v>
      </c>
      <c r="H73" s="9" t="s">
        <v>17</v>
      </c>
    </row>
    <row r="74" customFormat="false" ht="12" hidden="false" customHeight="true" outlineLevel="0" collapsed="false">
      <c r="A74" s="9" t="n">
        <v>70</v>
      </c>
      <c r="B74" s="11" t="s">
        <v>128</v>
      </c>
      <c r="C74" s="11" t="s">
        <v>120</v>
      </c>
      <c r="D74" s="11" t="s">
        <v>33</v>
      </c>
      <c r="E74" s="11" t="s">
        <v>17</v>
      </c>
      <c r="F74" s="9" t="s">
        <v>17</v>
      </c>
      <c r="G74" s="11" t="s">
        <v>17</v>
      </c>
      <c r="H74" s="9" t="s">
        <v>17</v>
      </c>
    </row>
    <row r="75" customFormat="false" ht="12" hidden="false" customHeight="true" outlineLevel="0" collapsed="false">
      <c r="A75" s="9" t="n">
        <v>71</v>
      </c>
      <c r="B75" s="11" t="s">
        <v>129</v>
      </c>
      <c r="C75" s="11" t="s">
        <v>120</v>
      </c>
      <c r="D75" s="11" t="s">
        <v>16</v>
      </c>
      <c r="E75" s="11" t="s">
        <v>17</v>
      </c>
      <c r="F75" s="9" t="s">
        <v>17</v>
      </c>
      <c r="G75" s="11" t="s">
        <v>17</v>
      </c>
      <c r="H75" s="9" t="s">
        <v>17</v>
      </c>
    </row>
    <row r="76" customFormat="false" ht="12" hidden="false" customHeight="true" outlineLevel="0" collapsed="false">
      <c r="A76" s="9" t="n">
        <v>72</v>
      </c>
      <c r="B76" s="11" t="s">
        <v>130</v>
      </c>
      <c r="C76" s="11" t="s">
        <v>120</v>
      </c>
      <c r="D76" s="11" t="s">
        <v>16</v>
      </c>
      <c r="E76" s="11" t="s">
        <v>17</v>
      </c>
      <c r="F76" s="9" t="s">
        <v>17</v>
      </c>
      <c r="G76" s="11" t="s">
        <v>17</v>
      </c>
      <c r="H76" s="9" t="s">
        <v>17</v>
      </c>
    </row>
    <row r="77" customFormat="false" ht="12" hidden="false" customHeight="true" outlineLevel="0" collapsed="false">
      <c r="A77" s="14" t="n">
        <v>73</v>
      </c>
      <c r="B77" s="15" t="s">
        <v>131</v>
      </c>
      <c r="C77" s="15" t="s">
        <v>120</v>
      </c>
      <c r="D77" s="15" t="s">
        <v>16</v>
      </c>
      <c r="E77" s="15" t="s">
        <v>17</v>
      </c>
      <c r="F77" s="14" t="s">
        <v>17</v>
      </c>
      <c r="G77" s="15" t="s">
        <v>17</v>
      </c>
      <c r="H77" s="14" t="s">
        <v>17</v>
      </c>
    </row>
  </sheetData>
  <autoFilter ref="A4:H7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3125" defaultRowHeight="14.25" zeroHeight="false" outlineLevelRow="0" outlineLevelCol="0"/>
  <cols>
    <col collapsed="false" customWidth="true" hidden="false" outlineLevel="0" max="1" min="1" style="16" width="9.18"/>
    <col collapsed="false" customWidth="true" hidden="false" outlineLevel="0" max="2" min="2" style="16" width="59.82"/>
    <col collapsed="false" customWidth="true" hidden="false" outlineLevel="0" max="3" min="3" style="16" width="7.54"/>
    <col collapsed="false" customWidth="true" hidden="false" outlineLevel="0" max="4" min="4" style="16" width="127.45"/>
  </cols>
  <sheetData>
    <row r="1" customFormat="false" ht="14.25" hidden="false" customHeight="true" outlineLevel="0" collapsed="false">
      <c r="A1" s="1" t="s">
        <v>132</v>
      </c>
      <c r="B1" s="2" t="s">
        <v>133</v>
      </c>
      <c r="C1" s="2" t="s">
        <v>134</v>
      </c>
      <c r="D1" s="2" t="s">
        <v>135</v>
      </c>
    </row>
    <row r="2" customFormat="false" ht="15" hidden="false" customHeight="true" outlineLevel="0" collapsed="false">
      <c r="A2" s="1" t="n">
        <v>1</v>
      </c>
      <c r="B2" s="2" t="s">
        <v>136</v>
      </c>
      <c r="C2" s="2" t="s">
        <v>137</v>
      </c>
      <c r="D2" s="17" t="s">
        <v>138</v>
      </c>
    </row>
    <row r="3" customFormat="false" ht="15" hidden="false" customHeight="true" outlineLevel="0" collapsed="false">
      <c r="A3" s="1" t="n">
        <v>2</v>
      </c>
      <c r="B3" s="2" t="s">
        <v>139</v>
      </c>
      <c r="C3" s="2" t="s">
        <v>140</v>
      </c>
      <c r="D3" s="17" t="s">
        <v>141</v>
      </c>
    </row>
    <row r="4" customFormat="false" ht="15" hidden="false" customHeight="true" outlineLevel="0" collapsed="false">
      <c r="A4" s="1" t="n">
        <v>3</v>
      </c>
      <c r="B4" s="2" t="s">
        <v>142</v>
      </c>
      <c r="C4" s="2" t="s">
        <v>143</v>
      </c>
      <c r="D4" s="17" t="s">
        <v>144</v>
      </c>
    </row>
    <row r="5" customFormat="false" ht="15" hidden="false" customHeight="true" outlineLevel="0" collapsed="false">
      <c r="A5" s="1" t="n">
        <v>4</v>
      </c>
      <c r="B5" s="2" t="s">
        <v>145</v>
      </c>
      <c r="C5" s="2" t="s">
        <v>146</v>
      </c>
      <c r="D5" s="17" t="s">
        <v>147</v>
      </c>
    </row>
    <row r="6" customFormat="false" ht="15" hidden="false" customHeight="true" outlineLevel="0" collapsed="false">
      <c r="A6" s="1" t="n">
        <v>5</v>
      </c>
      <c r="B6" s="2" t="s">
        <v>148</v>
      </c>
      <c r="C6" s="18" t="s">
        <v>149</v>
      </c>
      <c r="D6" s="17" t="s">
        <v>150</v>
      </c>
    </row>
    <row r="7" customFormat="false" ht="15" hidden="false" customHeight="true" outlineLevel="0" collapsed="false">
      <c r="A7" s="1" t="n">
        <v>6</v>
      </c>
      <c r="B7" s="2" t="s">
        <v>151</v>
      </c>
      <c r="C7" s="2" t="s">
        <v>152</v>
      </c>
      <c r="D7" s="17" t="s">
        <v>153</v>
      </c>
    </row>
    <row r="8" customFormat="false" ht="15" hidden="false" customHeight="true" outlineLevel="0" collapsed="false">
      <c r="A8" s="1" t="n">
        <v>7</v>
      </c>
      <c r="B8" s="2" t="s">
        <v>154</v>
      </c>
      <c r="C8" s="2" t="s">
        <v>155</v>
      </c>
      <c r="D8" s="17" t="s">
        <v>156</v>
      </c>
    </row>
    <row r="9" customFormat="false" ht="15" hidden="false" customHeight="true" outlineLevel="0" collapsed="false">
      <c r="A9" s="1" t="n">
        <v>8</v>
      </c>
      <c r="B9" s="2" t="s">
        <v>157</v>
      </c>
      <c r="C9" s="2" t="s">
        <v>158</v>
      </c>
      <c r="D9" s="17" t="s">
        <v>159</v>
      </c>
    </row>
  </sheetData>
  <hyperlinks>
    <hyperlink ref="D2" r:id="rId1" display="https://www.business-standard.com/finance/insurance/irdai-fraud-risk-framework-insurers-reinsurers-cybersecurity-2026-125101200278_1.html"/>
    <hyperlink ref="D3" r:id="rId2" display="https://www.business-standard.com/finance/insurance/ahpi-insurers-discuss-common-empanelment-faster-claims-patient-care-125100901184_1.html"/>
    <hyperlink ref="D4" r:id="rId3" display="https://www.business-standard.com/finance/insurance/irdai-deepak-sood-rethink-distribution-framework-for-universal-insurance-125100801321_1.html"/>
    <hyperlink ref="D5" r:id="rId4" display="https://insuranceasia.com/insurance/news/lic-partners-rbl-bank-expand-bancassurance-reach"/>
    <hyperlink ref="D6" r:id="rId5" display="https://www.business-standard.com/finance/insurance/govt-considers-introducing-nationwide-climate-linked-insurance-scheme-125100600912_1.html"/>
    <hyperlink ref="D7" r:id="rId6" display="https://www.business-standard.com/finance/insurance/life-cos-to-approach-irdai-to-pass-on-impact-of-itc-removal-on-distributor-125092800459_1.html"/>
    <hyperlink ref="D8" r:id="rId7" display="https://www.business-standard.com/finance/insurance/bima-sugam-to-launch-with-2-3-products-and-e-kyc-module-by-year-end-125092600954_1.html"/>
    <hyperlink ref="D9" r:id="rId8" display="https://www.business-standard.com/finance/insurance/irdai-chairman-ajay-seth-launches-bima-sugam-india-federation-website-125091701252_1.html"/>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pane xSplit="0" ySplit="4" topLeftCell="A5" activePane="bottomLeft" state="frozen"/>
      <selection pane="topLeft" activeCell="G1" activeCellId="0" sqref="G1"/>
      <selection pane="bottomLeft" activeCell="A4" activeCellId="0" sqref="A4"/>
    </sheetView>
  </sheetViews>
  <sheetFormatPr defaultColWidth="8.8203125" defaultRowHeight="12" zeroHeight="false" outlineLevelRow="0" outlineLevelCol="0"/>
  <cols>
    <col collapsed="false" customWidth="true" hidden="false" outlineLevel="0" max="1" min="1" style="2" width="6.45"/>
    <col collapsed="false" customWidth="true" hidden="false" outlineLevel="0" max="2" min="2" style="19" width="43.45"/>
    <col collapsed="false" customWidth="true" hidden="false" outlineLevel="0" max="3" min="3" style="19" width="17.82"/>
    <col collapsed="false" customWidth="true" hidden="false" outlineLevel="0" max="4" min="4" style="2" width="24.82"/>
    <col collapsed="false" customWidth="true" hidden="false" outlineLevel="0" max="5" min="5" style="2" width="22.82"/>
    <col collapsed="false" customWidth="true" hidden="false" outlineLevel="0" max="6" min="6" style="2" width="29.18"/>
    <col collapsed="false" customWidth="true" hidden="false" outlineLevel="0" max="7" min="7" style="2" width="14.82"/>
    <col collapsed="false" customWidth="true" hidden="false" outlineLevel="0" max="8" min="8" style="2" width="15.82"/>
    <col collapsed="false" customWidth="true" hidden="false" outlineLevel="0" max="9" min="9" style="2" width="29.82"/>
    <col collapsed="false" customWidth="true" hidden="true" outlineLevel="0" max="10" min="10" style="2" width="17.45"/>
    <col collapsed="false" customWidth="true" hidden="false" outlineLevel="0" max="11" min="11" style="2" width="53.45"/>
    <col collapsed="false" customWidth="true" hidden="false" outlineLevel="0" max="12" min="12" style="19" width="42.54"/>
    <col collapsed="false" customWidth="true" hidden="false" outlineLevel="0" max="13" min="13" style="19" width="20.18"/>
    <col collapsed="false" customWidth="false" hidden="false" outlineLevel="0" max="16384" min="14" style="2" width="8.82"/>
  </cols>
  <sheetData>
    <row r="1" customFormat="false" ht="13.5" hidden="false" customHeight="true" outlineLevel="0" collapsed="false">
      <c r="A1" s="20" t="s">
        <v>160</v>
      </c>
      <c r="D1" s="21" t="s">
        <v>161</v>
      </c>
    </row>
    <row r="2" customFormat="false" ht="13.5" hidden="false" customHeight="true" outlineLevel="0" collapsed="false">
      <c r="A2" s="20" t="s">
        <v>162</v>
      </c>
    </row>
    <row r="4" customFormat="false" ht="13.5" hidden="false" customHeight="true" outlineLevel="0" collapsed="false">
      <c r="A4" s="22" t="s">
        <v>6</v>
      </c>
      <c r="B4" s="23" t="s">
        <v>7</v>
      </c>
      <c r="C4" s="8" t="s">
        <v>9</v>
      </c>
      <c r="D4" s="22" t="s">
        <v>163</v>
      </c>
      <c r="E4" s="22" t="s">
        <v>164</v>
      </c>
      <c r="F4" s="22" t="s">
        <v>165</v>
      </c>
      <c r="G4" s="22" t="s">
        <v>166</v>
      </c>
      <c r="H4" s="22" t="s">
        <v>167</v>
      </c>
      <c r="I4" s="22" t="s">
        <v>168</v>
      </c>
      <c r="J4" s="22" t="s">
        <v>169</v>
      </c>
      <c r="K4" s="22" t="s">
        <v>170</v>
      </c>
      <c r="L4" s="23" t="s">
        <v>171</v>
      </c>
      <c r="M4" s="8" t="s">
        <v>12</v>
      </c>
    </row>
    <row r="5" customFormat="false" ht="75" hidden="false" customHeight="true" outlineLevel="0" collapsed="false">
      <c r="A5" s="24" t="n">
        <v>1</v>
      </c>
      <c r="B5" s="25" t="s">
        <v>67</v>
      </c>
      <c r="C5" s="25" t="s">
        <v>16</v>
      </c>
      <c r="D5" s="26" t="s">
        <v>172</v>
      </c>
      <c r="E5" s="26" t="s">
        <v>173</v>
      </c>
      <c r="F5" s="26" t="s">
        <v>174</v>
      </c>
      <c r="G5" s="26" t="s">
        <v>175</v>
      </c>
      <c r="H5" s="26" t="s">
        <v>176</v>
      </c>
      <c r="I5" s="26" t="s">
        <v>177</v>
      </c>
      <c r="J5" s="26"/>
      <c r="K5" s="25" t="s">
        <v>178</v>
      </c>
      <c r="L5" s="27" t="s">
        <v>179</v>
      </c>
      <c r="M5" s="28" t="n">
        <v>38660.5</v>
      </c>
    </row>
    <row r="6" customFormat="false" ht="57.75" hidden="false" customHeight="true" outlineLevel="0" collapsed="false">
      <c r="A6" s="24" t="n">
        <v>2</v>
      </c>
      <c r="B6" s="25" t="s">
        <v>69</v>
      </c>
      <c r="C6" s="25" t="s">
        <v>16</v>
      </c>
      <c r="D6" s="26" t="s">
        <v>180</v>
      </c>
      <c r="E6" s="26" t="s">
        <v>181</v>
      </c>
      <c r="F6" s="26" t="s">
        <v>182</v>
      </c>
      <c r="G6" s="26" t="s">
        <v>175</v>
      </c>
      <c r="H6" s="26" t="s">
        <v>183</v>
      </c>
      <c r="I6" s="25" t="s">
        <v>184</v>
      </c>
      <c r="J6" s="26"/>
      <c r="K6" s="26" t="s">
        <v>185</v>
      </c>
      <c r="L6" s="29" t="s">
        <v>186</v>
      </c>
      <c r="M6" s="28" t="n">
        <v>26833.34</v>
      </c>
    </row>
    <row r="7" customFormat="false" ht="62.25" hidden="false" customHeight="true" outlineLevel="0" collapsed="false">
      <c r="A7" s="24" t="n">
        <v>3</v>
      </c>
      <c r="B7" s="25" t="s">
        <v>70</v>
      </c>
      <c r="C7" s="25" t="s">
        <v>27</v>
      </c>
      <c r="D7" s="26" t="s">
        <v>187</v>
      </c>
      <c r="E7" s="26" t="s">
        <v>188</v>
      </c>
      <c r="F7" s="26" t="s">
        <v>189</v>
      </c>
      <c r="G7" s="26" t="s">
        <v>190</v>
      </c>
      <c r="H7" s="26" t="s">
        <v>191</v>
      </c>
      <c r="I7" s="25" t="s">
        <v>192</v>
      </c>
      <c r="J7" s="26"/>
      <c r="K7" s="26"/>
      <c r="L7" s="30"/>
      <c r="M7" s="28" t="n">
        <v>21416.81</v>
      </c>
    </row>
    <row r="8" customFormat="false" ht="12" hidden="false" customHeight="true" outlineLevel="0" collapsed="false">
      <c r="A8" s="24" t="n">
        <v>4</v>
      </c>
      <c r="B8" s="25" t="s">
        <v>71</v>
      </c>
      <c r="C8" s="25" t="s">
        <v>72</v>
      </c>
      <c r="D8" s="26" t="s">
        <v>193</v>
      </c>
      <c r="E8" s="26" t="s">
        <v>194</v>
      </c>
      <c r="F8" s="26" t="s">
        <v>195</v>
      </c>
      <c r="G8" s="26" t="s">
        <v>175</v>
      </c>
      <c r="H8" s="26" t="s">
        <v>176</v>
      </c>
      <c r="I8" s="26" t="s">
        <v>177</v>
      </c>
      <c r="J8" s="26"/>
      <c r="K8" s="26"/>
      <c r="L8" s="30"/>
      <c r="M8" s="28" t="n">
        <v>20073.65</v>
      </c>
    </row>
    <row r="9" customFormat="false" ht="12" hidden="false" customHeight="true" outlineLevel="0" collapsed="false">
      <c r="A9" s="24" t="n">
        <v>5</v>
      </c>
      <c r="B9" s="25" t="s">
        <v>73</v>
      </c>
      <c r="C9" s="25" t="s">
        <v>23</v>
      </c>
      <c r="D9" s="26" t="s">
        <v>196</v>
      </c>
      <c r="E9" s="26" t="s">
        <v>197</v>
      </c>
      <c r="F9" s="26" t="s">
        <v>198</v>
      </c>
      <c r="G9" s="26" t="s">
        <v>175</v>
      </c>
      <c r="H9" s="26" t="s">
        <v>176</v>
      </c>
      <c r="I9" s="26" t="s">
        <v>177</v>
      </c>
      <c r="J9" s="26"/>
      <c r="K9" s="26"/>
      <c r="L9" s="30"/>
      <c r="M9" s="28" t="n">
        <v>19826.28</v>
      </c>
    </row>
    <row r="10" customFormat="false" ht="49.5" hidden="false" customHeight="true" outlineLevel="0" collapsed="false">
      <c r="A10" s="24" t="n">
        <v>6</v>
      </c>
      <c r="B10" s="25" t="s">
        <v>74</v>
      </c>
      <c r="C10" s="25" t="s">
        <v>16</v>
      </c>
      <c r="D10" s="26" t="s">
        <v>199</v>
      </c>
      <c r="E10" s="26" t="s">
        <v>200</v>
      </c>
      <c r="F10" s="26" t="s">
        <v>201</v>
      </c>
      <c r="G10" s="26" t="s">
        <v>202</v>
      </c>
      <c r="H10" s="26" t="s">
        <v>203</v>
      </c>
      <c r="I10" s="25" t="s">
        <v>184</v>
      </c>
      <c r="J10" s="26"/>
      <c r="K10" s="25" t="s">
        <v>204</v>
      </c>
      <c r="L10" s="29" t="s">
        <v>205</v>
      </c>
      <c r="M10" s="28" t="n">
        <v>17702.83</v>
      </c>
    </row>
    <row r="11" customFormat="false" ht="57.75" hidden="false" customHeight="true" outlineLevel="0" collapsed="false">
      <c r="A11" s="24" t="n">
        <v>7</v>
      </c>
      <c r="B11" s="31" t="s">
        <v>107</v>
      </c>
      <c r="C11" s="25" t="s">
        <v>72</v>
      </c>
      <c r="D11" s="26" t="s">
        <v>206</v>
      </c>
      <c r="E11" s="26" t="s">
        <v>207</v>
      </c>
      <c r="F11" s="26" t="s">
        <v>208</v>
      </c>
      <c r="G11" s="26" t="s">
        <v>175</v>
      </c>
      <c r="H11" s="26"/>
      <c r="I11" s="26" t="s">
        <v>177</v>
      </c>
      <c r="J11" s="26"/>
      <c r="K11" s="25" t="s">
        <v>209</v>
      </c>
      <c r="L11" s="29" t="s">
        <v>210</v>
      </c>
      <c r="M11" s="28" t="n">
        <v>16716.15</v>
      </c>
    </row>
    <row r="12" customFormat="false" ht="12" hidden="false" customHeight="true" outlineLevel="0" collapsed="false">
      <c r="A12" s="24" t="n">
        <v>8</v>
      </c>
      <c r="B12" s="25" t="s">
        <v>76</v>
      </c>
      <c r="C12" s="25" t="s">
        <v>77</v>
      </c>
      <c r="D12" s="26" t="s">
        <v>211</v>
      </c>
      <c r="E12" s="26" t="s">
        <v>212</v>
      </c>
      <c r="F12" s="26" t="s">
        <v>213</v>
      </c>
      <c r="G12" s="26" t="s">
        <v>175</v>
      </c>
      <c r="H12" s="26" t="s">
        <v>176</v>
      </c>
      <c r="I12" s="26" t="s">
        <v>177</v>
      </c>
      <c r="J12" s="26"/>
      <c r="K12" s="26"/>
      <c r="L12" s="30"/>
      <c r="M12" s="28" t="n">
        <v>16660.37</v>
      </c>
    </row>
    <row r="13" customFormat="false" ht="24.75" hidden="false" customHeight="true" outlineLevel="0" collapsed="false">
      <c r="A13" s="24" t="n">
        <v>9</v>
      </c>
      <c r="B13" s="25" t="s">
        <v>78</v>
      </c>
      <c r="C13" s="25" t="s">
        <v>16</v>
      </c>
      <c r="D13" s="26" t="s">
        <v>214</v>
      </c>
      <c r="E13" s="26" t="s">
        <v>215</v>
      </c>
      <c r="F13" s="26" t="s">
        <v>216</v>
      </c>
      <c r="G13" s="26" t="s">
        <v>175</v>
      </c>
      <c r="H13" s="26" t="s">
        <v>217</v>
      </c>
      <c r="I13" s="25" t="s">
        <v>184</v>
      </c>
      <c r="J13" s="26"/>
      <c r="K13" s="26"/>
      <c r="L13" s="30"/>
      <c r="M13" s="28" t="n">
        <v>15817.28</v>
      </c>
    </row>
    <row r="14" customFormat="false" ht="72" hidden="false" customHeight="true" outlineLevel="0" collapsed="false">
      <c r="A14" s="24" t="n">
        <v>10</v>
      </c>
      <c r="B14" s="25" t="s">
        <v>80</v>
      </c>
      <c r="C14" s="25" t="s">
        <v>16</v>
      </c>
      <c r="D14" s="26" t="s">
        <v>218</v>
      </c>
      <c r="E14" s="26" t="s">
        <v>219</v>
      </c>
      <c r="F14" s="26" t="s">
        <v>220</v>
      </c>
      <c r="G14" s="26" t="s">
        <v>175</v>
      </c>
      <c r="H14" s="26" t="s">
        <v>221</v>
      </c>
      <c r="I14" s="25" t="s">
        <v>184</v>
      </c>
      <c r="J14" s="26"/>
      <c r="K14" s="25" t="s">
        <v>222</v>
      </c>
      <c r="L14" s="29" t="s">
        <v>223</v>
      </c>
      <c r="M14" s="28" t="n">
        <v>13889.67</v>
      </c>
    </row>
    <row r="15" customFormat="false" ht="24.75" hidden="false" customHeight="true" outlineLevel="0" collapsed="false">
      <c r="A15" s="24" t="n">
        <v>11</v>
      </c>
      <c r="B15" s="25" t="s">
        <v>81</v>
      </c>
      <c r="C15" s="25" t="s">
        <v>16</v>
      </c>
      <c r="D15" s="26" t="s">
        <v>224</v>
      </c>
      <c r="E15" s="26" t="s">
        <v>225</v>
      </c>
      <c r="F15" s="26" t="s">
        <v>226</v>
      </c>
      <c r="G15" s="26" t="s">
        <v>175</v>
      </c>
      <c r="H15" s="26"/>
      <c r="I15" s="26" t="s">
        <v>177</v>
      </c>
      <c r="J15" s="26"/>
      <c r="K15" s="25" t="s">
        <v>227</v>
      </c>
      <c r="L15" s="30"/>
      <c r="M15" s="28" t="n">
        <v>12548.37</v>
      </c>
    </row>
    <row r="16" customFormat="false" ht="12" hidden="false" customHeight="true" outlineLevel="0" collapsed="false">
      <c r="A16" s="24" t="n">
        <v>12</v>
      </c>
      <c r="B16" s="25" t="s">
        <v>82</v>
      </c>
      <c r="C16" s="25" t="s">
        <v>23</v>
      </c>
      <c r="D16" s="26" t="s">
        <v>228</v>
      </c>
      <c r="E16" s="26" t="s">
        <v>229</v>
      </c>
      <c r="F16" s="26" t="s">
        <v>230</v>
      </c>
      <c r="G16" s="26" t="s">
        <v>175</v>
      </c>
      <c r="H16" s="26" t="s">
        <v>231</v>
      </c>
      <c r="I16" s="26" t="s">
        <v>177</v>
      </c>
      <c r="J16" s="26"/>
      <c r="K16" s="26"/>
      <c r="L16" s="30"/>
      <c r="M16" s="28" t="n">
        <v>9738.16</v>
      </c>
    </row>
    <row r="17" customFormat="false" ht="24.75" hidden="false" customHeight="true" outlineLevel="0" collapsed="false">
      <c r="A17" s="24" t="n">
        <v>13</v>
      </c>
      <c r="B17" s="25" t="s">
        <v>83</v>
      </c>
      <c r="C17" s="25" t="s">
        <v>27</v>
      </c>
      <c r="D17" s="26" t="s">
        <v>232</v>
      </c>
      <c r="E17" s="26" t="s">
        <v>233</v>
      </c>
      <c r="F17" s="26" t="s">
        <v>234</v>
      </c>
      <c r="G17" s="26" t="s">
        <v>175</v>
      </c>
      <c r="H17" s="26" t="s">
        <v>235</v>
      </c>
      <c r="I17" s="25" t="s">
        <v>184</v>
      </c>
      <c r="J17" s="26"/>
      <c r="K17" s="26"/>
      <c r="L17" s="30"/>
      <c r="M17" s="28" t="n">
        <v>8472.15</v>
      </c>
    </row>
    <row r="18" customFormat="false" ht="57.75" hidden="false" customHeight="true" outlineLevel="0" collapsed="false">
      <c r="A18" s="24" t="n">
        <v>14</v>
      </c>
      <c r="B18" s="31" t="s">
        <v>109</v>
      </c>
      <c r="C18" s="25" t="s">
        <v>23</v>
      </c>
      <c r="D18" s="26" t="s">
        <v>236</v>
      </c>
      <c r="E18" s="26" t="s">
        <v>237</v>
      </c>
      <c r="F18" s="26" t="s">
        <v>238</v>
      </c>
      <c r="G18" s="26" t="s">
        <v>175</v>
      </c>
      <c r="H18" s="26"/>
      <c r="I18" s="26" t="s">
        <v>177</v>
      </c>
      <c r="J18" s="26"/>
      <c r="K18" s="25" t="s">
        <v>209</v>
      </c>
      <c r="L18" s="29" t="s">
        <v>210</v>
      </c>
      <c r="M18" s="28" t="n">
        <v>8318.25</v>
      </c>
    </row>
    <row r="19" customFormat="false" ht="57.75" hidden="false" customHeight="true" outlineLevel="0" collapsed="false">
      <c r="A19" s="24" t="n">
        <v>15</v>
      </c>
      <c r="B19" s="25" t="s">
        <v>84</v>
      </c>
      <c r="C19" s="25" t="s">
        <v>38</v>
      </c>
      <c r="D19" s="26" t="s">
        <v>239</v>
      </c>
      <c r="E19" s="26" t="s">
        <v>240</v>
      </c>
      <c r="F19" s="26" t="s">
        <v>241</v>
      </c>
      <c r="G19" s="26" t="s">
        <v>175</v>
      </c>
      <c r="H19" s="26" t="s">
        <v>242</v>
      </c>
      <c r="I19" s="26" t="s">
        <v>177</v>
      </c>
      <c r="J19" s="26"/>
      <c r="K19" s="26" t="s">
        <v>243</v>
      </c>
      <c r="L19" s="29" t="s">
        <v>244</v>
      </c>
      <c r="M19" s="28" t="n">
        <v>8312.35</v>
      </c>
    </row>
    <row r="20" customFormat="false" ht="57.75" hidden="false" customHeight="true" outlineLevel="0" collapsed="false">
      <c r="A20" s="24" t="n">
        <v>16</v>
      </c>
      <c r="B20" s="25" t="s">
        <v>86</v>
      </c>
      <c r="C20" s="25" t="s">
        <v>72</v>
      </c>
      <c r="D20" s="26" t="s">
        <v>245</v>
      </c>
      <c r="E20" s="26" t="s">
        <v>246</v>
      </c>
      <c r="F20" s="26" t="s">
        <v>247</v>
      </c>
      <c r="G20" s="26" t="s">
        <v>175</v>
      </c>
      <c r="H20" s="26" t="s">
        <v>248</v>
      </c>
      <c r="I20" s="26" t="s">
        <v>177</v>
      </c>
      <c r="J20" s="26"/>
      <c r="K20" s="25" t="s">
        <v>249</v>
      </c>
      <c r="L20" s="29" t="s">
        <v>250</v>
      </c>
      <c r="M20" s="28" t="n">
        <v>8124.32</v>
      </c>
    </row>
    <row r="21" customFormat="false" ht="62.25" hidden="false" customHeight="true" outlineLevel="0" collapsed="false">
      <c r="A21" s="24" t="n">
        <v>17</v>
      </c>
      <c r="B21" s="31" t="s">
        <v>110</v>
      </c>
      <c r="C21" s="25" t="s">
        <v>38</v>
      </c>
      <c r="D21" s="26" t="s">
        <v>251</v>
      </c>
      <c r="E21" s="26" t="s">
        <v>252</v>
      </c>
      <c r="F21" s="26" t="s">
        <v>253</v>
      </c>
      <c r="G21" s="26" t="s">
        <v>190</v>
      </c>
      <c r="H21" s="26" t="s">
        <v>254</v>
      </c>
      <c r="I21" s="25" t="s">
        <v>192</v>
      </c>
      <c r="J21" s="26"/>
      <c r="K21" s="25" t="s">
        <v>209</v>
      </c>
      <c r="L21" s="29" t="s">
        <v>210</v>
      </c>
      <c r="M21" s="28" t="n">
        <v>6762.22</v>
      </c>
    </row>
    <row r="22" customFormat="false" ht="37.5" hidden="false" customHeight="true" outlineLevel="0" collapsed="false">
      <c r="A22" s="24" t="n">
        <v>18</v>
      </c>
      <c r="B22" s="25" t="s">
        <v>87</v>
      </c>
      <c r="C22" s="25" t="s">
        <v>16</v>
      </c>
      <c r="D22" s="26" t="s">
        <v>255</v>
      </c>
      <c r="E22" s="26" t="s">
        <v>256</v>
      </c>
      <c r="F22" s="26" t="s">
        <v>257</v>
      </c>
      <c r="G22" s="26" t="s">
        <v>175</v>
      </c>
      <c r="H22" s="25" t="s">
        <v>258</v>
      </c>
      <c r="I22" s="25" t="s">
        <v>184</v>
      </c>
      <c r="J22" s="26"/>
      <c r="K22" s="26"/>
      <c r="L22" s="30"/>
      <c r="M22" s="28" t="n">
        <v>5408.16</v>
      </c>
    </row>
    <row r="23" customFormat="false" ht="57.75" hidden="false" customHeight="true" outlineLevel="0" collapsed="false">
      <c r="A23" s="24" t="n">
        <v>19</v>
      </c>
      <c r="B23" s="25" t="s">
        <v>88</v>
      </c>
      <c r="C23" s="25" t="s">
        <v>16</v>
      </c>
      <c r="D23" s="26" t="s">
        <v>259</v>
      </c>
      <c r="E23" s="26" t="s">
        <v>260</v>
      </c>
      <c r="F23" s="26" t="s">
        <v>261</v>
      </c>
      <c r="G23" s="26" t="s">
        <v>175</v>
      </c>
      <c r="H23" s="26"/>
      <c r="I23" s="26" t="s">
        <v>177</v>
      </c>
      <c r="J23" s="26"/>
      <c r="K23" s="26" t="s">
        <v>262</v>
      </c>
      <c r="L23" s="29" t="s">
        <v>263</v>
      </c>
      <c r="M23" s="28" t="n">
        <v>5078.44</v>
      </c>
    </row>
    <row r="24" customFormat="false" ht="57.75" hidden="false" customHeight="true" outlineLevel="0" collapsed="false">
      <c r="A24" s="24" t="n">
        <v>20</v>
      </c>
      <c r="B24" s="31" t="s">
        <v>111</v>
      </c>
      <c r="C24" s="25" t="s">
        <v>16</v>
      </c>
      <c r="D24" s="26" t="s">
        <v>264</v>
      </c>
      <c r="E24" s="26" t="s">
        <v>265</v>
      </c>
      <c r="F24" s="26" t="s">
        <v>266</v>
      </c>
      <c r="G24" s="26" t="s">
        <v>175</v>
      </c>
      <c r="H24" s="26" t="s">
        <v>267</v>
      </c>
      <c r="I24" s="26" t="s">
        <v>177</v>
      </c>
      <c r="J24" s="26"/>
      <c r="K24" s="26" t="s">
        <v>268</v>
      </c>
      <c r="L24" s="29" t="s">
        <v>269</v>
      </c>
      <c r="M24" s="28" t="n">
        <v>4821.7</v>
      </c>
    </row>
    <row r="25" customFormat="false" ht="43.5" hidden="false" customHeight="true" outlineLevel="0" collapsed="false">
      <c r="A25" s="24" t="n">
        <v>21</v>
      </c>
      <c r="B25" s="25" t="s">
        <v>90</v>
      </c>
      <c r="C25" s="25" t="s">
        <v>72</v>
      </c>
      <c r="D25" s="25" t="s">
        <v>270</v>
      </c>
      <c r="E25" s="26" t="s">
        <v>271</v>
      </c>
      <c r="F25" s="26" t="s">
        <v>272</v>
      </c>
      <c r="G25" s="26" t="s">
        <v>175</v>
      </c>
      <c r="H25" s="26" t="s">
        <v>273</v>
      </c>
      <c r="I25" s="26" t="s">
        <v>177</v>
      </c>
      <c r="J25" s="26"/>
      <c r="K25" s="26" t="s">
        <v>274</v>
      </c>
      <c r="L25" s="29" t="s">
        <v>275</v>
      </c>
      <c r="M25" s="28" t="n">
        <v>3763.96</v>
      </c>
    </row>
    <row r="26" customFormat="false" ht="24.75" hidden="false" customHeight="true" outlineLevel="0" collapsed="false">
      <c r="A26" s="24" t="n">
        <v>22</v>
      </c>
      <c r="B26" s="25" t="s">
        <v>92</v>
      </c>
      <c r="C26" s="25" t="s">
        <v>93</v>
      </c>
      <c r="D26" s="26" t="s">
        <v>276</v>
      </c>
      <c r="E26" s="26" t="s">
        <v>277</v>
      </c>
      <c r="F26" s="26" t="s">
        <v>278</v>
      </c>
      <c r="G26" s="26" t="s">
        <v>175</v>
      </c>
      <c r="H26" s="26" t="s">
        <v>279</v>
      </c>
      <c r="I26" s="25" t="s">
        <v>184</v>
      </c>
      <c r="J26" s="26"/>
      <c r="K26" s="26"/>
      <c r="L26" s="29"/>
      <c r="M26" s="28" t="n">
        <v>3753.38</v>
      </c>
    </row>
    <row r="27" customFormat="false" ht="57.75" hidden="false" customHeight="true" outlineLevel="0" collapsed="false">
      <c r="A27" s="24" t="n">
        <v>23</v>
      </c>
      <c r="B27" s="25" t="s">
        <v>95</v>
      </c>
      <c r="C27" s="25" t="s">
        <v>77</v>
      </c>
      <c r="D27" s="26" t="s">
        <v>280</v>
      </c>
      <c r="E27" s="26" t="s">
        <v>281</v>
      </c>
      <c r="F27" s="26" t="s">
        <v>282</v>
      </c>
      <c r="G27" s="26" t="s">
        <v>175</v>
      </c>
      <c r="H27" s="26" t="s">
        <v>283</v>
      </c>
      <c r="I27" s="25" t="s">
        <v>184</v>
      </c>
      <c r="J27" s="26"/>
      <c r="K27" s="25" t="s">
        <v>284</v>
      </c>
      <c r="L27" s="29" t="s">
        <v>285</v>
      </c>
      <c r="M27" s="28" t="n">
        <v>3635</v>
      </c>
    </row>
    <row r="28" customFormat="false" ht="24.75" hidden="false" customHeight="true" outlineLevel="0" collapsed="false">
      <c r="A28" s="24" t="n">
        <v>24</v>
      </c>
      <c r="B28" s="25" t="s">
        <v>96</v>
      </c>
      <c r="C28" s="25" t="s">
        <v>16</v>
      </c>
      <c r="D28" s="26" t="s">
        <v>280</v>
      </c>
      <c r="E28" s="26" t="s">
        <v>286</v>
      </c>
      <c r="F28" s="26" t="s">
        <v>287</v>
      </c>
      <c r="G28" s="26" t="s">
        <v>202</v>
      </c>
      <c r="H28" s="26" t="s">
        <v>288</v>
      </c>
      <c r="I28" s="25" t="s">
        <v>289</v>
      </c>
      <c r="J28" s="26"/>
      <c r="K28" s="26"/>
      <c r="L28" s="29"/>
      <c r="M28" s="28" t="n">
        <v>2246.35</v>
      </c>
    </row>
    <row r="29" customFormat="false" ht="24.75" hidden="false" customHeight="true" outlineLevel="0" collapsed="false">
      <c r="A29" s="24" t="n">
        <v>25</v>
      </c>
      <c r="B29" s="25" t="s">
        <v>98</v>
      </c>
      <c r="C29" s="25" t="s">
        <v>16</v>
      </c>
      <c r="D29" s="26" t="s">
        <v>290</v>
      </c>
      <c r="E29" s="26" t="s">
        <v>291</v>
      </c>
      <c r="F29" s="26" t="s">
        <v>292</v>
      </c>
      <c r="G29" s="26" t="s">
        <v>175</v>
      </c>
      <c r="H29" s="26" t="s">
        <v>293</v>
      </c>
      <c r="I29" s="26" t="s">
        <v>177</v>
      </c>
      <c r="J29" s="26"/>
      <c r="K29" s="26"/>
      <c r="L29" s="29"/>
      <c r="M29" s="28" t="n">
        <v>2065</v>
      </c>
    </row>
    <row r="30" customFormat="false" ht="24.75" hidden="false" customHeight="true" outlineLevel="0" collapsed="false">
      <c r="A30" s="24" t="n">
        <v>26</v>
      </c>
      <c r="B30" s="25" t="s">
        <v>99</v>
      </c>
      <c r="C30" s="25" t="s">
        <v>16</v>
      </c>
      <c r="D30" s="26" t="s">
        <v>294</v>
      </c>
      <c r="E30" s="26" t="s">
        <v>295</v>
      </c>
      <c r="F30" s="26" t="s">
        <v>296</v>
      </c>
      <c r="G30" s="26" t="s">
        <v>202</v>
      </c>
      <c r="H30" s="26" t="s">
        <v>297</v>
      </c>
      <c r="I30" s="25" t="s">
        <v>289</v>
      </c>
      <c r="J30" s="26"/>
      <c r="K30" s="26"/>
      <c r="L30" s="29"/>
      <c r="M30" s="28" t="n">
        <v>1915.38</v>
      </c>
    </row>
    <row r="31" customFormat="false" ht="24.75" hidden="false" customHeight="true" outlineLevel="0" collapsed="false">
      <c r="A31" s="24" t="n">
        <v>27</v>
      </c>
      <c r="B31" s="25" t="s">
        <v>101</v>
      </c>
      <c r="C31" s="25" t="s">
        <v>16</v>
      </c>
      <c r="D31" s="26" t="s">
        <v>298</v>
      </c>
      <c r="E31" s="26" t="s">
        <v>299</v>
      </c>
      <c r="F31" s="26" t="s">
        <v>300</v>
      </c>
      <c r="G31" s="26" t="s">
        <v>175</v>
      </c>
      <c r="H31" s="26"/>
      <c r="I31" s="26" t="s">
        <v>177</v>
      </c>
      <c r="J31" s="26"/>
      <c r="K31" s="26"/>
      <c r="L31" s="29"/>
      <c r="M31" s="28" t="n">
        <v>1366.55</v>
      </c>
    </row>
    <row r="32" customFormat="false" ht="24.75" hidden="false" customHeight="true" outlineLevel="0" collapsed="false">
      <c r="A32" s="24" t="n">
        <v>28</v>
      </c>
      <c r="B32" s="25" t="s">
        <v>102</v>
      </c>
      <c r="C32" s="25" t="s">
        <v>16</v>
      </c>
      <c r="D32" s="26" t="s">
        <v>301</v>
      </c>
      <c r="E32" s="26" t="s">
        <v>302</v>
      </c>
      <c r="F32" s="26" t="s">
        <v>303</v>
      </c>
      <c r="G32" s="26" t="s">
        <v>175</v>
      </c>
      <c r="H32" s="26" t="s">
        <v>304</v>
      </c>
      <c r="I32" s="26" t="s">
        <v>177</v>
      </c>
      <c r="J32" s="26"/>
      <c r="K32" s="26"/>
      <c r="L32" s="29"/>
      <c r="M32" s="28" t="n">
        <v>992.29</v>
      </c>
    </row>
    <row r="33" customFormat="false" ht="57.75" hidden="false" customHeight="true" outlineLevel="0" collapsed="false">
      <c r="A33" s="24" t="n">
        <v>29</v>
      </c>
      <c r="B33" s="25" t="s">
        <v>103</v>
      </c>
      <c r="C33" s="25" t="s">
        <v>45</v>
      </c>
      <c r="D33" s="25" t="s">
        <v>305</v>
      </c>
      <c r="E33" s="26" t="s">
        <v>306</v>
      </c>
      <c r="F33" s="26" t="s">
        <v>307</v>
      </c>
      <c r="G33" s="26" t="s">
        <v>175</v>
      </c>
      <c r="H33" s="26"/>
      <c r="I33" s="26" t="s">
        <v>177</v>
      </c>
      <c r="J33" s="26"/>
      <c r="K33" s="26" t="s">
        <v>308</v>
      </c>
      <c r="L33" s="29" t="s">
        <v>309</v>
      </c>
      <c r="M33" s="28" t="n">
        <v>771.46</v>
      </c>
    </row>
    <row r="34" customFormat="false" ht="57.75" hidden="false" customHeight="true" outlineLevel="0" collapsed="false">
      <c r="A34" s="24" t="n">
        <v>30</v>
      </c>
      <c r="B34" s="25" t="s">
        <v>104</v>
      </c>
      <c r="C34" s="25" t="s">
        <v>16</v>
      </c>
      <c r="D34" s="26" t="s">
        <v>310</v>
      </c>
      <c r="E34" s="26" t="s">
        <v>311</v>
      </c>
      <c r="F34" s="26" t="s">
        <v>312</v>
      </c>
      <c r="G34" s="26" t="s">
        <v>175</v>
      </c>
      <c r="H34" s="26" t="s">
        <v>313</v>
      </c>
      <c r="I34" s="25" t="s">
        <v>289</v>
      </c>
      <c r="J34" s="26"/>
      <c r="K34" s="26" t="s">
        <v>314</v>
      </c>
      <c r="L34" s="29" t="s">
        <v>315</v>
      </c>
      <c r="M34" s="28" t="n">
        <v>353.22</v>
      </c>
    </row>
    <row r="35" customFormat="false" ht="14.25" hidden="false" customHeight="true" outlineLevel="0" collapsed="false">
      <c r="A35" s="24" t="n">
        <v>31</v>
      </c>
      <c r="B35" s="25" t="s">
        <v>106</v>
      </c>
      <c r="C35" s="25" t="s">
        <v>33</v>
      </c>
      <c r="D35" s="26" t="s">
        <v>316</v>
      </c>
      <c r="E35" s="26" t="s">
        <v>317</v>
      </c>
      <c r="F35" s="26" t="s">
        <v>318</v>
      </c>
      <c r="G35" s="26" t="s">
        <v>175</v>
      </c>
      <c r="H35" s="26"/>
      <c r="I35" s="26" t="s">
        <v>177</v>
      </c>
      <c r="J35" s="26"/>
      <c r="K35" s="26"/>
      <c r="L35" s="29"/>
      <c r="M35" s="28" t="n">
        <v>99.53</v>
      </c>
    </row>
    <row r="36" customFormat="false" ht="24.75" hidden="false" customHeight="true" outlineLevel="0" collapsed="false">
      <c r="A36" s="24" t="n">
        <v>32</v>
      </c>
      <c r="B36" s="31" t="s">
        <v>113</v>
      </c>
      <c r="C36" s="25" t="s">
        <v>16</v>
      </c>
      <c r="D36" s="26" t="s">
        <v>319</v>
      </c>
      <c r="E36" s="26" t="s">
        <v>320</v>
      </c>
      <c r="F36" s="26" t="s">
        <v>321</v>
      </c>
      <c r="G36" s="26" t="s">
        <v>175</v>
      </c>
      <c r="H36" s="26" t="s">
        <v>322</v>
      </c>
      <c r="I36" s="25" t="s">
        <v>184</v>
      </c>
      <c r="J36" s="26"/>
      <c r="K36" s="26"/>
      <c r="L36" s="29"/>
      <c r="M36" s="28" t="n">
        <v>1797.56</v>
      </c>
    </row>
    <row r="37" customFormat="false" ht="14.25" hidden="false" customHeight="true" outlineLevel="0" collapsed="false">
      <c r="A37" s="24" t="n">
        <v>33</v>
      </c>
      <c r="B37" s="31" t="s">
        <v>115</v>
      </c>
      <c r="C37" s="25" t="s">
        <v>72</v>
      </c>
      <c r="D37" s="26" t="s">
        <v>323</v>
      </c>
      <c r="E37" s="26" t="s">
        <v>324</v>
      </c>
      <c r="F37" s="26" t="s">
        <v>325</v>
      </c>
      <c r="G37" s="26"/>
      <c r="H37" s="26"/>
      <c r="I37" s="26"/>
      <c r="J37" s="26"/>
      <c r="K37" s="26"/>
      <c r="L37" s="29"/>
      <c r="M37" s="28" t="n">
        <v>16.94</v>
      </c>
    </row>
    <row r="38" customFormat="false" ht="14.25" hidden="false" customHeight="true" outlineLevel="0" collapsed="false">
      <c r="A38" s="32" t="n">
        <v>34</v>
      </c>
      <c r="B38" s="33" t="s">
        <v>116</v>
      </c>
      <c r="C38" s="34" t="s">
        <v>33</v>
      </c>
      <c r="D38" s="35" t="s">
        <v>326</v>
      </c>
      <c r="E38" s="35" t="s">
        <v>327</v>
      </c>
      <c r="F38" s="35" t="s">
        <v>328</v>
      </c>
      <c r="G38" s="35" t="s">
        <v>175</v>
      </c>
      <c r="H38" s="35"/>
      <c r="I38" s="35" t="s">
        <v>177</v>
      </c>
      <c r="J38" s="35"/>
      <c r="K38" s="35"/>
      <c r="L38" s="36"/>
      <c r="M38" s="37" t="n">
        <v>2.37</v>
      </c>
    </row>
  </sheetData>
  <hyperlinks>
    <hyperlink ref="L5" r:id="rId1" display="https://www.business-standard.com/search?q=New%20India%20Assurance"/>
    <hyperlink ref="L6" r:id="rId2" display="https://www.business-standard.com/markets/capital-market-news/tcs-helps-icici-lombard-achieve-dr-switchover-on-aws-cloud-125082500488_1.html"/>
    <hyperlink ref="L10" r:id="rId3" display="https://insuranceasia.com/insurance/news/central-bank-india-tata-aig-offer-insurance-msme-payments"/>
    <hyperlink ref="L11" r:id="rId4" display="https://www.business-standard.com/finance/personal-finance/star-health-care-niva-bupa-record-most-policyholder-complaints-in-fy24-125090100487_1.html"/>
    <hyperlink ref="L14" r:id="rId5" display="https://www.business-standard.com/content/press-releases-ani/sbi-general-insurance-launches-unique-health-scanning-feature-on-its-mobile-app-125091900982_1.html"/>
    <hyperlink ref="L18" r:id="rId6" display="https://www.business-standard.com/finance/personal-finance/star-health-care-niva-bupa-record-most-policyholder-complaints-in-fy24-125090100487_1.html"/>
    <hyperlink ref="L19" r:id="rId7" display="https://www.business-standard.com/finance/insurance/iffco-tokio-enters-surety-bonds-market-to-support-infra-growth-125050601178_1.html"/>
    <hyperlink ref="L20" r:id="rId8" display="https://www.business-standard.com/companies/news/cholamandalam-ms-general-insurance-likely-to-go-public-in-five-years-md-125062301122_1.html"/>
    <hyperlink ref="L21" r:id="rId9" display="https://www.business-standard.com/finance/personal-finance/star-health-care-niva-bupa-record-most-policyholder-complaints-in-fy24-125090100487_1.html"/>
    <hyperlink ref="L23" r:id="rId10" display="https://www.business-standard.com/content/press-releases-ani/universal-sompo-extends-insurance-coverage-to-pets-125062800275_1.html"/>
    <hyperlink ref="L24" r:id="rId11" display="https://www.business-standard.com/markets/capital-market-news/vakrangee-partners-with-aditya-birla-health-insurance-125022700332_1.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8203125" defaultRowHeight="12" zeroHeight="false" outlineLevelRow="0" outlineLevelCol="0"/>
  <cols>
    <col collapsed="false" customWidth="true" hidden="false" outlineLevel="0" max="1" min="1" style="2" width="8.54"/>
    <col collapsed="false" customWidth="true" hidden="false" outlineLevel="0" max="2" min="2" style="19" width="35.54"/>
    <col collapsed="false" customWidth="true" hidden="false" outlineLevel="0" max="3" min="3" style="19" width="18.18"/>
    <col collapsed="false" customWidth="true" hidden="false" outlineLevel="0" max="4" min="4" style="2" width="17.18"/>
    <col collapsed="false" customWidth="true" hidden="false" outlineLevel="0" max="5" min="5" style="2" width="19.54"/>
    <col collapsed="false" customWidth="true" hidden="false" outlineLevel="0" max="6" min="6" style="2" width="31.82"/>
    <col collapsed="false" customWidth="true" hidden="false" outlineLevel="0" max="7" min="7" style="2" width="14.82"/>
    <col collapsed="false" customWidth="true" hidden="false" outlineLevel="0" max="8" min="8" style="2" width="15.45"/>
    <col collapsed="false" customWidth="true" hidden="false" outlineLevel="0" max="9" min="9" style="2" width="39.82"/>
    <col collapsed="false" customWidth="true" hidden="true" outlineLevel="0" max="10" min="10" style="2" width="17.45"/>
    <col collapsed="false" customWidth="true" hidden="false" outlineLevel="0" max="11" min="11" style="2" width="63.45"/>
    <col collapsed="false" customWidth="true" hidden="false" outlineLevel="0" max="12" min="12" style="19" width="39.45"/>
    <col collapsed="false" customWidth="true" hidden="false" outlineLevel="0" max="13" min="13" style="19" width="20.18"/>
    <col collapsed="false" customWidth="false" hidden="false" outlineLevel="0" max="16384" min="14" style="2" width="8.82"/>
  </cols>
  <sheetData>
    <row r="1" customFormat="false" ht="13.5" hidden="false" customHeight="true" outlineLevel="0" collapsed="false">
      <c r="A1" s="20" t="s">
        <v>329</v>
      </c>
    </row>
    <row r="2" customFormat="false" ht="13.5" hidden="false" customHeight="true" outlineLevel="0" collapsed="false">
      <c r="A2" s="20" t="s">
        <v>162</v>
      </c>
    </row>
    <row r="3" customFormat="false" ht="37.5" hidden="false" customHeight="true" outlineLevel="0" collapsed="false">
      <c r="B3" s="19" t="s">
        <v>330</v>
      </c>
    </row>
    <row r="4" customFormat="false" ht="13.5" hidden="false" customHeight="true" outlineLevel="0" collapsed="false">
      <c r="A4" s="22" t="s">
        <v>6</v>
      </c>
      <c r="B4" s="23" t="s">
        <v>7</v>
      </c>
      <c r="C4" s="8" t="s">
        <v>9</v>
      </c>
      <c r="D4" s="22" t="s">
        <v>163</v>
      </c>
      <c r="E4" s="22" t="s">
        <v>164</v>
      </c>
      <c r="F4" s="22" t="s">
        <v>165</v>
      </c>
      <c r="G4" s="22" t="s">
        <v>166</v>
      </c>
      <c r="H4" s="22" t="s">
        <v>167</v>
      </c>
      <c r="I4" s="22" t="s">
        <v>168</v>
      </c>
      <c r="J4" s="22" t="s">
        <v>169</v>
      </c>
      <c r="K4" s="22" t="s">
        <v>170</v>
      </c>
      <c r="L4" s="23" t="s">
        <v>331</v>
      </c>
      <c r="M4" s="8" t="s">
        <v>12</v>
      </c>
    </row>
    <row r="5" customFormat="false" ht="37.5" hidden="false" customHeight="true" outlineLevel="0" collapsed="false">
      <c r="A5" s="38" t="n">
        <v>1</v>
      </c>
      <c r="B5" s="39" t="s">
        <v>14</v>
      </c>
      <c r="C5" s="39" t="s">
        <v>16</v>
      </c>
      <c r="D5" s="40" t="s">
        <v>332</v>
      </c>
      <c r="E5" s="40" t="s">
        <v>333</v>
      </c>
      <c r="F5" s="40" t="s">
        <v>334</v>
      </c>
      <c r="G5" s="40" t="s">
        <v>175</v>
      </c>
      <c r="H5" s="40" t="s">
        <v>176</v>
      </c>
      <c r="I5" s="39" t="s">
        <v>335</v>
      </c>
      <c r="J5" s="40"/>
      <c r="K5" s="39" t="s">
        <v>145</v>
      </c>
      <c r="L5" s="41"/>
      <c r="M5" s="42" t="n">
        <v>488848.92</v>
      </c>
    </row>
    <row r="6" customFormat="false" ht="24.75" hidden="false" customHeight="true" outlineLevel="0" collapsed="false">
      <c r="A6" s="24" t="n">
        <v>2</v>
      </c>
      <c r="B6" s="25" t="s">
        <v>18</v>
      </c>
      <c r="C6" s="25" t="s">
        <v>16</v>
      </c>
      <c r="D6" s="26" t="s">
        <v>336</v>
      </c>
      <c r="E6" s="26" t="s">
        <v>337</v>
      </c>
      <c r="F6" s="26" t="s">
        <v>338</v>
      </c>
      <c r="G6" s="26" t="s">
        <v>175</v>
      </c>
      <c r="H6" s="26" t="s">
        <v>221</v>
      </c>
      <c r="I6" s="25" t="s">
        <v>184</v>
      </c>
      <c r="J6" s="26"/>
      <c r="K6" s="25" t="s">
        <v>339</v>
      </c>
      <c r="L6" s="43" t="s">
        <v>340</v>
      </c>
      <c r="M6" s="28" t="n">
        <v>84984.63</v>
      </c>
    </row>
    <row r="7" customFormat="false" ht="99.75" hidden="false" customHeight="true" outlineLevel="0" collapsed="false">
      <c r="A7" s="24" t="n">
        <v>3</v>
      </c>
      <c r="B7" s="25" t="s">
        <v>19</v>
      </c>
      <c r="C7" s="25" t="s">
        <v>16</v>
      </c>
      <c r="D7" s="26" t="s">
        <v>341</v>
      </c>
      <c r="E7" s="26" t="s">
        <v>342</v>
      </c>
      <c r="F7" s="26" t="s">
        <v>343</v>
      </c>
      <c r="G7" s="26" t="s">
        <v>175</v>
      </c>
      <c r="H7" s="26" t="s">
        <v>217</v>
      </c>
      <c r="I7" s="25" t="s">
        <v>184</v>
      </c>
      <c r="J7" s="26"/>
      <c r="K7" s="25" t="s">
        <v>344</v>
      </c>
      <c r="L7" s="25" t="s">
        <v>345</v>
      </c>
      <c r="M7" s="28" t="n">
        <v>71044.91</v>
      </c>
    </row>
    <row r="8" customFormat="false" ht="24.75" hidden="false" customHeight="true" outlineLevel="0" collapsed="false">
      <c r="A8" s="24" t="n">
        <v>4</v>
      </c>
      <c r="B8" s="25" t="s">
        <v>20</v>
      </c>
      <c r="C8" s="25" t="s">
        <v>16</v>
      </c>
      <c r="D8" s="26" t="s">
        <v>346</v>
      </c>
      <c r="E8" s="26" t="s">
        <v>347</v>
      </c>
      <c r="F8" s="26" t="s">
        <v>348</v>
      </c>
      <c r="G8" s="26" t="s">
        <v>175</v>
      </c>
      <c r="H8" s="26" t="s">
        <v>183</v>
      </c>
      <c r="I8" s="25" t="s">
        <v>184</v>
      </c>
      <c r="J8" s="26"/>
      <c r="K8" s="25" t="s">
        <v>349</v>
      </c>
      <c r="L8" s="26"/>
      <c r="M8" s="28" t="n">
        <v>48950.71</v>
      </c>
    </row>
    <row r="9" customFormat="false" ht="87" hidden="false" customHeight="true" outlineLevel="0" collapsed="false">
      <c r="A9" s="24" t="n">
        <v>5</v>
      </c>
      <c r="B9" s="25" t="s">
        <v>22</v>
      </c>
      <c r="C9" s="25" t="s">
        <v>23</v>
      </c>
      <c r="D9" s="26" t="s">
        <v>350</v>
      </c>
      <c r="E9" s="26" t="s">
        <v>351</v>
      </c>
      <c r="F9" s="26" t="s">
        <v>352</v>
      </c>
      <c r="G9" s="26" t="s">
        <v>190</v>
      </c>
      <c r="H9" s="26" t="s">
        <v>304</v>
      </c>
      <c r="I9" s="25" t="s">
        <v>192</v>
      </c>
      <c r="J9" s="26"/>
      <c r="K9" s="25" t="s">
        <v>353</v>
      </c>
      <c r="L9" s="44" t="s">
        <v>354</v>
      </c>
      <c r="M9" s="28" t="n">
        <v>33223</v>
      </c>
    </row>
    <row r="10" customFormat="false" ht="24.75" hidden="false" customHeight="true" outlineLevel="0" collapsed="false">
      <c r="A10" s="24" t="n">
        <v>6</v>
      </c>
      <c r="B10" s="25" t="s">
        <v>24</v>
      </c>
      <c r="C10" s="25" t="s">
        <v>16</v>
      </c>
      <c r="D10" s="26" t="s">
        <v>355</v>
      </c>
      <c r="E10" s="26" t="s">
        <v>356</v>
      </c>
      <c r="F10" s="26" t="s">
        <v>357</v>
      </c>
      <c r="G10" s="26" t="s">
        <v>202</v>
      </c>
      <c r="H10" s="26" t="s">
        <v>203</v>
      </c>
      <c r="I10" s="25" t="s">
        <v>184</v>
      </c>
      <c r="J10" s="26"/>
      <c r="K10" s="25" t="s">
        <v>358</v>
      </c>
      <c r="L10" s="26"/>
      <c r="M10" s="28" t="n">
        <v>31483.6</v>
      </c>
    </row>
    <row r="11" customFormat="false" ht="24.75" hidden="false" customHeight="true" outlineLevel="0" collapsed="false">
      <c r="A11" s="24" t="n">
        <v>7</v>
      </c>
      <c r="B11" s="25" t="s">
        <v>26</v>
      </c>
      <c r="C11" s="25" t="s">
        <v>27</v>
      </c>
      <c r="D11" s="26" t="s">
        <v>359</v>
      </c>
      <c r="E11" s="26" t="s">
        <v>360</v>
      </c>
      <c r="F11" s="26" t="s">
        <v>361</v>
      </c>
      <c r="G11" s="26" t="s">
        <v>175</v>
      </c>
      <c r="H11" s="26" t="s">
        <v>191</v>
      </c>
      <c r="I11" s="25" t="s">
        <v>289</v>
      </c>
      <c r="J11" s="26"/>
      <c r="K11" s="26"/>
      <c r="L11" s="26"/>
      <c r="M11" s="28" t="n">
        <v>27160.06</v>
      </c>
    </row>
    <row r="12" customFormat="false" ht="24.75" hidden="false" customHeight="true" outlineLevel="0" collapsed="false">
      <c r="A12" s="24" t="n">
        <v>8</v>
      </c>
      <c r="B12" s="25" t="s">
        <v>29</v>
      </c>
      <c r="C12" s="25" t="s">
        <v>16</v>
      </c>
      <c r="D12" s="26" t="s">
        <v>362</v>
      </c>
      <c r="E12" s="26" t="s">
        <v>362</v>
      </c>
      <c r="F12" s="26" t="s">
        <v>363</v>
      </c>
      <c r="G12" s="26" t="s">
        <v>175</v>
      </c>
      <c r="H12" s="26" t="s">
        <v>267</v>
      </c>
      <c r="I12" s="25" t="s">
        <v>184</v>
      </c>
      <c r="J12" s="26"/>
      <c r="K12" s="26"/>
      <c r="L12" s="26"/>
      <c r="M12" s="28" t="n">
        <v>20638.77</v>
      </c>
    </row>
    <row r="13" customFormat="false" ht="24.75" hidden="false" customHeight="true" outlineLevel="0" collapsed="false">
      <c r="A13" s="24" t="n">
        <v>9</v>
      </c>
      <c r="B13" s="25" t="s">
        <v>31</v>
      </c>
      <c r="C13" s="25" t="s">
        <v>16</v>
      </c>
      <c r="D13" s="26" t="s">
        <v>364</v>
      </c>
      <c r="E13" s="26" t="s">
        <v>365</v>
      </c>
      <c r="F13" s="26" t="s">
        <v>366</v>
      </c>
      <c r="G13" s="26" t="s">
        <v>175</v>
      </c>
      <c r="H13" s="26" t="s">
        <v>183</v>
      </c>
      <c r="I13" s="25" t="s">
        <v>184</v>
      </c>
      <c r="J13" s="26"/>
      <c r="K13" s="26"/>
      <c r="L13" s="26"/>
      <c r="M13" s="28" t="n">
        <v>18375.67</v>
      </c>
    </row>
    <row r="14" customFormat="false" ht="24.75" hidden="false" customHeight="true" outlineLevel="0" collapsed="false">
      <c r="A14" s="24" t="n">
        <v>10</v>
      </c>
      <c r="B14" s="25" t="s">
        <v>32</v>
      </c>
      <c r="C14" s="25" t="s">
        <v>33</v>
      </c>
      <c r="D14" s="26" t="s">
        <v>367</v>
      </c>
      <c r="E14" s="26" t="s">
        <v>368</v>
      </c>
      <c r="F14" s="26" t="s">
        <v>369</v>
      </c>
      <c r="G14" s="26" t="s">
        <v>175</v>
      </c>
      <c r="H14" s="26" t="s">
        <v>370</v>
      </c>
      <c r="I14" s="25" t="s">
        <v>184</v>
      </c>
      <c r="J14" s="26"/>
      <c r="K14" s="26"/>
      <c r="L14" s="26"/>
      <c r="M14" s="28" t="n">
        <v>11752.39</v>
      </c>
    </row>
    <row r="15" customFormat="false" ht="24.75" hidden="false" customHeight="true" outlineLevel="0" collapsed="false">
      <c r="A15" s="24" t="n">
        <v>11</v>
      </c>
      <c r="B15" s="25" t="s">
        <v>35</v>
      </c>
      <c r="C15" s="25" t="s">
        <v>16</v>
      </c>
      <c r="D15" s="26" t="s">
        <v>371</v>
      </c>
      <c r="E15" s="26" t="s">
        <v>372</v>
      </c>
      <c r="F15" s="26" t="s">
        <v>373</v>
      </c>
      <c r="G15" s="26" t="s">
        <v>175</v>
      </c>
      <c r="H15" s="26"/>
      <c r="I15" s="26" t="s">
        <v>177</v>
      </c>
      <c r="J15" s="26"/>
      <c r="K15" s="26"/>
      <c r="L15" s="26"/>
      <c r="M15" s="28" t="n">
        <v>8260.38</v>
      </c>
    </row>
    <row r="16" customFormat="false" ht="87" hidden="false" customHeight="true" outlineLevel="0" collapsed="false">
      <c r="A16" s="24" t="n">
        <v>12</v>
      </c>
      <c r="B16" s="25" t="s">
        <v>37</v>
      </c>
      <c r="C16" s="25" t="s">
        <v>38</v>
      </c>
      <c r="D16" s="26" t="s">
        <v>374</v>
      </c>
      <c r="E16" s="26" t="s">
        <v>375</v>
      </c>
      <c r="F16" s="26" t="s">
        <v>376</v>
      </c>
      <c r="G16" s="26" t="s">
        <v>175</v>
      </c>
      <c r="H16" s="26" t="s">
        <v>176</v>
      </c>
      <c r="I16" s="26" t="s">
        <v>177</v>
      </c>
      <c r="J16" s="26"/>
      <c r="K16" s="25" t="s">
        <v>377</v>
      </c>
      <c r="L16" s="44" t="s">
        <v>378</v>
      </c>
      <c r="M16" s="28" t="n">
        <v>8027.46</v>
      </c>
    </row>
    <row r="17" customFormat="false" ht="24.75" hidden="false" customHeight="true" outlineLevel="0" collapsed="false">
      <c r="A17" s="24" t="n">
        <v>13</v>
      </c>
      <c r="B17" s="25" t="s">
        <v>40</v>
      </c>
      <c r="C17" s="25" t="s">
        <v>16</v>
      </c>
      <c r="D17" s="26" t="s">
        <v>379</v>
      </c>
      <c r="E17" s="26" t="s">
        <v>380</v>
      </c>
      <c r="F17" s="26" t="s">
        <v>381</v>
      </c>
      <c r="G17" s="26" t="s">
        <v>175</v>
      </c>
      <c r="H17" s="26" t="s">
        <v>176</v>
      </c>
      <c r="I17" s="25" t="s">
        <v>382</v>
      </c>
      <c r="J17" s="26"/>
      <c r="K17" s="26"/>
      <c r="L17" s="25"/>
      <c r="M17" s="28" t="n">
        <v>7218.1</v>
      </c>
    </row>
    <row r="18" customFormat="false" ht="57.75" hidden="false" customHeight="true" outlineLevel="0" collapsed="false">
      <c r="A18" s="24" t="n">
        <v>14</v>
      </c>
      <c r="B18" s="25" t="s">
        <v>42</v>
      </c>
      <c r="C18" s="25" t="s">
        <v>16</v>
      </c>
      <c r="D18" s="26" t="s">
        <v>383</v>
      </c>
      <c r="E18" s="26" t="s">
        <v>384</v>
      </c>
      <c r="F18" s="26" t="s">
        <v>385</v>
      </c>
      <c r="G18" s="26" t="s">
        <v>175</v>
      </c>
      <c r="H18" s="26" t="s">
        <v>386</v>
      </c>
      <c r="I18" s="26" t="s">
        <v>177</v>
      </c>
      <c r="J18" s="26"/>
      <c r="K18" s="25" t="s">
        <v>387</v>
      </c>
      <c r="L18" s="44" t="s">
        <v>388</v>
      </c>
      <c r="M18" s="28" t="n">
        <v>5710.68</v>
      </c>
    </row>
    <row r="19" customFormat="false" ht="75" hidden="false" customHeight="true" outlineLevel="0" collapsed="false">
      <c r="A19" s="24" t="n">
        <v>15</v>
      </c>
      <c r="B19" s="25" t="s">
        <v>44</v>
      </c>
      <c r="C19" s="25" t="s">
        <v>45</v>
      </c>
      <c r="D19" s="26" t="s">
        <v>389</v>
      </c>
      <c r="E19" s="26" t="s">
        <v>390</v>
      </c>
      <c r="F19" s="26" t="s">
        <v>391</v>
      </c>
      <c r="G19" s="26" t="s">
        <v>175</v>
      </c>
      <c r="H19" s="26" t="s">
        <v>279</v>
      </c>
      <c r="I19" s="25" t="s">
        <v>184</v>
      </c>
      <c r="J19" s="26"/>
      <c r="K19" s="25" t="s">
        <v>392</v>
      </c>
      <c r="L19" s="44" t="s">
        <v>393</v>
      </c>
      <c r="M19" s="28" t="n">
        <v>4216.42</v>
      </c>
    </row>
    <row r="20" customFormat="false" ht="115.5" hidden="false" customHeight="true" outlineLevel="0" collapsed="false">
      <c r="A20" s="24" t="n">
        <v>16</v>
      </c>
      <c r="B20" s="25" t="s">
        <v>47</v>
      </c>
      <c r="C20" s="25" t="s">
        <v>16</v>
      </c>
      <c r="D20" s="26" t="s">
        <v>394</v>
      </c>
      <c r="E20" s="26" t="s">
        <v>395</v>
      </c>
      <c r="F20" s="26" t="s">
        <v>396</v>
      </c>
      <c r="G20" s="26" t="s">
        <v>175</v>
      </c>
      <c r="H20" s="26" t="s">
        <v>183</v>
      </c>
      <c r="I20" s="26" t="s">
        <v>177</v>
      </c>
      <c r="J20" s="26"/>
      <c r="K20" s="25" t="s">
        <v>397</v>
      </c>
      <c r="L20" s="44" t="s">
        <v>398</v>
      </c>
      <c r="M20" s="28" t="n">
        <v>3072.74</v>
      </c>
    </row>
    <row r="21" customFormat="false" ht="12" hidden="false" customHeight="true" outlineLevel="0" collapsed="false">
      <c r="A21" s="24" t="n">
        <v>17</v>
      </c>
      <c r="B21" s="25" t="s">
        <v>49</v>
      </c>
      <c r="C21" s="25" t="s">
        <v>16</v>
      </c>
      <c r="D21" s="26" t="s">
        <v>399</v>
      </c>
      <c r="E21" s="26" t="s">
        <v>400</v>
      </c>
      <c r="F21" s="26" t="s">
        <v>401</v>
      </c>
      <c r="G21" s="26" t="s">
        <v>175</v>
      </c>
      <c r="H21" s="26" t="s">
        <v>402</v>
      </c>
      <c r="I21" s="26" t="s">
        <v>177</v>
      </c>
      <c r="J21" s="26"/>
      <c r="K21" s="26"/>
      <c r="L21" s="26"/>
      <c r="M21" s="28" t="n">
        <v>2979.95</v>
      </c>
    </row>
    <row r="22" customFormat="false" ht="43.5" hidden="false" customHeight="true" outlineLevel="0" collapsed="false">
      <c r="A22" s="24" t="n">
        <v>18</v>
      </c>
      <c r="B22" s="25" t="s">
        <v>50</v>
      </c>
      <c r="C22" s="25" t="s">
        <v>16</v>
      </c>
      <c r="D22" s="26" t="s">
        <v>403</v>
      </c>
      <c r="E22" s="26" t="s">
        <v>404</v>
      </c>
      <c r="F22" s="26" t="s">
        <v>405</v>
      </c>
      <c r="G22" s="26" t="s">
        <v>202</v>
      </c>
      <c r="H22" s="26" t="s">
        <v>406</v>
      </c>
      <c r="I22" s="25" t="s">
        <v>184</v>
      </c>
      <c r="J22" s="26"/>
      <c r="K22" s="25" t="s">
        <v>407</v>
      </c>
      <c r="L22" s="44" t="s">
        <v>408</v>
      </c>
      <c r="M22" s="28" t="n">
        <v>2510.85</v>
      </c>
    </row>
    <row r="23" customFormat="false" ht="28.5" hidden="false" customHeight="true" outlineLevel="0" collapsed="false">
      <c r="A23" s="24" t="n">
        <v>19</v>
      </c>
      <c r="B23" s="25" t="s">
        <v>54</v>
      </c>
      <c r="C23" s="25" t="s">
        <v>38</v>
      </c>
      <c r="D23" s="26" t="s">
        <v>409</v>
      </c>
      <c r="E23" s="26" t="s">
        <v>410</v>
      </c>
      <c r="F23" s="26" t="s">
        <v>411</v>
      </c>
      <c r="G23" s="26" t="s">
        <v>175</v>
      </c>
      <c r="H23" s="26" t="s">
        <v>412</v>
      </c>
      <c r="I23" s="25" t="s">
        <v>184</v>
      </c>
      <c r="J23" s="26"/>
      <c r="K23" s="25" t="s">
        <v>413</v>
      </c>
      <c r="L23" s="44" t="s">
        <v>414</v>
      </c>
      <c r="M23" s="28" t="n">
        <v>2074.43</v>
      </c>
    </row>
    <row r="24" customFormat="false" ht="14.25" hidden="false" customHeight="true" outlineLevel="0" collapsed="false">
      <c r="A24" s="24" t="n">
        <v>20</v>
      </c>
      <c r="B24" s="25" t="s">
        <v>60</v>
      </c>
      <c r="C24" s="25" t="s">
        <v>27</v>
      </c>
      <c r="D24" s="26" t="s">
        <v>415</v>
      </c>
      <c r="E24" s="26" t="s">
        <v>416</v>
      </c>
      <c r="F24" s="26" t="s">
        <v>417</v>
      </c>
      <c r="G24" s="26" t="s">
        <v>175</v>
      </c>
      <c r="H24" s="26"/>
      <c r="I24" s="25" t="s">
        <v>177</v>
      </c>
      <c r="J24" s="26"/>
      <c r="K24" s="25"/>
      <c r="L24" s="45"/>
      <c r="M24" s="28" t="n">
        <v>1069.41</v>
      </c>
    </row>
    <row r="25" customFormat="false" ht="24.75" hidden="false" customHeight="true" outlineLevel="0" collapsed="false">
      <c r="A25" s="24" t="n">
        <v>21</v>
      </c>
      <c r="B25" s="25" t="s">
        <v>52</v>
      </c>
      <c r="C25" s="25" t="s">
        <v>16</v>
      </c>
      <c r="D25" s="26" t="s">
        <v>418</v>
      </c>
      <c r="E25" s="26" t="s">
        <v>419</v>
      </c>
      <c r="F25" s="26" t="s">
        <v>420</v>
      </c>
      <c r="G25" s="26" t="s">
        <v>175</v>
      </c>
      <c r="H25" s="26" t="s">
        <v>304</v>
      </c>
      <c r="I25" s="25" t="s">
        <v>177</v>
      </c>
      <c r="J25" s="26"/>
      <c r="K25" s="25"/>
      <c r="L25" s="25"/>
      <c r="M25" s="28" t="n">
        <v>2092.99</v>
      </c>
    </row>
    <row r="26" customFormat="false" ht="12" hidden="false" customHeight="true" outlineLevel="0" collapsed="false">
      <c r="A26" s="24" t="n">
        <v>22</v>
      </c>
      <c r="B26" s="25" t="s">
        <v>56</v>
      </c>
      <c r="C26" s="25" t="s">
        <v>33</v>
      </c>
      <c r="D26" s="26" t="s">
        <v>421</v>
      </c>
      <c r="E26" s="26" t="s">
        <v>422</v>
      </c>
      <c r="F26" s="26" t="s">
        <v>423</v>
      </c>
      <c r="G26" s="26"/>
      <c r="H26" s="26"/>
      <c r="I26" s="25"/>
      <c r="J26" s="26"/>
      <c r="K26" s="25"/>
      <c r="L26" s="25"/>
      <c r="M26" s="28" t="n">
        <v>1929.5</v>
      </c>
    </row>
    <row r="27" customFormat="false" ht="409.5" hidden="true" customHeight="true" outlineLevel="0" collapsed="false">
      <c r="A27" s="2" t="n">
        <v>23</v>
      </c>
      <c r="B27" s="46" t="s">
        <v>58</v>
      </c>
      <c r="C27" s="46" t="s">
        <v>38</v>
      </c>
      <c r="D27" s="11" t="s">
        <v>424</v>
      </c>
      <c r="E27" s="11" t="s">
        <v>425</v>
      </c>
      <c r="F27" s="11" t="s">
        <v>426</v>
      </c>
      <c r="G27" s="11" t="s">
        <v>202</v>
      </c>
      <c r="H27" s="11" t="s">
        <v>427</v>
      </c>
      <c r="I27" s="46" t="s">
        <v>382</v>
      </c>
      <c r="J27" s="11"/>
      <c r="K27" s="11"/>
      <c r="M27" s="46" t="s">
        <v>428</v>
      </c>
      <c r="W27" s="19" t="s">
        <v>429</v>
      </c>
    </row>
    <row r="28" customFormat="false" ht="43.5" hidden="false" customHeight="true" outlineLevel="0" collapsed="false">
      <c r="A28" s="24" t="n">
        <v>24</v>
      </c>
      <c r="B28" s="25" t="s">
        <v>62</v>
      </c>
      <c r="C28" s="25" t="s">
        <v>16</v>
      </c>
      <c r="D28" s="26" t="s">
        <v>430</v>
      </c>
      <c r="E28" s="26" t="s">
        <v>431</v>
      </c>
      <c r="F28" s="26" t="s">
        <v>432</v>
      </c>
      <c r="G28" s="26" t="s">
        <v>175</v>
      </c>
      <c r="H28" s="26" t="s">
        <v>304</v>
      </c>
      <c r="I28" s="25" t="s">
        <v>177</v>
      </c>
      <c r="J28" s="26"/>
      <c r="K28" s="25" t="s">
        <v>433</v>
      </c>
      <c r="L28" s="45" t="s">
        <v>434</v>
      </c>
      <c r="M28" s="28" t="n">
        <v>512.28</v>
      </c>
    </row>
    <row r="29" customFormat="false" ht="12" hidden="false" customHeight="true" outlineLevel="0" collapsed="false">
      <c r="A29" s="24" t="n">
        <v>25</v>
      </c>
      <c r="B29" s="25" t="s">
        <v>63</v>
      </c>
      <c r="C29" s="25" t="s">
        <v>33</v>
      </c>
      <c r="D29" s="26" t="s">
        <v>290</v>
      </c>
      <c r="E29" s="26" t="s">
        <v>435</v>
      </c>
      <c r="F29" s="26"/>
      <c r="G29" s="26" t="s">
        <v>175</v>
      </c>
      <c r="H29" s="26" t="s">
        <v>293</v>
      </c>
      <c r="I29" s="25" t="s">
        <v>177</v>
      </c>
      <c r="J29" s="26"/>
      <c r="K29" s="25"/>
      <c r="L29" s="25"/>
      <c r="M29" s="28" t="n">
        <v>64.05</v>
      </c>
    </row>
    <row r="30" customFormat="false" ht="72" hidden="false" customHeight="true" outlineLevel="0" collapsed="false">
      <c r="A30" s="32" t="n">
        <v>26</v>
      </c>
      <c r="B30" s="34" t="s">
        <v>64</v>
      </c>
      <c r="C30" s="34" t="s">
        <v>65</v>
      </c>
      <c r="D30" s="35"/>
      <c r="E30" s="35" t="s">
        <v>436</v>
      </c>
      <c r="F30" s="35" t="s">
        <v>437</v>
      </c>
      <c r="G30" s="35"/>
      <c r="H30" s="35"/>
      <c r="I30" s="35"/>
      <c r="J30" s="35"/>
      <c r="K30" s="35" t="s">
        <v>438</v>
      </c>
      <c r="L30" s="47" t="s">
        <v>439</v>
      </c>
      <c r="M30" s="37"/>
    </row>
    <row r="31" customFormat="false" ht="16.5" hidden="false" customHeight="true" outlineLevel="0" collapsed="false">
      <c r="B31" s="48"/>
      <c r="C31" s="48"/>
      <c r="M31" s="48"/>
    </row>
    <row r="32" customFormat="false" ht="16.5" hidden="false" customHeight="true" outlineLevel="0" collapsed="false">
      <c r="B32" s="48"/>
      <c r="C32" s="48"/>
      <c r="M32" s="48"/>
    </row>
  </sheetData>
  <hyperlinks>
    <hyperlink ref="L6" r:id="rId1" display="https://insuranceasia.com/insurance/news/sbi-life-au-small-finance-bank-partner-expand-insurance-in-rural-india"/>
    <hyperlink ref="L9" r:id="rId2" display="https://www.business-standard.com/content/press-releases-ani/axis-max-life-insurance-partners-with-india-post-payments-bank-to-drive-life-insurance-penetration-in-tier-3-tier-4-and-rural-markets-125091001068_1.html"/>
    <hyperlink ref="L16" r:id="rId3" display="https://www.business-standard.com/content/press-releases-ani/canara-hsbc-life-insurance-launches-omnigen-ai-an-industry-first-generative-ai-solution-to-optimize-risk-evaluation-in-underwriting-124112500592_1.html"/>
    <hyperlink ref="L18" r:id="rId4" display="https://www.business-standard.com/companies/news/reliance-nippon-life-in-talks-with-indusind-bank-on-bancassurance-tie-up-124121800909_1.html"/>
    <hyperlink ref="L19" r:id="rId5" display="https://www.business-standard.com/search?q=Shriram%20Life"/>
    <hyperlink ref="L20" r:id="rId6" location=":~:text=Ageas%20Federal%20Life%20Insurance%2C%20one%20of%20India’s%20leading,and%20Individual%20entrepreneurs%2C%20on%20a%20pan%20India%20basis." display="https://www.moneycontrol.com/banking/ageas-federal-life-insurance-and-csb-bank-forge-sme-bancassurance-partnership-article-13624207.html#:~:text=Ageas%20Federal%20Life%20Insurance%2C%20one%20of%20India%E2%80%99s%20leading,and%20Individual%20entrepreneurs%2C%20on%20a%20pan%20India%20basis."/>
    <hyperlink ref="L22" r:id="rId7" display="https://insuranceasia.com/insurance/news/generali-central-rebrands-insurance-venture-digital-focus"/>
    <hyperlink ref="L23" r:id="rId8" display="https://www.business-standard.com/search?q=Pramerica%20Life"/>
    <hyperlink ref="L30" r:id="rId9" display="https://www.angelone.in/news/stocks/sbi-life-insurance-to-acquire-sahara-india-life-assets-after-sat-ruling?msockid=2167906cfca86e7a20de86d2fd7b6f09"/>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6"/>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A4" activeCellId="0" sqref="A4"/>
    </sheetView>
  </sheetViews>
  <sheetFormatPr defaultColWidth="8.8203125" defaultRowHeight="12" zeroHeight="false" outlineLevelRow="0" outlineLevelCol="0"/>
  <cols>
    <col collapsed="false" customWidth="true" hidden="false" outlineLevel="0" max="1" min="1" style="2" width="8.54"/>
    <col collapsed="false" customWidth="true" hidden="false" outlineLevel="0" max="2" min="2" style="2" width="44.18"/>
    <col collapsed="false" customWidth="true" hidden="false" outlineLevel="0" max="4" min="3" style="2" width="19.45"/>
    <col collapsed="false" customWidth="true" hidden="false" outlineLevel="0" max="5" min="5" style="2" width="14.54"/>
    <col collapsed="false" customWidth="true" hidden="false" outlineLevel="0" max="6" min="6" style="2" width="20.45"/>
    <col collapsed="false" customWidth="true" hidden="false" outlineLevel="0" max="7" min="7" style="2" width="32.18"/>
    <col collapsed="false" customWidth="true" hidden="true" outlineLevel="0" max="8" min="8" style="2" width="17.45"/>
    <col collapsed="false" customWidth="true" hidden="false" outlineLevel="0" max="9" min="9" style="2" width="41.82"/>
    <col collapsed="false" customWidth="true" hidden="false" outlineLevel="0" max="10" min="10" style="2" width="19.45"/>
    <col collapsed="false" customWidth="false" hidden="false" outlineLevel="0" max="16384" min="11" style="2" width="8.82"/>
  </cols>
  <sheetData>
    <row r="1" customFormat="false" ht="13.5" hidden="false" customHeight="true" outlineLevel="0" collapsed="false">
      <c r="A1" s="3" t="s">
        <v>440</v>
      </c>
    </row>
    <row r="4" customFormat="false" ht="13.5" hidden="false" customHeight="true" outlineLevel="0" collapsed="false">
      <c r="A4" s="22" t="s">
        <v>6</v>
      </c>
      <c r="B4" s="22" t="s">
        <v>7</v>
      </c>
      <c r="C4" s="22" t="s">
        <v>441</v>
      </c>
      <c r="D4" s="22" t="s">
        <v>165</v>
      </c>
      <c r="E4" s="22" t="s">
        <v>166</v>
      </c>
      <c r="F4" s="22" t="s">
        <v>167</v>
      </c>
      <c r="G4" s="22" t="s">
        <v>168</v>
      </c>
      <c r="H4" s="22" t="s">
        <v>169</v>
      </c>
      <c r="I4" s="22" t="s">
        <v>170</v>
      </c>
      <c r="J4" s="49" t="s">
        <v>442</v>
      </c>
    </row>
    <row r="5" customFormat="false" ht="12" hidden="false" customHeight="true" outlineLevel="0" collapsed="false">
      <c r="A5" s="38" t="n">
        <v>1</v>
      </c>
      <c r="B5" s="50" t="s">
        <v>443</v>
      </c>
      <c r="C5" s="40" t="s">
        <v>108</v>
      </c>
      <c r="D5" s="39" t="s">
        <v>444</v>
      </c>
      <c r="E5" s="51" t="s">
        <v>175</v>
      </c>
      <c r="F5" s="40" t="s">
        <v>445</v>
      </c>
      <c r="G5" s="26" t="s">
        <v>446</v>
      </c>
      <c r="H5" s="40"/>
      <c r="I5" s="52"/>
      <c r="J5" s="53" t="n">
        <v>24.2</v>
      </c>
      <c r="K5" s="54"/>
    </row>
    <row r="6" customFormat="false" ht="12" hidden="false" customHeight="true" outlineLevel="0" collapsed="false">
      <c r="A6" s="24" t="n">
        <f aca="false">A5+1</f>
        <v>2</v>
      </c>
      <c r="B6" s="55" t="s">
        <v>447</v>
      </c>
      <c r="C6" s="40" t="s">
        <v>448</v>
      </c>
      <c r="D6" s="26" t="s">
        <v>449</v>
      </c>
      <c r="E6" s="51" t="s">
        <v>175</v>
      </c>
      <c r="F6" s="40" t="s">
        <v>450</v>
      </c>
      <c r="G6" s="25" t="s">
        <v>446</v>
      </c>
      <c r="H6" s="26"/>
      <c r="I6" s="56"/>
      <c r="J6" s="57" t="n">
        <v>64.1</v>
      </c>
      <c r="K6" s="54"/>
    </row>
    <row r="7" customFormat="false" ht="12" hidden="false" customHeight="true" outlineLevel="0" collapsed="false">
      <c r="A7" s="24" t="n">
        <f aca="false">A6+1</f>
        <v>3</v>
      </c>
      <c r="B7" s="55" t="s">
        <v>451</v>
      </c>
      <c r="C7" s="40" t="s">
        <v>452</v>
      </c>
      <c r="D7" s="58" t="s">
        <v>453</v>
      </c>
      <c r="E7" s="51" t="s">
        <v>175</v>
      </c>
      <c r="F7" s="40" t="s">
        <v>454</v>
      </c>
      <c r="G7" s="25" t="s">
        <v>446</v>
      </c>
      <c r="H7" s="26"/>
      <c r="I7" s="59"/>
      <c r="J7" s="57" t="n">
        <v>19.6</v>
      </c>
      <c r="K7" s="54"/>
    </row>
    <row r="8" customFormat="false" ht="24.75" hidden="false" customHeight="true" outlineLevel="0" collapsed="false">
      <c r="A8" s="24" t="n">
        <f aca="false">A7+1</f>
        <v>4</v>
      </c>
      <c r="B8" s="55" t="s">
        <v>455</v>
      </c>
      <c r="C8" s="40" t="s">
        <v>452</v>
      </c>
      <c r="D8" s="26" t="s">
        <v>456</v>
      </c>
      <c r="E8" s="51" t="s">
        <v>202</v>
      </c>
      <c r="F8" s="40" t="s">
        <v>457</v>
      </c>
      <c r="G8" s="25" t="s">
        <v>458</v>
      </c>
      <c r="H8" s="26"/>
      <c r="I8" s="56"/>
      <c r="J8" s="57" t="n">
        <v>23.9</v>
      </c>
      <c r="K8" s="54"/>
    </row>
    <row r="9" customFormat="false" ht="49.5" hidden="false" customHeight="true" outlineLevel="0" collapsed="false">
      <c r="A9" s="24" t="n">
        <f aca="false">A8+1</f>
        <v>5</v>
      </c>
      <c r="B9" s="60" t="s">
        <v>459</v>
      </c>
      <c r="C9" s="40" t="s">
        <v>448</v>
      </c>
      <c r="D9" s="26" t="s">
        <v>460</v>
      </c>
      <c r="E9" s="51" t="s">
        <v>202</v>
      </c>
      <c r="F9" s="40" t="s">
        <v>461</v>
      </c>
      <c r="G9" s="25" t="s">
        <v>462</v>
      </c>
      <c r="H9" s="26"/>
      <c r="I9" s="56"/>
      <c r="J9" s="57" t="n">
        <v>80.3</v>
      </c>
      <c r="K9" s="54" t="s">
        <v>463</v>
      </c>
    </row>
    <row r="10" customFormat="false" ht="49.5" hidden="false" customHeight="true" outlineLevel="0" collapsed="false">
      <c r="A10" s="24" t="n">
        <f aca="false">A9+1</f>
        <v>6</v>
      </c>
      <c r="B10" s="55" t="s">
        <v>464</v>
      </c>
      <c r="C10" s="40" t="s">
        <v>452</v>
      </c>
      <c r="D10" s="26" t="s">
        <v>465</v>
      </c>
      <c r="E10" s="51" t="s">
        <v>175</v>
      </c>
      <c r="F10" s="40" t="s">
        <v>466</v>
      </c>
      <c r="G10" s="25" t="s">
        <v>462</v>
      </c>
      <c r="H10" s="26"/>
      <c r="I10" s="56"/>
      <c r="J10" s="57" t="n">
        <v>62</v>
      </c>
      <c r="K10" s="54" t="s">
        <v>463</v>
      </c>
    </row>
    <row r="11" customFormat="false" ht="12" hidden="false" customHeight="true" outlineLevel="0" collapsed="false">
      <c r="A11" s="24" t="n">
        <f aca="false">A10+1</f>
        <v>7</v>
      </c>
      <c r="B11" s="55" t="s">
        <v>467</v>
      </c>
      <c r="C11" s="40" t="s">
        <v>108</v>
      </c>
      <c r="D11" s="26" t="s">
        <v>468</v>
      </c>
      <c r="E11" s="51" t="s">
        <v>175</v>
      </c>
      <c r="F11" s="40" t="s">
        <v>322</v>
      </c>
      <c r="G11" s="25" t="s">
        <v>446</v>
      </c>
      <c r="H11" s="26"/>
      <c r="I11" s="56"/>
      <c r="J11" s="57" t="n">
        <v>76.4</v>
      </c>
      <c r="K11" s="54"/>
    </row>
    <row r="12" customFormat="false" ht="62.25" hidden="false" customHeight="true" outlineLevel="0" collapsed="false">
      <c r="A12" s="24" t="n">
        <f aca="false">A11+1</f>
        <v>8</v>
      </c>
      <c r="B12" s="55" t="s">
        <v>469</v>
      </c>
      <c r="C12" s="40" t="s">
        <v>108</v>
      </c>
      <c r="D12" s="26" t="s">
        <v>470</v>
      </c>
      <c r="E12" s="51" t="s">
        <v>190</v>
      </c>
      <c r="F12" s="40" t="s">
        <v>471</v>
      </c>
      <c r="G12" s="25" t="s">
        <v>472</v>
      </c>
      <c r="H12" s="26"/>
      <c r="I12" s="56"/>
      <c r="J12" s="57" t="n">
        <v>122.7</v>
      </c>
      <c r="K12" s="54" t="s">
        <v>463</v>
      </c>
    </row>
    <row r="13" customFormat="false" ht="62.25" hidden="false" customHeight="true" outlineLevel="0" collapsed="false">
      <c r="A13" s="24" t="n">
        <f aca="false">A12+1</f>
        <v>9</v>
      </c>
      <c r="B13" s="60" t="s">
        <v>473</v>
      </c>
      <c r="C13" s="40" t="s">
        <v>452</v>
      </c>
      <c r="D13" s="26" t="s">
        <v>474</v>
      </c>
      <c r="E13" s="51" t="s">
        <v>175</v>
      </c>
      <c r="F13" s="40" t="s">
        <v>475</v>
      </c>
      <c r="G13" s="25" t="s">
        <v>476</v>
      </c>
      <c r="H13" s="26"/>
      <c r="I13" s="56"/>
      <c r="J13" s="57" t="n">
        <v>28.3</v>
      </c>
      <c r="K13" s="54"/>
    </row>
    <row r="14" customFormat="false" ht="12" hidden="false" customHeight="true" outlineLevel="0" collapsed="false">
      <c r="A14" s="24" t="n">
        <f aca="false">A13+1</f>
        <v>10</v>
      </c>
      <c r="B14" s="55" t="s">
        <v>477</v>
      </c>
      <c r="C14" s="40" t="s">
        <v>108</v>
      </c>
      <c r="D14" s="26" t="s">
        <v>478</v>
      </c>
      <c r="E14" s="51" t="s">
        <v>175</v>
      </c>
      <c r="F14" s="40" t="s">
        <v>479</v>
      </c>
      <c r="G14" s="25" t="s">
        <v>446</v>
      </c>
      <c r="H14" s="26"/>
      <c r="I14" s="56"/>
      <c r="J14" s="57" t="n">
        <v>90.3</v>
      </c>
      <c r="K14" s="54"/>
    </row>
    <row r="15" customFormat="false" ht="75" hidden="false" customHeight="true" outlineLevel="0" collapsed="false">
      <c r="A15" s="24" t="n">
        <f aca="false">A14+1</f>
        <v>11</v>
      </c>
      <c r="B15" s="55" t="s">
        <v>480</v>
      </c>
      <c r="C15" s="40" t="s">
        <v>452</v>
      </c>
      <c r="D15" s="26" t="s">
        <v>481</v>
      </c>
      <c r="E15" s="51" t="s">
        <v>482</v>
      </c>
      <c r="F15" s="40" t="s">
        <v>288</v>
      </c>
      <c r="G15" s="25" t="s">
        <v>483</v>
      </c>
      <c r="H15" s="26"/>
      <c r="I15" s="56"/>
      <c r="J15" s="57" t="n">
        <v>45</v>
      </c>
      <c r="K15" s="54"/>
    </row>
    <row r="16" customFormat="false" ht="24.75" hidden="false" customHeight="true" outlineLevel="0" collapsed="false">
      <c r="A16" s="24" t="n">
        <f aca="false">A15+1</f>
        <v>12</v>
      </c>
      <c r="B16" s="55" t="s">
        <v>484</v>
      </c>
      <c r="C16" s="40" t="s">
        <v>15</v>
      </c>
      <c r="D16" s="26" t="s">
        <v>485</v>
      </c>
      <c r="E16" s="51" t="s">
        <v>175</v>
      </c>
      <c r="F16" s="40" t="s">
        <v>486</v>
      </c>
      <c r="G16" s="25" t="s">
        <v>458</v>
      </c>
      <c r="H16" s="26"/>
      <c r="I16" s="59"/>
      <c r="J16" s="57" t="n">
        <v>41</v>
      </c>
      <c r="K16" s="54"/>
    </row>
    <row r="17" customFormat="false" ht="62.25" hidden="false" customHeight="true" outlineLevel="0" collapsed="false">
      <c r="A17" s="24" t="n">
        <f aca="false">A16+1</f>
        <v>13</v>
      </c>
      <c r="B17" s="55" t="s">
        <v>487</v>
      </c>
      <c r="C17" s="40" t="s">
        <v>15</v>
      </c>
      <c r="D17" s="26" t="s">
        <v>488</v>
      </c>
      <c r="E17" s="51" t="s">
        <v>175</v>
      </c>
      <c r="F17" s="40" t="s">
        <v>489</v>
      </c>
      <c r="G17" s="25" t="s">
        <v>490</v>
      </c>
      <c r="H17" s="26"/>
      <c r="I17" s="56"/>
      <c r="J17" s="57" t="n">
        <v>52.5</v>
      </c>
      <c r="K17" s="54"/>
    </row>
    <row r="18" customFormat="false" ht="12" hidden="false" customHeight="true" outlineLevel="0" collapsed="false">
      <c r="A18" s="24" t="n">
        <f aca="false">A17+1</f>
        <v>14</v>
      </c>
      <c r="B18" s="55" t="s">
        <v>491</v>
      </c>
      <c r="C18" s="40" t="s">
        <v>452</v>
      </c>
      <c r="D18" s="26" t="s">
        <v>492</v>
      </c>
      <c r="E18" s="51" t="s">
        <v>175</v>
      </c>
      <c r="F18" s="40" t="s">
        <v>493</v>
      </c>
      <c r="G18" s="25" t="s">
        <v>446</v>
      </c>
      <c r="H18" s="26"/>
      <c r="I18" s="56"/>
      <c r="J18" s="57" t="n">
        <v>68.5</v>
      </c>
      <c r="K18" s="54"/>
    </row>
    <row r="19" customFormat="false" ht="12" hidden="false" customHeight="true" outlineLevel="0" collapsed="false">
      <c r="A19" s="24" t="n">
        <f aca="false">A18+1</f>
        <v>15</v>
      </c>
      <c r="B19" s="55" t="s">
        <v>494</v>
      </c>
      <c r="C19" s="40" t="s">
        <v>452</v>
      </c>
      <c r="D19" s="26" t="s">
        <v>495</v>
      </c>
      <c r="E19" s="51" t="s">
        <v>175</v>
      </c>
      <c r="F19" s="40" t="s">
        <v>496</v>
      </c>
      <c r="G19" s="25" t="s">
        <v>446</v>
      </c>
      <c r="H19" s="26"/>
      <c r="I19" s="56"/>
      <c r="J19" s="57" t="n">
        <v>74.4</v>
      </c>
      <c r="K19" s="54"/>
    </row>
    <row r="20" customFormat="false" ht="62.25" hidden="false" customHeight="true" outlineLevel="0" collapsed="false">
      <c r="A20" s="24" t="n">
        <f aca="false">A19+1</f>
        <v>16</v>
      </c>
      <c r="B20" s="55" t="s">
        <v>497</v>
      </c>
      <c r="C20" s="40" t="s">
        <v>15</v>
      </c>
      <c r="D20" s="26" t="s">
        <v>498</v>
      </c>
      <c r="E20" s="51" t="s">
        <v>202</v>
      </c>
      <c r="F20" s="40" t="s">
        <v>499</v>
      </c>
      <c r="G20" s="25" t="s">
        <v>490</v>
      </c>
      <c r="H20" s="26"/>
      <c r="I20" s="56"/>
      <c r="J20" s="57" t="n">
        <v>26</v>
      </c>
      <c r="K20" s="54"/>
    </row>
    <row r="21" customFormat="false" ht="12" hidden="false" customHeight="true" outlineLevel="0" collapsed="false">
      <c r="A21" s="24" t="n">
        <f aca="false">A20+1</f>
        <v>17</v>
      </c>
      <c r="B21" s="55" t="s">
        <v>500</v>
      </c>
      <c r="C21" s="40" t="s">
        <v>452</v>
      </c>
      <c r="D21" s="26" t="s">
        <v>501</v>
      </c>
      <c r="E21" s="51" t="s">
        <v>175</v>
      </c>
      <c r="F21" s="40" t="s">
        <v>502</v>
      </c>
      <c r="G21" s="25" t="s">
        <v>446</v>
      </c>
      <c r="H21" s="26"/>
      <c r="I21" s="56"/>
      <c r="J21" s="57" t="n">
        <v>108.9</v>
      </c>
      <c r="K21" s="54"/>
    </row>
    <row r="22" customFormat="false" ht="12" hidden="false" customHeight="true" outlineLevel="0" collapsed="false">
      <c r="A22" s="24" t="n">
        <f aca="false">A21+1</f>
        <v>18</v>
      </c>
      <c r="B22" s="55" t="s">
        <v>503</v>
      </c>
      <c r="C22" s="40" t="s">
        <v>452</v>
      </c>
      <c r="D22" s="26" t="s">
        <v>504</v>
      </c>
      <c r="E22" s="51" t="s">
        <v>175</v>
      </c>
      <c r="F22" s="40" t="s">
        <v>505</v>
      </c>
      <c r="G22" s="25" t="s">
        <v>446</v>
      </c>
      <c r="H22" s="26"/>
      <c r="I22" s="59"/>
      <c r="J22" s="57" t="n">
        <v>43.4</v>
      </c>
      <c r="K22" s="54"/>
    </row>
    <row r="23" customFormat="false" ht="75" hidden="false" customHeight="true" outlineLevel="0" collapsed="false">
      <c r="A23" s="24" t="n">
        <f aca="false">A22+1</f>
        <v>19</v>
      </c>
      <c r="B23" s="55" t="s">
        <v>506</v>
      </c>
      <c r="C23" s="40" t="s">
        <v>448</v>
      </c>
      <c r="D23" s="26" t="s">
        <v>507</v>
      </c>
      <c r="E23" s="51" t="s">
        <v>190</v>
      </c>
      <c r="F23" s="40" t="s">
        <v>508</v>
      </c>
      <c r="G23" s="25" t="s">
        <v>509</v>
      </c>
      <c r="H23" s="26"/>
      <c r="I23" s="56"/>
      <c r="J23" s="57" t="n">
        <v>36.1</v>
      </c>
      <c r="K23" s="54"/>
    </row>
    <row r="24" customFormat="false" ht="24.75" hidden="false" customHeight="true" outlineLevel="0" collapsed="false">
      <c r="A24" s="32" t="n">
        <f aca="false">A23+1</f>
        <v>20</v>
      </c>
      <c r="B24" s="61" t="s">
        <v>510</v>
      </c>
      <c r="C24" s="62" t="s">
        <v>108</v>
      </c>
      <c r="D24" s="35" t="s">
        <v>511</v>
      </c>
      <c r="E24" s="63" t="s">
        <v>202</v>
      </c>
      <c r="F24" s="62" t="s">
        <v>512</v>
      </c>
      <c r="G24" s="34" t="s">
        <v>458</v>
      </c>
      <c r="H24" s="35"/>
      <c r="I24" s="64"/>
      <c r="J24" s="65" t="n">
        <v>308.8</v>
      </c>
      <c r="K24" s="54" t="s">
        <v>463</v>
      </c>
    </row>
    <row r="31" customFormat="false" ht="13.5" hidden="true" customHeight="true" outlineLevel="0" collapsed="false">
      <c r="A31" s="8" t="s">
        <v>6</v>
      </c>
      <c r="B31" s="8" t="s">
        <v>7</v>
      </c>
      <c r="C31" s="8" t="s">
        <v>166</v>
      </c>
      <c r="D31" s="8" t="s">
        <v>167</v>
      </c>
      <c r="E31" s="8" t="s">
        <v>513</v>
      </c>
      <c r="F31" s="8" t="s">
        <v>331</v>
      </c>
    </row>
    <row r="32" customFormat="false" ht="12" hidden="true" customHeight="true" outlineLevel="0" collapsed="false">
      <c r="A32" s="66" t="n">
        <v>1</v>
      </c>
      <c r="B32" s="67" t="s">
        <v>443</v>
      </c>
      <c r="C32" s="66" t="n">
        <v>2</v>
      </c>
      <c r="D32" s="66" t="s">
        <v>445</v>
      </c>
      <c r="E32" s="66" t="n">
        <v>24.2</v>
      </c>
      <c r="F32" s="66" t="s">
        <v>514</v>
      </c>
    </row>
    <row r="33" customFormat="false" ht="12" hidden="true" customHeight="true" outlineLevel="0" collapsed="false">
      <c r="A33" s="66" t="n">
        <v>2</v>
      </c>
      <c r="B33" s="67" t="s">
        <v>447</v>
      </c>
      <c r="C33" s="66" t="n">
        <v>2</v>
      </c>
      <c r="D33" s="66" t="s">
        <v>450</v>
      </c>
      <c r="E33" s="66" t="n">
        <v>64.1</v>
      </c>
      <c r="F33" s="66" t="s">
        <v>515</v>
      </c>
    </row>
    <row r="34" customFormat="false" ht="14.25" hidden="true" customHeight="true" outlineLevel="0" collapsed="false">
      <c r="A34" s="66" t="n">
        <v>3</v>
      </c>
      <c r="B34" s="67" t="s">
        <v>451</v>
      </c>
      <c r="C34" s="66" t="n">
        <v>2</v>
      </c>
      <c r="D34" s="66" t="s">
        <v>454</v>
      </c>
      <c r="E34" s="66" t="n">
        <v>20</v>
      </c>
      <c r="F34" s="68" t="s">
        <v>516</v>
      </c>
    </row>
    <row r="35" customFormat="false" ht="14.25" hidden="true" customHeight="true" outlineLevel="0" collapsed="false">
      <c r="A35" s="66" t="n">
        <v>4</v>
      </c>
      <c r="B35" s="67" t="s">
        <v>455</v>
      </c>
      <c r="C35" s="66" t="n">
        <v>2</v>
      </c>
      <c r="D35" s="66" t="s">
        <v>457</v>
      </c>
      <c r="E35" s="66" t="n">
        <v>23.9</v>
      </c>
      <c r="F35" s="68" t="s">
        <v>517</v>
      </c>
    </row>
    <row r="36" customFormat="false" ht="12" hidden="true" customHeight="true" outlineLevel="0" collapsed="false">
      <c r="A36" s="66" t="n">
        <v>5</v>
      </c>
      <c r="B36" s="66" t="s">
        <v>518</v>
      </c>
      <c r="C36" s="66" t="n">
        <v>1</v>
      </c>
      <c r="D36" s="66" t="s">
        <v>519</v>
      </c>
      <c r="E36" s="66"/>
      <c r="F36" s="66"/>
    </row>
    <row r="37" customFormat="false" ht="12" hidden="true" customHeight="true" outlineLevel="0" collapsed="false">
      <c r="A37" s="66" t="n">
        <v>6</v>
      </c>
      <c r="B37" s="66" t="s">
        <v>520</v>
      </c>
      <c r="C37" s="66" t="n">
        <v>2</v>
      </c>
      <c r="D37" s="66" t="s">
        <v>505</v>
      </c>
      <c r="E37" s="66"/>
      <c r="F37" s="66"/>
    </row>
    <row r="38" customFormat="false" ht="12" hidden="true" customHeight="true" outlineLevel="0" collapsed="false">
      <c r="A38" s="66" t="n">
        <v>7</v>
      </c>
      <c r="B38" s="66" t="s">
        <v>521</v>
      </c>
      <c r="C38" s="66" t="n">
        <v>1</v>
      </c>
      <c r="D38" s="66" t="s">
        <v>522</v>
      </c>
      <c r="E38" s="66"/>
      <c r="F38" s="66"/>
    </row>
    <row r="39" customFormat="false" ht="14.25" hidden="true" customHeight="true" outlineLevel="0" collapsed="false">
      <c r="A39" s="66" t="n">
        <v>8</v>
      </c>
      <c r="B39" s="67" t="s">
        <v>459</v>
      </c>
      <c r="C39" s="66" t="n">
        <v>2</v>
      </c>
      <c r="D39" s="66" t="s">
        <v>461</v>
      </c>
      <c r="E39" s="66" t="n">
        <v>88.2</v>
      </c>
      <c r="F39" s="68" t="s">
        <v>523</v>
      </c>
      <c r="G39" s="2" t="s">
        <v>463</v>
      </c>
    </row>
    <row r="40" customFormat="false" ht="14.25" hidden="true" customHeight="true" outlineLevel="0" collapsed="false">
      <c r="A40" s="66" t="n">
        <v>9</v>
      </c>
      <c r="B40" s="67" t="s">
        <v>524</v>
      </c>
      <c r="C40" s="66" t="n">
        <v>2</v>
      </c>
      <c r="D40" s="66" t="s">
        <v>466</v>
      </c>
      <c r="E40" s="66" t="n">
        <v>62</v>
      </c>
      <c r="F40" s="68" t="s">
        <v>525</v>
      </c>
      <c r="G40" s="2" t="s">
        <v>463</v>
      </c>
    </row>
    <row r="41" customFormat="false" ht="14.25" hidden="true" customHeight="true" outlineLevel="0" collapsed="false">
      <c r="A41" s="66" t="n">
        <v>10</v>
      </c>
      <c r="B41" s="67" t="s">
        <v>526</v>
      </c>
      <c r="C41" s="66" t="n">
        <v>2</v>
      </c>
      <c r="D41" s="66" t="s">
        <v>527</v>
      </c>
      <c r="E41" s="66" t="n">
        <v>76.4</v>
      </c>
      <c r="F41" s="68" t="s">
        <v>528</v>
      </c>
    </row>
    <row r="42" customFormat="false" ht="14.25" hidden="true" customHeight="true" outlineLevel="0" collapsed="false">
      <c r="A42" s="66" t="n">
        <v>11</v>
      </c>
      <c r="B42" s="67" t="s">
        <v>469</v>
      </c>
      <c r="C42" s="66" t="n">
        <v>1</v>
      </c>
      <c r="D42" s="66" t="s">
        <v>529</v>
      </c>
      <c r="E42" s="66" t="n">
        <v>144.166</v>
      </c>
      <c r="F42" s="68" t="s">
        <v>530</v>
      </c>
      <c r="G42" s="2" t="s">
        <v>463</v>
      </c>
    </row>
    <row r="43" customFormat="false" ht="12" hidden="true" customHeight="true" outlineLevel="0" collapsed="false">
      <c r="A43" s="66" t="n">
        <v>12</v>
      </c>
      <c r="B43" s="66" t="s">
        <v>531</v>
      </c>
      <c r="C43" s="66" t="n">
        <v>1</v>
      </c>
      <c r="D43" s="66" t="s">
        <v>532</v>
      </c>
      <c r="E43" s="66"/>
      <c r="F43" s="66"/>
    </row>
    <row r="44" customFormat="false" ht="12" hidden="true" customHeight="true" outlineLevel="0" collapsed="false">
      <c r="A44" s="66" t="n">
        <v>13</v>
      </c>
      <c r="B44" s="66" t="s">
        <v>533</v>
      </c>
      <c r="C44" s="66" t="n">
        <v>1</v>
      </c>
      <c r="D44" s="66" t="s">
        <v>534</v>
      </c>
      <c r="E44" s="66"/>
      <c r="F44" s="66"/>
    </row>
    <row r="45" customFormat="false" ht="12" hidden="true" customHeight="true" outlineLevel="0" collapsed="false">
      <c r="A45" s="66" t="n">
        <v>14</v>
      </c>
      <c r="B45" s="67" t="s">
        <v>535</v>
      </c>
      <c r="C45" s="66" t="n">
        <v>1</v>
      </c>
      <c r="D45" s="66" t="s">
        <v>536</v>
      </c>
      <c r="E45" s="66" t="n">
        <v>28.3</v>
      </c>
      <c r="F45" s="66" t="s">
        <v>537</v>
      </c>
    </row>
    <row r="46" customFormat="false" ht="12" hidden="true" customHeight="true" outlineLevel="0" collapsed="false">
      <c r="A46" s="66" t="n">
        <v>15</v>
      </c>
      <c r="B46" s="66" t="s">
        <v>538</v>
      </c>
      <c r="C46" s="66" t="n">
        <v>2</v>
      </c>
      <c r="D46" s="66" t="s">
        <v>539</v>
      </c>
      <c r="E46" s="66"/>
      <c r="F46" s="66"/>
    </row>
    <row r="47" customFormat="false" ht="12" hidden="true" customHeight="true" outlineLevel="0" collapsed="false">
      <c r="A47" s="66" t="n">
        <v>16</v>
      </c>
      <c r="B47" s="67" t="s">
        <v>477</v>
      </c>
      <c r="C47" s="66" t="n">
        <v>2</v>
      </c>
      <c r="D47" s="66" t="s">
        <v>540</v>
      </c>
      <c r="E47" s="66" t="n">
        <v>90.3</v>
      </c>
      <c r="F47" s="66" t="s">
        <v>541</v>
      </c>
    </row>
    <row r="48" customFormat="false" ht="12" hidden="true" customHeight="true" outlineLevel="0" collapsed="false">
      <c r="A48" s="66" t="n">
        <v>17</v>
      </c>
      <c r="B48" s="66" t="s">
        <v>542</v>
      </c>
      <c r="C48" s="66" t="n">
        <v>2</v>
      </c>
      <c r="D48" s="66" t="s">
        <v>543</v>
      </c>
      <c r="E48" s="66"/>
      <c r="F48" s="66"/>
    </row>
    <row r="49" customFormat="false" ht="12" hidden="true" customHeight="true" outlineLevel="0" collapsed="false">
      <c r="A49" s="66" t="n">
        <v>18</v>
      </c>
      <c r="B49" s="67" t="s">
        <v>480</v>
      </c>
      <c r="C49" s="66" t="n">
        <v>1</v>
      </c>
      <c r="D49" s="66" t="s">
        <v>288</v>
      </c>
      <c r="E49" s="66" t="n">
        <v>45</v>
      </c>
      <c r="F49" s="66" t="s">
        <v>544</v>
      </c>
    </row>
    <row r="50" customFormat="false" ht="12" hidden="true" customHeight="true" outlineLevel="0" collapsed="false">
      <c r="A50" s="66" t="n">
        <v>19</v>
      </c>
      <c r="B50" s="66" t="s">
        <v>545</v>
      </c>
      <c r="C50" s="66" t="n">
        <v>1</v>
      </c>
      <c r="D50" s="66" t="s">
        <v>546</v>
      </c>
      <c r="E50" s="66"/>
      <c r="F50" s="66"/>
    </row>
    <row r="51" customFormat="false" ht="12" hidden="true" customHeight="true" outlineLevel="0" collapsed="false">
      <c r="A51" s="66" t="n">
        <v>20</v>
      </c>
      <c r="B51" s="67" t="s">
        <v>484</v>
      </c>
      <c r="C51" s="66" t="n">
        <v>2</v>
      </c>
      <c r="D51" s="66" t="s">
        <v>547</v>
      </c>
      <c r="E51" s="66" t="n">
        <v>41</v>
      </c>
      <c r="F51" s="66" t="s">
        <v>548</v>
      </c>
    </row>
    <row r="52" customFormat="false" ht="14.25" hidden="true" customHeight="true" outlineLevel="0" collapsed="false">
      <c r="A52" s="66" t="n">
        <v>21</v>
      </c>
      <c r="B52" s="67" t="s">
        <v>487</v>
      </c>
      <c r="C52" s="66" t="n">
        <v>2</v>
      </c>
      <c r="D52" s="66" t="s">
        <v>489</v>
      </c>
      <c r="E52" s="66" t="n">
        <v>52.5</v>
      </c>
      <c r="F52" s="68" t="s">
        <v>549</v>
      </c>
    </row>
    <row r="53" customFormat="false" ht="12" hidden="true" customHeight="true" outlineLevel="0" collapsed="false">
      <c r="A53" s="66" t="n">
        <v>22</v>
      </c>
      <c r="B53" s="67" t="s">
        <v>491</v>
      </c>
      <c r="C53" s="66" t="n">
        <v>2</v>
      </c>
      <c r="D53" s="66" t="s">
        <v>493</v>
      </c>
      <c r="E53" s="66" t="n">
        <v>68.5</v>
      </c>
      <c r="F53" s="66" t="s">
        <v>550</v>
      </c>
    </row>
    <row r="54" customFormat="false" ht="12" hidden="true" customHeight="true" outlineLevel="0" collapsed="false">
      <c r="A54" s="66" t="n">
        <v>23</v>
      </c>
      <c r="B54" s="66" t="s">
        <v>551</v>
      </c>
      <c r="C54" s="66" t="n">
        <v>1</v>
      </c>
      <c r="D54" s="66" t="s">
        <v>552</v>
      </c>
      <c r="E54" s="66"/>
      <c r="F54" s="66"/>
    </row>
    <row r="55" customFormat="false" ht="12" hidden="true" customHeight="true" outlineLevel="0" collapsed="false">
      <c r="A55" s="66" t="n">
        <v>24</v>
      </c>
      <c r="B55" s="66" t="s">
        <v>553</v>
      </c>
      <c r="C55" s="66" t="n">
        <v>2</v>
      </c>
      <c r="D55" s="66" t="s">
        <v>554</v>
      </c>
      <c r="E55" s="66"/>
      <c r="F55" s="66"/>
    </row>
    <row r="56" customFormat="false" ht="12" hidden="true" customHeight="true" outlineLevel="0" collapsed="false">
      <c r="A56" s="66" t="n">
        <v>25</v>
      </c>
      <c r="B56" s="66" t="s">
        <v>555</v>
      </c>
      <c r="C56" s="66" t="n">
        <v>2</v>
      </c>
      <c r="D56" s="66" t="s">
        <v>493</v>
      </c>
      <c r="E56" s="66"/>
      <c r="F56" s="66"/>
    </row>
    <row r="57" customFormat="false" ht="12" hidden="true" customHeight="true" outlineLevel="0" collapsed="false">
      <c r="A57" s="66" t="n">
        <v>26</v>
      </c>
      <c r="B57" s="67" t="s">
        <v>494</v>
      </c>
      <c r="C57" s="66" t="n">
        <v>2</v>
      </c>
      <c r="D57" s="66" t="s">
        <v>556</v>
      </c>
      <c r="E57" s="66" t="n">
        <v>74.4</v>
      </c>
      <c r="F57" s="66" t="s">
        <v>557</v>
      </c>
    </row>
    <row r="58" customFormat="false" ht="12" hidden="true" customHeight="true" outlineLevel="0" collapsed="false">
      <c r="A58" s="66" t="n">
        <v>27</v>
      </c>
      <c r="B58" s="67" t="s">
        <v>497</v>
      </c>
      <c r="C58" s="66" t="n">
        <v>2</v>
      </c>
      <c r="D58" s="66" t="s">
        <v>499</v>
      </c>
      <c r="E58" s="66" t="n">
        <v>26</v>
      </c>
      <c r="F58" s="66" t="s">
        <v>558</v>
      </c>
    </row>
    <row r="59" customFormat="false" ht="14.25" hidden="true" customHeight="true" outlineLevel="0" collapsed="false">
      <c r="A59" s="66" t="n">
        <v>28</v>
      </c>
      <c r="B59" s="67" t="s">
        <v>500</v>
      </c>
      <c r="C59" s="66" t="n">
        <v>2</v>
      </c>
      <c r="D59" s="66" t="s">
        <v>556</v>
      </c>
      <c r="E59" s="66" t="n">
        <v>108.9</v>
      </c>
      <c r="F59" s="68" t="s">
        <v>559</v>
      </c>
    </row>
    <row r="60" customFormat="false" ht="12" hidden="true" customHeight="true" outlineLevel="0" collapsed="false">
      <c r="A60" s="66" t="n">
        <v>29</v>
      </c>
      <c r="B60" s="66" t="s">
        <v>560</v>
      </c>
      <c r="C60" s="66" t="n">
        <v>2</v>
      </c>
      <c r="D60" s="66" t="s">
        <v>561</v>
      </c>
      <c r="E60" s="66"/>
      <c r="F60" s="66"/>
    </row>
    <row r="61" customFormat="false" ht="12" hidden="true" customHeight="true" outlineLevel="0" collapsed="false">
      <c r="A61" s="66" t="n">
        <v>30</v>
      </c>
      <c r="B61" s="66" t="s">
        <v>562</v>
      </c>
      <c r="C61" s="66" t="n">
        <v>2</v>
      </c>
      <c r="D61" s="66" t="s">
        <v>563</v>
      </c>
      <c r="E61" s="66"/>
      <c r="F61" s="66"/>
    </row>
    <row r="62" customFormat="false" ht="12" hidden="true" customHeight="true" outlineLevel="0" collapsed="false">
      <c r="A62" s="66" t="n">
        <v>31</v>
      </c>
      <c r="B62" s="66" t="s">
        <v>564</v>
      </c>
      <c r="C62" s="66" t="n">
        <v>2</v>
      </c>
      <c r="D62" s="66" t="s">
        <v>543</v>
      </c>
      <c r="E62" s="66"/>
      <c r="F62" s="66"/>
    </row>
    <row r="63" customFormat="false" ht="12" hidden="true" customHeight="true" outlineLevel="0" collapsed="false">
      <c r="A63" s="66" t="n">
        <v>32</v>
      </c>
      <c r="B63" s="67" t="s">
        <v>565</v>
      </c>
      <c r="C63" s="66" t="n">
        <v>1</v>
      </c>
      <c r="D63" s="66" t="s">
        <v>566</v>
      </c>
      <c r="E63" s="66" t="n">
        <v>43.4</v>
      </c>
      <c r="F63" s="66" t="s">
        <v>567</v>
      </c>
    </row>
    <row r="64" customFormat="false" ht="12" hidden="true" customHeight="true" outlineLevel="0" collapsed="false">
      <c r="A64" s="66" t="n">
        <v>33</v>
      </c>
      <c r="B64" s="67" t="s">
        <v>506</v>
      </c>
      <c r="C64" s="66" t="n">
        <v>1</v>
      </c>
      <c r="D64" s="66" t="s">
        <v>508</v>
      </c>
      <c r="E64" s="66" t="n">
        <v>36.1</v>
      </c>
      <c r="F64" s="66" t="s">
        <v>568</v>
      </c>
    </row>
    <row r="65" customFormat="false" ht="14.25" hidden="true" customHeight="true" outlineLevel="0" collapsed="false">
      <c r="A65" s="66" t="n">
        <v>34</v>
      </c>
      <c r="B65" s="67" t="s">
        <v>510</v>
      </c>
      <c r="C65" s="66" t="n">
        <v>2</v>
      </c>
      <c r="D65" s="66" t="s">
        <v>569</v>
      </c>
      <c r="E65" s="66" t="n">
        <v>308.8</v>
      </c>
      <c r="F65" s="68" t="s">
        <v>570</v>
      </c>
      <c r="G65" s="2" t="s">
        <v>463</v>
      </c>
    </row>
    <row r="66" customFormat="false" ht="12" hidden="true" customHeight="true" outlineLevel="0" collapsed="false">
      <c r="A66" s="66" t="n">
        <v>35</v>
      </c>
      <c r="B66" s="66" t="s">
        <v>571</v>
      </c>
      <c r="C66" s="66" t="n">
        <v>1</v>
      </c>
      <c r="D66" s="66" t="s">
        <v>572</v>
      </c>
      <c r="E66" s="66"/>
      <c r="F66" s="66"/>
    </row>
  </sheetData>
  <autoFilter ref="A31:G66"/>
  <hyperlinks>
    <hyperlink ref="F34" r:id="rId1" display="https://newsroom.amfam.com/american-family-insurance-reports-2024-financial-results/"/>
    <hyperlink ref="F35" r:id="rId2" display="https://www.aig.com/home/investor-relations/aig-2024-annual-report"/>
    <hyperlink ref="F39" r:id="rId3" display="https://www.berkshirehathaway.com/2024ar/2024ar.pdf"/>
    <hyperlink ref="F40" r:id="rId4" display="https://www.chubb.com/content/dam/annual-corporate-governance/2025/a--chubb-limited/chubb-limited-annual-report-2024.pdf"/>
    <hyperlink ref="F41" r:id="rId5" display="https://investors.thecignagroup.com/financials/annual-reports/default.aspx"/>
    <hyperlink ref="F42" r:id="rId6" display="https://www.elevancehealth.com/investors"/>
    <hyperlink ref="F52" r:id="rId7" display="https://investor.metlife.com/news/news-details/2025/MetLife-Announces-Full-Year-and-Fourth-Quarter-2024-Results/default.aspx"/>
    <hyperlink ref="F59" r:id="rId8" display="https://newsroom.statefarm.com/2024-state-farm-financial-results/"/>
    <hyperlink ref="F65" r:id="rId9" display="https://www.unitedhealthgroup.com/content/dam/UHG/PDF/investors/2024/UNH-Q4-2024-Form-10-K.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53125" defaultRowHeight="14.25" zeroHeight="false" outlineLevelRow="0" outlineLevelCol="0"/>
  <cols>
    <col collapsed="false" customWidth="true" hidden="false" outlineLevel="0" max="1" min="1" style="16" width="6.82"/>
    <col collapsed="false" customWidth="true" hidden="false" outlineLevel="0" max="2" min="2" style="16" width="51.82"/>
    <col collapsed="false" customWidth="true" hidden="false" outlineLevel="0" max="3" min="3" style="16" width="21.45"/>
    <col collapsed="false" customWidth="true" hidden="false" outlineLevel="0" max="4" min="4" style="16" width="13"/>
    <col collapsed="false" customWidth="true" hidden="false" outlineLevel="0" max="5" min="5" style="16" width="24"/>
    <col collapsed="false" customWidth="true" hidden="false" outlineLevel="0" max="6" min="6" style="16" width="21.82"/>
  </cols>
  <sheetData>
    <row r="1" customFormat="false" ht="14.25" hidden="false" customHeight="true" outlineLevel="0" collapsed="false">
      <c r="A1" s="20" t="s">
        <v>573</v>
      </c>
    </row>
    <row r="2" customFormat="false" ht="14.25" hidden="false" customHeight="true" outlineLevel="0" collapsed="false">
      <c r="A2" s="20"/>
    </row>
    <row r="3" customFormat="false" ht="40.5" hidden="false" customHeight="true" outlineLevel="0" collapsed="false">
      <c r="A3" s="69" t="s">
        <v>574</v>
      </c>
      <c r="B3" s="70" t="s">
        <v>330</v>
      </c>
      <c r="C3" s="71" t="s">
        <v>575</v>
      </c>
      <c r="D3" s="72" t="s">
        <v>576</v>
      </c>
      <c r="E3" s="71" t="s">
        <v>577</v>
      </c>
      <c r="F3" s="71" t="s">
        <v>578</v>
      </c>
    </row>
    <row r="4" customFormat="false" ht="15" hidden="false" customHeight="true" outlineLevel="0" collapsed="false">
      <c r="A4" s="73" t="n">
        <v>1</v>
      </c>
      <c r="B4" s="74" t="s">
        <v>579</v>
      </c>
      <c r="C4" s="74" t="s">
        <v>580</v>
      </c>
      <c r="D4" s="75" t="s">
        <v>581</v>
      </c>
      <c r="E4" s="76" t="n">
        <v>12665500000</v>
      </c>
      <c r="F4" s="77" t="s">
        <v>582</v>
      </c>
    </row>
    <row r="5" customFormat="false" ht="15" hidden="false" customHeight="true" outlineLevel="0" collapsed="false">
      <c r="A5" s="73" t="n">
        <v>2</v>
      </c>
      <c r="B5" s="74" t="s">
        <v>583</v>
      </c>
      <c r="C5" s="74" t="s">
        <v>584</v>
      </c>
      <c r="D5" s="75" t="s">
        <v>585</v>
      </c>
      <c r="E5" s="76" t="n">
        <v>9381760000</v>
      </c>
      <c r="F5" s="77" t="s">
        <v>586</v>
      </c>
    </row>
    <row r="6" customFormat="false" ht="15" hidden="false" customHeight="true" outlineLevel="0" collapsed="false">
      <c r="A6" s="73" t="n">
        <v>3</v>
      </c>
      <c r="B6" s="74" t="s">
        <v>518</v>
      </c>
      <c r="C6" s="74" t="s">
        <v>587</v>
      </c>
      <c r="D6" s="75" t="s">
        <v>581</v>
      </c>
      <c r="E6" s="76" t="n">
        <v>7092288000</v>
      </c>
      <c r="F6" s="77" t="s">
        <v>588</v>
      </c>
    </row>
    <row r="7" customFormat="false" ht="15" hidden="false" customHeight="true" outlineLevel="0" collapsed="false">
      <c r="A7" s="73" t="n">
        <v>4</v>
      </c>
      <c r="B7" s="74" t="s">
        <v>589</v>
      </c>
      <c r="C7" s="74" t="s">
        <v>590</v>
      </c>
      <c r="D7" s="75" t="s">
        <v>591</v>
      </c>
      <c r="E7" s="76" t="n">
        <v>5064280000</v>
      </c>
      <c r="F7" s="77" t="s">
        <v>592</v>
      </c>
    </row>
    <row r="8" customFormat="false" ht="15" hidden="false" customHeight="true" outlineLevel="0" collapsed="false">
      <c r="A8" s="73" t="n">
        <v>5</v>
      </c>
      <c r="B8" s="74" t="s">
        <v>593</v>
      </c>
      <c r="C8" s="74" t="s">
        <v>594</v>
      </c>
      <c r="D8" s="75" t="s">
        <v>581</v>
      </c>
      <c r="E8" s="76" t="n">
        <v>4969605524</v>
      </c>
      <c r="F8" s="77" t="s">
        <v>595</v>
      </c>
    </row>
    <row r="9" customFormat="false" ht="15" hidden="false" customHeight="true" outlineLevel="0" collapsed="false">
      <c r="A9" s="73" t="n">
        <v>6</v>
      </c>
      <c r="B9" s="74" t="s">
        <v>596</v>
      </c>
      <c r="C9" s="74" t="s">
        <v>597</v>
      </c>
      <c r="D9" s="75" t="s">
        <v>581</v>
      </c>
      <c r="E9" s="76" t="n">
        <v>4036781833</v>
      </c>
      <c r="F9" s="77" t="s">
        <v>598</v>
      </c>
    </row>
    <row r="10" customFormat="false" ht="15" hidden="false" customHeight="true" outlineLevel="0" collapsed="false">
      <c r="A10" s="73" t="n">
        <v>7</v>
      </c>
      <c r="B10" s="74" t="s">
        <v>599</v>
      </c>
      <c r="C10" s="74" t="s">
        <v>600</v>
      </c>
      <c r="D10" s="75" t="s">
        <v>581</v>
      </c>
      <c r="E10" s="76" t="n">
        <v>3814376800</v>
      </c>
      <c r="F10" s="77" t="s">
        <v>601</v>
      </c>
    </row>
    <row r="11" customFormat="false" ht="15" hidden="false" customHeight="true" outlineLevel="0" collapsed="false">
      <c r="A11" s="73" t="n">
        <v>8</v>
      </c>
      <c r="B11" s="74" t="s">
        <v>602</v>
      </c>
      <c r="C11" s="74"/>
      <c r="D11" s="75" t="s">
        <v>591</v>
      </c>
      <c r="E11" s="76" t="n">
        <f aca="false">3792.6*1000000</f>
        <v>3792600000</v>
      </c>
      <c r="F11" s="78" t="s">
        <v>603</v>
      </c>
    </row>
    <row r="12" customFormat="false" ht="15" hidden="false" customHeight="true" outlineLevel="0" collapsed="false">
      <c r="A12" s="73" t="n">
        <v>9</v>
      </c>
      <c r="B12" s="74" t="s">
        <v>604</v>
      </c>
      <c r="C12" s="74" t="s">
        <v>605</v>
      </c>
      <c r="D12" s="75" t="s">
        <v>581</v>
      </c>
      <c r="E12" s="76" t="n">
        <v>3482289678</v>
      </c>
      <c r="F12" s="77" t="s">
        <v>606</v>
      </c>
    </row>
    <row r="13" customFormat="false" ht="15" hidden="false" customHeight="true" outlineLevel="0" collapsed="false">
      <c r="A13" s="73" t="n">
        <v>10</v>
      </c>
      <c r="B13" s="74" t="s">
        <v>607</v>
      </c>
      <c r="C13" s="74" t="s">
        <v>608</v>
      </c>
      <c r="D13" s="75" t="s">
        <v>581</v>
      </c>
      <c r="E13" s="76" t="n">
        <v>2874800000</v>
      </c>
      <c r="F13" s="77" t="s">
        <v>609</v>
      </c>
    </row>
    <row r="14" customFormat="false" ht="15" hidden="false" customHeight="true" outlineLevel="0" collapsed="false">
      <c r="A14" s="73" t="n">
        <v>11</v>
      </c>
      <c r="B14" s="74" t="s">
        <v>610</v>
      </c>
      <c r="C14" s="74" t="s">
        <v>611</v>
      </c>
      <c r="D14" s="75" t="s">
        <v>581</v>
      </c>
      <c r="E14" s="76" t="n">
        <v>2809791938</v>
      </c>
      <c r="F14" s="77" t="s">
        <v>612</v>
      </c>
    </row>
    <row r="15" customFormat="false" ht="15" hidden="false" customHeight="true" outlineLevel="0" collapsed="false">
      <c r="A15" s="73" t="n">
        <v>12</v>
      </c>
      <c r="B15" s="74" t="s">
        <v>613</v>
      </c>
      <c r="C15" s="74" t="s">
        <v>614</v>
      </c>
      <c r="D15" s="75" t="s">
        <v>581</v>
      </c>
      <c r="E15" s="76" t="n">
        <v>2786726700</v>
      </c>
      <c r="F15" s="77" t="s">
        <v>615</v>
      </c>
    </row>
    <row r="16" customFormat="false" ht="15" hidden="false" customHeight="true" outlineLevel="0" collapsed="false">
      <c r="A16" s="73" t="n">
        <v>13</v>
      </c>
      <c r="B16" s="74" t="s">
        <v>616</v>
      </c>
      <c r="C16" s="74"/>
      <c r="D16" s="75" t="s">
        <v>591</v>
      </c>
      <c r="E16" s="76" t="n">
        <f aca="false">1990*1000000</f>
        <v>1990000000</v>
      </c>
      <c r="F16" s="78" t="s">
        <v>617</v>
      </c>
    </row>
    <row r="17" customFormat="false" ht="15" hidden="false" customHeight="true" outlineLevel="0" collapsed="false">
      <c r="A17" s="73" t="n">
        <v>14</v>
      </c>
      <c r="B17" s="74" t="s">
        <v>618</v>
      </c>
      <c r="C17" s="74" t="s">
        <v>619</v>
      </c>
      <c r="D17" s="75" t="s">
        <v>581</v>
      </c>
      <c r="E17" s="76" t="n">
        <v>1737405200</v>
      </c>
      <c r="F17" s="77" t="s">
        <v>620</v>
      </c>
    </row>
    <row r="18" customFormat="false" ht="15" hidden="false" customHeight="true" outlineLevel="0" collapsed="false">
      <c r="A18" s="73" t="n">
        <v>15</v>
      </c>
      <c r="B18" s="74" t="s">
        <v>621</v>
      </c>
      <c r="C18" s="74" t="s">
        <v>622</v>
      </c>
      <c r="D18" s="75" t="s">
        <v>581</v>
      </c>
      <c r="E18" s="76" t="n">
        <v>1696546641</v>
      </c>
      <c r="F18" s="77" t="s">
        <v>623</v>
      </c>
    </row>
    <row r="19" customFormat="false" ht="15" hidden="false" customHeight="true" outlineLevel="0" collapsed="false">
      <c r="A19" s="73" t="n">
        <v>16</v>
      </c>
      <c r="B19" s="74" t="s">
        <v>624</v>
      </c>
      <c r="C19" s="74" t="s">
        <v>625</v>
      </c>
      <c r="D19" s="75" t="s">
        <v>581</v>
      </c>
      <c r="E19" s="76" t="n">
        <v>1432000000</v>
      </c>
      <c r="F19" s="77" t="s">
        <v>626</v>
      </c>
    </row>
    <row r="20" customFormat="false" ht="15" hidden="false" customHeight="true" outlineLevel="0" collapsed="false">
      <c r="A20" s="73" t="n">
        <v>17</v>
      </c>
      <c r="B20" s="74" t="s">
        <v>627</v>
      </c>
      <c r="C20" s="74" t="s">
        <v>628</v>
      </c>
      <c r="D20" s="75" t="s">
        <v>581</v>
      </c>
      <c r="E20" s="76" t="n">
        <v>1386222000</v>
      </c>
      <c r="F20" s="77" t="s">
        <v>629</v>
      </c>
    </row>
    <row r="21" customFormat="false" ht="15" hidden="false" customHeight="true" outlineLevel="0" collapsed="false">
      <c r="A21" s="73" t="n">
        <v>18</v>
      </c>
      <c r="B21" s="74" t="s">
        <v>630</v>
      </c>
      <c r="C21" s="74" t="s">
        <v>631</v>
      </c>
      <c r="D21" s="75" t="s">
        <v>581</v>
      </c>
      <c r="E21" s="76" t="n">
        <v>1237900000</v>
      </c>
      <c r="F21" s="77" t="s">
        <v>632</v>
      </c>
    </row>
    <row r="22" customFormat="false" ht="15" hidden="false" customHeight="true" outlineLevel="0" collapsed="false">
      <c r="A22" s="73" t="n">
        <v>19</v>
      </c>
      <c r="B22" s="74" t="s">
        <v>633</v>
      </c>
      <c r="C22" s="74"/>
      <c r="D22" s="75" t="s">
        <v>634</v>
      </c>
      <c r="E22" s="76" t="n">
        <f aca="false">1161.6*1000000</f>
        <v>1161600000</v>
      </c>
      <c r="F22" s="78" t="s">
        <v>635</v>
      </c>
    </row>
    <row r="23" customFormat="false" ht="15" hidden="false" customHeight="true" outlineLevel="0" collapsed="false">
      <c r="A23" s="73" t="n">
        <v>20</v>
      </c>
      <c r="B23" s="74" t="s">
        <v>636</v>
      </c>
      <c r="C23" s="74"/>
      <c r="D23" s="75" t="s">
        <v>637</v>
      </c>
      <c r="E23" s="76" t="n">
        <f aca="false">1112.4*1000000</f>
        <v>1112400000</v>
      </c>
      <c r="F23" s="78" t="s">
        <v>638</v>
      </c>
    </row>
    <row r="25" customFormat="false" ht="14.25" hidden="false" customHeight="true" outlineLevel="0" collapsed="false">
      <c r="A25" s="20" t="s">
        <v>639</v>
      </c>
    </row>
    <row r="26" customFormat="false" ht="14.25" hidden="false" customHeight="true" outlineLevel="0" collapsed="false">
      <c r="A26" s="20"/>
    </row>
    <row r="27" customFormat="false" ht="409.5" hidden="false" customHeight="true" outlineLevel="0" collapsed="false">
      <c r="A27" s="69" t="s">
        <v>13</v>
      </c>
      <c r="B27" s="71" t="s">
        <v>640</v>
      </c>
      <c r="C27" s="71" t="s">
        <v>641</v>
      </c>
      <c r="D27" s="72" t="s">
        <v>576</v>
      </c>
      <c r="E27" s="71" t="s">
        <v>642</v>
      </c>
      <c r="F27" s="71" t="s">
        <v>578</v>
      </c>
      <c r="M27" s="16" t="s">
        <v>428</v>
      </c>
      <c r="W27" s="79" t="s">
        <v>429</v>
      </c>
    </row>
    <row r="28" customFormat="false" ht="15" hidden="false" customHeight="true" outlineLevel="0" collapsed="false">
      <c r="A28" s="73" t="n">
        <v>1</v>
      </c>
      <c r="B28" s="74" t="s">
        <v>643</v>
      </c>
      <c r="C28" s="80" t="n">
        <v>1035329776</v>
      </c>
      <c r="D28" s="75" t="s">
        <v>581</v>
      </c>
      <c r="E28" s="76" t="n">
        <v>1035329776</v>
      </c>
      <c r="F28" s="77" t="s">
        <v>644</v>
      </c>
    </row>
    <row r="29" customFormat="false" ht="14.25" hidden="false" customHeight="true" outlineLevel="0" collapsed="false">
      <c r="A29" s="73" t="n">
        <v>2</v>
      </c>
      <c r="B29" s="74" t="s">
        <v>645</v>
      </c>
      <c r="C29" s="80" t="n">
        <v>908000000</v>
      </c>
      <c r="D29" s="75" t="s">
        <v>581</v>
      </c>
      <c r="E29" s="76" t="n">
        <v>908000000</v>
      </c>
      <c r="F29" s="81"/>
    </row>
    <row r="30" customFormat="false" ht="15" hidden="false" customHeight="true" outlineLevel="0" collapsed="false">
      <c r="A30" s="73" t="n">
        <v>3</v>
      </c>
      <c r="B30" s="74" t="s">
        <v>646</v>
      </c>
      <c r="C30" s="80" t="n">
        <v>905023000</v>
      </c>
      <c r="D30" s="75" t="s">
        <v>581</v>
      </c>
      <c r="E30" s="76" t="n">
        <v>905023000</v>
      </c>
      <c r="F30" s="77" t="s">
        <v>647</v>
      </c>
    </row>
    <row r="31" customFormat="false" ht="15" hidden="false" customHeight="true" outlineLevel="0" collapsed="false">
      <c r="A31" s="73" t="n">
        <v>4</v>
      </c>
      <c r="B31" s="74" t="s">
        <v>648</v>
      </c>
      <c r="C31" s="80" t="n">
        <v>816820210</v>
      </c>
      <c r="D31" s="75" t="s">
        <v>581</v>
      </c>
      <c r="E31" s="76" t="n">
        <v>816820210</v>
      </c>
      <c r="F31" s="77" t="s">
        <v>649</v>
      </c>
    </row>
    <row r="32" customFormat="false" ht="15" hidden="false" customHeight="true" outlineLevel="0" collapsed="false">
      <c r="A32" s="73" t="n">
        <v>5</v>
      </c>
      <c r="B32" s="74" t="s">
        <v>650</v>
      </c>
      <c r="C32" s="74" t="s">
        <v>651</v>
      </c>
      <c r="D32" s="75" t="s">
        <v>634</v>
      </c>
      <c r="E32" s="82" t="s">
        <v>652</v>
      </c>
      <c r="F32" s="78" t="s">
        <v>653</v>
      </c>
    </row>
    <row r="33" customFormat="false" ht="15" hidden="false" customHeight="true" outlineLevel="0" collapsed="false">
      <c r="A33" s="73" t="n">
        <v>6</v>
      </c>
      <c r="B33" s="74" t="s">
        <v>654</v>
      </c>
      <c r="C33" s="74" t="s">
        <v>655</v>
      </c>
      <c r="D33" s="75" t="s">
        <v>591</v>
      </c>
      <c r="E33" s="82" t="s">
        <v>656</v>
      </c>
      <c r="F33" s="81" t="s">
        <v>657</v>
      </c>
    </row>
    <row r="34" customFormat="false" ht="15" hidden="false" customHeight="true" outlineLevel="0" collapsed="false">
      <c r="A34" s="73" t="n">
        <v>7</v>
      </c>
      <c r="B34" s="74" t="s">
        <v>658</v>
      </c>
      <c r="C34" s="74" t="s">
        <v>659</v>
      </c>
      <c r="D34" s="75" t="s">
        <v>660</v>
      </c>
      <c r="E34" s="82" t="s">
        <v>661</v>
      </c>
      <c r="F34" s="78" t="s">
        <v>662</v>
      </c>
    </row>
    <row r="35" customFormat="false" ht="14.25" hidden="false" customHeight="true" outlineLevel="0" collapsed="false">
      <c r="A35" s="73" t="n">
        <v>8</v>
      </c>
      <c r="B35" s="74" t="s">
        <v>663</v>
      </c>
      <c r="C35" s="74" t="s">
        <v>664</v>
      </c>
      <c r="D35" s="75" t="s">
        <v>637</v>
      </c>
      <c r="E35" s="82" t="s">
        <v>665</v>
      </c>
      <c r="F35" s="81" t="s">
        <v>666</v>
      </c>
    </row>
    <row r="36" customFormat="false" ht="14.25" hidden="false" customHeight="true" outlineLevel="0" collapsed="false">
      <c r="A36" s="73" t="n">
        <v>9</v>
      </c>
      <c r="B36" s="74" t="s">
        <v>667</v>
      </c>
      <c r="C36" s="74" t="s">
        <v>668</v>
      </c>
      <c r="D36" s="75" t="s">
        <v>591</v>
      </c>
      <c r="E36" s="82" t="s">
        <v>669</v>
      </c>
      <c r="F36" s="81" t="s">
        <v>670</v>
      </c>
    </row>
    <row r="37" customFormat="false" ht="15" hidden="false" customHeight="true" outlineLevel="0" collapsed="false">
      <c r="A37" s="73" t="n">
        <v>10</v>
      </c>
      <c r="B37" s="74" t="s">
        <v>671</v>
      </c>
      <c r="C37" s="74" t="s">
        <v>672</v>
      </c>
      <c r="D37" s="75" t="s">
        <v>637</v>
      </c>
      <c r="E37" s="82" t="s">
        <v>673</v>
      </c>
      <c r="F37" s="81" t="s">
        <v>674</v>
      </c>
    </row>
    <row r="38" customFormat="false" ht="15" hidden="false" customHeight="true" outlineLevel="0" collapsed="false">
      <c r="A38" s="73" t="n">
        <v>11</v>
      </c>
      <c r="B38" s="74" t="s">
        <v>675</v>
      </c>
      <c r="C38" s="74" t="s">
        <v>676</v>
      </c>
      <c r="D38" s="75" t="s">
        <v>660</v>
      </c>
      <c r="E38" s="82" t="s">
        <v>677</v>
      </c>
      <c r="F38" s="78" t="s">
        <v>678</v>
      </c>
    </row>
    <row r="39" customFormat="false" ht="15" hidden="false" customHeight="true" outlineLevel="0" collapsed="false">
      <c r="A39" s="73" t="n">
        <v>12</v>
      </c>
      <c r="B39" s="74" t="s">
        <v>679</v>
      </c>
      <c r="C39" s="74" t="s">
        <v>680</v>
      </c>
      <c r="D39" s="75" t="s">
        <v>681</v>
      </c>
      <c r="E39" s="82" t="s">
        <v>682</v>
      </c>
      <c r="F39" s="78" t="s">
        <v>683</v>
      </c>
    </row>
    <row r="40" customFormat="false" ht="14.25" hidden="false" customHeight="true" outlineLevel="0" collapsed="false">
      <c r="A40" s="73" t="n">
        <v>13</v>
      </c>
      <c r="B40" s="74" t="s">
        <v>684</v>
      </c>
      <c r="C40" s="74" t="s">
        <v>685</v>
      </c>
      <c r="D40" s="75" t="s">
        <v>686</v>
      </c>
      <c r="E40" s="82" t="s">
        <v>687</v>
      </c>
      <c r="F40" s="81" t="s">
        <v>688</v>
      </c>
    </row>
    <row r="41" customFormat="false" ht="15" hidden="false" customHeight="true" outlineLevel="0" collapsed="false">
      <c r="A41" s="73" t="n">
        <v>14</v>
      </c>
      <c r="B41" s="74" t="s">
        <v>689</v>
      </c>
      <c r="C41" s="74" t="s">
        <v>690</v>
      </c>
      <c r="D41" s="75" t="s">
        <v>691</v>
      </c>
      <c r="E41" s="82" t="s">
        <v>692</v>
      </c>
      <c r="F41" s="17" t="s">
        <v>693</v>
      </c>
    </row>
    <row r="42" customFormat="false" ht="14.25" hidden="false" customHeight="true" outlineLevel="0" collapsed="false">
      <c r="A42" s="73" t="n">
        <v>15</v>
      </c>
      <c r="B42" s="74" t="s">
        <v>694</v>
      </c>
      <c r="C42" s="74" t="s">
        <v>695</v>
      </c>
      <c r="D42" s="75" t="s">
        <v>696</v>
      </c>
      <c r="E42" s="82" t="s">
        <v>697</v>
      </c>
      <c r="F42" s="81" t="s">
        <v>698</v>
      </c>
    </row>
  </sheetData>
  <hyperlinks>
    <hyperlink ref="F4" r:id="rId1" display="Global network across 130+ countries via Marsh, Guy Carpenter, Mercer, Oliver Wyman [businesswire.com]"/>
    <hyperlink ref="F5" r:id="rId2" display="Global (Risk &amp; Human Capital platforms; presence across all major regions) [aon.mediaroom.com]"/>
    <hyperlink ref="F6" r:id="rId3" display="Global footprint via owned ops &amp; network partners [insuranceb...essmag.com]"/>
    <hyperlink ref="F7" r:id="rId4" display="Global (strong in GB/Europe, Americas, APAC) [businessin...urance.com]"/>
    <hyperlink ref="F8" r:id="rId5" display="U.S., Canada &amp; Mexico operations noted [businesswire.com]"/>
    <hyperlink ref="F9" r:id="rId6" display="U.S. with UK/International capabilities (programs/wholesale) [rvbusiness.com]"/>
    <hyperlink ref="F10" r:id="rId7" display="U.S. &amp; Canada dominant; selected international specialty placements [businessin...urance.com]"/>
    <hyperlink ref="F11" r:id="rId8" display="Operations in 55 countries (FY2024 release) [howdengrou...ldings.com]"/>
    <hyperlink ref="F12" r:id="rId9" display="Present in 23 countries (broking + fintech adjacencies) [crainsgran...rapids.com]"/>
    <hyperlink ref="F13" r:id="rId10" display="International operations (Europe, Asia, LatAm; &gt;140 countries via network) [businessin...urance.com]"/>
    <hyperlink ref="F14" r:id="rId11" display="U.S., UK &amp; Ireland (international offices) [assuredpartners.com]"/>
    <hyperlink ref="F15" r:id="rId12" display="Primarily U.S. (select international solutions through partners) [usi.com]"/>
    <hyperlink ref="F16" r:id="rId13" display="30+ territories; UK, Europe, APAC, LatAm, RoW (Sustainability report) [ardonagh.com]"/>
    <hyperlink ref="F17" r:id="rId14" display="Predominantly U.S. network of partner agencies [broadstreetcorp.com]"/>
    <hyperlink ref="F18" r:id="rId15" display="U.S. &amp; Canada (wholesale/program reach to international markets) [insurancejournal.com]"/>
    <hyperlink ref="F19" r:id="rId16" display="Primarily U.S.; selective international client servicing [aleragroup.com]"/>
    <hyperlink ref="F20" r:id="rId17" display="Predominantly U.S.; specialty lines with international placements [alliant.com]"/>
    <hyperlink ref="F21" r:id="rId18" display="Primarily U.S. with some international capabilities via specialty alliances [epicbrokers.com]"/>
    <hyperlink ref="F22" r:id="rId19" display="Australasia + US network (ISU), Singapore etc. [annualreports.com]"/>
    <hyperlink ref="F23" r:id="rId20" display="~half of revenue now outside France; EMEA &amp; Asia (group release) [diot-siaci.com]"/>
    <hyperlink ref="F28" r:id="rId21" display="Primarily U.S. (national footprint) [onedigital.com]"/>
    <hyperlink ref="F30" r:id="rId22" display="Primarily U.S. footprint [alliant.com]"/>
    <hyperlink ref="F31" r:id="rId23" display="Primarily U.S.; international placements via partner markets [alliant.com]"/>
    <hyperlink ref="F32" r:id="rId24" display="ANZ + UK (Tysers) + India/MENA through network/units [aubgroup.com.au]"/>
    <hyperlink ref="F34" r:id="rId25" display="Germany + Europe platform (&gt;50 broker/MGA companies under GGW) [permira.com]"/>
    <hyperlink ref="F38" r:id="rId26" display="37 locations across DACH, CEE, IT, CH, AT, PL, RO, etc. (company site) [funk-gruppe.de]"/>
    <hyperlink ref="F39" r:id="rId27" display="Private; FY2024 consolidated revenue not public; Swiss + global through networks; own presence in CH &amp; LIE. [kessler.ch]"/>
    <hyperlink ref="F41" r:id="rId28" display="RENOMIA GROUP | RENOMI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9"/>
  <sheetViews>
    <sheetView showFormulas="false" showGridLines="false" showRowColHeaders="true" showZeros="true" rightToLeft="false" tabSelected="true" showOutlineSymbols="true" defaultGridColor="true" view="normal" topLeftCell="A1" colorId="64" zoomScale="58" zoomScaleNormal="58" zoomScalePageLayoutView="100" workbookViewId="0">
      <pane xSplit="2" ySplit="3" topLeftCell="C47" activePane="bottomRight" state="frozen"/>
      <selection pane="topLeft" activeCell="A1" activeCellId="0" sqref="A1"/>
      <selection pane="topRight" activeCell="C1" activeCellId="0" sqref="C1"/>
      <selection pane="bottomLeft" activeCell="A47" activeCellId="0" sqref="A47"/>
      <selection pane="bottomRight" activeCell="A47" activeCellId="0" sqref="A47"/>
    </sheetView>
  </sheetViews>
  <sheetFormatPr defaultColWidth="8.8203125" defaultRowHeight="12" zeroHeight="false" outlineLevelRow="0" outlineLevelCol="0"/>
  <cols>
    <col collapsed="false" customWidth="true" hidden="false" outlineLevel="0" max="1" min="1" style="83" width="8.54"/>
    <col collapsed="false" customWidth="true" hidden="false" outlineLevel="0" max="2" min="2" style="84" width="47"/>
    <col collapsed="false" customWidth="true" hidden="false" outlineLevel="0" max="3" min="3" style="84" width="27.91"/>
    <col collapsed="false" customWidth="true" hidden="false" outlineLevel="0" max="7" min="4" style="84" width="24.27"/>
    <col collapsed="false" customWidth="true" hidden="false" outlineLevel="0" max="8" min="8" style="85" width="12.82"/>
    <col collapsed="false" customWidth="true" hidden="false" outlineLevel="0" max="9" min="9" style="85" width="15.18"/>
    <col collapsed="false" customWidth="true" hidden="false" outlineLevel="0" max="10" min="10" style="85" width="12.82"/>
    <col collapsed="false" customWidth="true" hidden="false" outlineLevel="0" max="11" min="11" style="86" width="18.82"/>
    <col collapsed="false" customWidth="true" hidden="false" outlineLevel="0" max="12" min="12" style="85" width="18.45"/>
    <col collapsed="false" customWidth="true" hidden="false" outlineLevel="0" max="13" min="13" style="85" width="21.82"/>
    <col collapsed="false" customWidth="true" hidden="true" outlineLevel="0" max="14" min="14" style="84" width="42"/>
    <col collapsed="false" customWidth="true" hidden="false" outlineLevel="0" max="15" min="15" style="84" width="47"/>
    <col collapsed="false" customWidth="true" hidden="false" outlineLevel="0" max="18" min="16" style="84" width="42"/>
    <col collapsed="false" customWidth="true" hidden="false" outlineLevel="0" max="19" min="19" style="87" width="77.82"/>
    <col collapsed="false" customWidth="true" hidden="false" outlineLevel="0" max="20" min="20" style="87" width="80.18"/>
    <col collapsed="false" customWidth="true" hidden="false" outlineLevel="0" max="21" min="21" style="84" width="41"/>
    <col collapsed="false" customWidth="true" hidden="false" outlineLevel="0" max="22" min="22" style="84" width="18.45"/>
    <col collapsed="false" customWidth="true" hidden="false" outlineLevel="0" max="23" min="23" style="84" width="19.27"/>
    <col collapsed="false" customWidth="true" hidden="false" outlineLevel="0" max="24" min="24" style="84" width="35"/>
    <col collapsed="false" customWidth="true" hidden="false" outlineLevel="0" max="25" min="25" style="84" width="40.54"/>
    <col collapsed="false" customWidth="true" hidden="true" outlineLevel="0" max="26" min="26" style="84" width="42.54"/>
    <col collapsed="false" customWidth="false" hidden="false" outlineLevel="0" max="16384" min="27" style="84" width="8.82"/>
  </cols>
  <sheetData>
    <row r="1" customFormat="false" ht="24" hidden="false" customHeight="true" outlineLevel="0" collapsed="false">
      <c r="A1" s="88" t="s">
        <v>699</v>
      </c>
      <c r="B1" s="88"/>
      <c r="C1" s="88"/>
      <c r="D1" s="88"/>
      <c r="E1" s="88"/>
      <c r="F1" s="88"/>
      <c r="G1" s="88"/>
      <c r="H1" s="88"/>
      <c r="I1" s="88"/>
      <c r="J1" s="89"/>
      <c r="K1" s="90"/>
      <c r="L1" s="90"/>
      <c r="M1" s="90"/>
      <c r="N1" s="89"/>
      <c r="O1" s="89"/>
      <c r="P1" s="89"/>
      <c r="Q1" s="89"/>
      <c r="R1" s="89"/>
      <c r="S1" s="86"/>
      <c r="T1" s="86"/>
      <c r="U1" s="89"/>
      <c r="V1" s="89"/>
      <c r="W1" s="89"/>
      <c r="X1" s="89"/>
      <c r="Y1" s="89"/>
    </row>
    <row r="2" customFormat="false" ht="12" hidden="false" customHeight="true" outlineLevel="0" collapsed="false">
      <c r="A2" s="91" t="s">
        <v>700</v>
      </c>
      <c r="B2" s="89"/>
      <c r="C2" s="89"/>
      <c r="D2" s="89"/>
      <c r="E2" s="92" t="s">
        <v>701</v>
      </c>
      <c r="F2" s="89"/>
      <c r="G2" s="89"/>
      <c r="H2" s="93"/>
      <c r="I2" s="93"/>
      <c r="J2" s="89"/>
      <c r="L2" s="94"/>
      <c r="M2" s="94"/>
      <c r="N2" s="94"/>
      <c r="O2" s="95"/>
      <c r="P2" s="95"/>
      <c r="Q2" s="95"/>
      <c r="R2" s="95"/>
      <c r="S2" s="86"/>
      <c r="T2" s="86"/>
      <c r="U2" s="89"/>
      <c r="V2" s="89"/>
      <c r="W2" s="89"/>
      <c r="X2" s="89"/>
      <c r="Y2" s="89"/>
    </row>
    <row r="3" s="83" customFormat="true" ht="42" hidden="false" customHeight="true" outlineLevel="0" collapsed="false">
      <c r="A3" s="96" t="s">
        <v>6</v>
      </c>
      <c r="B3" s="97" t="s">
        <v>702</v>
      </c>
      <c r="C3" s="98" t="s">
        <v>703</v>
      </c>
      <c r="D3" s="98" t="s">
        <v>704</v>
      </c>
      <c r="E3" s="98" t="s">
        <v>705</v>
      </c>
      <c r="F3" s="98" t="s">
        <v>706</v>
      </c>
      <c r="G3" s="98" t="s">
        <v>707</v>
      </c>
      <c r="H3" s="97" t="s">
        <v>708</v>
      </c>
      <c r="I3" s="97" t="s">
        <v>709</v>
      </c>
      <c r="J3" s="97" t="s">
        <v>710</v>
      </c>
      <c r="K3" s="97" t="s">
        <v>165</v>
      </c>
      <c r="L3" s="96"/>
      <c r="M3" s="96"/>
      <c r="N3" s="96" t="s">
        <v>168</v>
      </c>
      <c r="O3" s="99" t="s">
        <v>711</v>
      </c>
      <c r="P3" s="99" t="s">
        <v>712</v>
      </c>
      <c r="Q3" s="98" t="s">
        <v>713</v>
      </c>
      <c r="R3" s="99" t="s">
        <v>714</v>
      </c>
      <c r="S3" s="97" t="s">
        <v>170</v>
      </c>
      <c r="T3" s="97" t="s">
        <v>331</v>
      </c>
      <c r="U3" s="100" t="s">
        <v>715</v>
      </c>
      <c r="V3" s="100" t="s">
        <v>716</v>
      </c>
      <c r="W3" s="100" t="s">
        <v>717</v>
      </c>
      <c r="X3" s="100" t="s">
        <v>718</v>
      </c>
      <c r="Y3" s="100" t="s">
        <v>719</v>
      </c>
      <c r="Z3" s="83" t="s">
        <v>720</v>
      </c>
    </row>
    <row r="4" customFormat="false" ht="408.75" hidden="false" customHeight="true" outlineLevel="0" collapsed="false">
      <c r="A4" s="101" t="n">
        <v>1</v>
      </c>
      <c r="B4" s="102" t="s">
        <v>721</v>
      </c>
      <c r="C4" s="103" t="s">
        <v>722</v>
      </c>
      <c r="D4" s="102" t="s">
        <v>723</v>
      </c>
      <c r="E4" s="102" t="s">
        <v>724</v>
      </c>
      <c r="F4" s="102" t="s">
        <v>725</v>
      </c>
      <c r="G4" s="104" t="s">
        <v>726</v>
      </c>
      <c r="H4" s="105" t="n">
        <v>156000</v>
      </c>
      <c r="I4" s="105" t="n">
        <v>10000</v>
      </c>
      <c r="J4" s="106" t="s">
        <v>727</v>
      </c>
      <c r="K4" s="106" t="s">
        <v>728</v>
      </c>
      <c r="L4" s="106"/>
      <c r="M4" s="106"/>
      <c r="N4" s="106" t="s">
        <v>729</v>
      </c>
      <c r="O4" s="107" t="s">
        <v>730</v>
      </c>
      <c r="P4" s="107" t="s">
        <v>731</v>
      </c>
      <c r="Q4" s="107" t="s">
        <v>732</v>
      </c>
      <c r="R4" s="108" t="s">
        <v>733</v>
      </c>
      <c r="S4" s="109" t="s">
        <v>734</v>
      </c>
      <c r="T4" s="110" t="s">
        <v>735</v>
      </c>
      <c r="U4" s="111" t="s">
        <v>736</v>
      </c>
      <c r="V4" s="112" t="s">
        <v>737</v>
      </c>
      <c r="W4" s="112" t="s">
        <v>738</v>
      </c>
      <c r="X4" s="112" t="s">
        <v>739</v>
      </c>
      <c r="Y4" s="106" t="s">
        <v>740</v>
      </c>
    </row>
    <row r="5" customFormat="false" ht="408.75" hidden="false" customHeight="true" outlineLevel="0" collapsed="false">
      <c r="A5" s="101" t="n">
        <v>2</v>
      </c>
      <c r="B5" s="102" t="s">
        <v>741</v>
      </c>
      <c r="C5" s="103" t="s">
        <v>722</v>
      </c>
      <c r="D5" s="102" t="s">
        <v>742</v>
      </c>
      <c r="E5" s="102" t="s">
        <v>743</v>
      </c>
      <c r="F5" s="102" t="s">
        <v>744</v>
      </c>
      <c r="G5" s="104" t="s">
        <v>726</v>
      </c>
      <c r="H5" s="102" t="n">
        <v>53300</v>
      </c>
      <c r="I5" s="102" t="n">
        <v>4300</v>
      </c>
      <c r="J5" s="106" t="s">
        <v>745</v>
      </c>
      <c r="K5" s="106" t="s">
        <v>746</v>
      </c>
      <c r="L5" s="106"/>
      <c r="M5" s="106"/>
      <c r="N5" s="106" t="s">
        <v>747</v>
      </c>
      <c r="O5" s="107" t="s">
        <v>748</v>
      </c>
      <c r="P5" s="107" t="s">
        <v>749</v>
      </c>
      <c r="Q5" s="107" t="s">
        <v>750</v>
      </c>
      <c r="R5" s="108" t="s">
        <v>751</v>
      </c>
      <c r="S5" s="106" t="s">
        <v>752</v>
      </c>
      <c r="T5" s="110" t="s">
        <v>753</v>
      </c>
      <c r="U5" s="111" t="s">
        <v>754</v>
      </c>
      <c r="V5" s="112" t="s">
        <v>737</v>
      </c>
      <c r="W5" s="112" t="s">
        <v>755</v>
      </c>
      <c r="X5" s="112" t="s">
        <v>756</v>
      </c>
      <c r="Y5" s="112" t="s">
        <v>757</v>
      </c>
      <c r="Z5" s="87" t="s">
        <v>758</v>
      </c>
    </row>
    <row r="6" customFormat="false" ht="408.75" hidden="false" customHeight="true" outlineLevel="0" collapsed="false">
      <c r="A6" s="101" t="n">
        <v>3</v>
      </c>
      <c r="B6" s="102" t="s">
        <v>759</v>
      </c>
      <c r="C6" s="103" t="s">
        <v>722</v>
      </c>
      <c r="D6" s="102" t="s">
        <v>760</v>
      </c>
      <c r="E6" s="102" t="s">
        <v>761</v>
      </c>
      <c r="F6" s="102" t="s">
        <v>762</v>
      </c>
      <c r="G6" s="104" t="s">
        <v>726</v>
      </c>
      <c r="H6" s="102" t="n">
        <v>22200</v>
      </c>
      <c r="I6" s="102" t="n">
        <v>995</v>
      </c>
      <c r="J6" s="106" t="s">
        <v>763</v>
      </c>
      <c r="K6" s="106" t="s">
        <v>764</v>
      </c>
      <c r="L6" s="106"/>
      <c r="M6" s="106"/>
      <c r="N6" s="106" t="s">
        <v>765</v>
      </c>
      <c r="O6" s="108" t="s">
        <v>766</v>
      </c>
      <c r="P6" s="108" t="s">
        <v>767</v>
      </c>
      <c r="Q6" s="107" t="s">
        <v>768</v>
      </c>
      <c r="R6" s="108" t="s">
        <v>769</v>
      </c>
      <c r="S6" s="106" t="s">
        <v>770</v>
      </c>
      <c r="T6" s="110" t="s">
        <v>771</v>
      </c>
      <c r="U6" s="111" t="s">
        <v>772</v>
      </c>
      <c r="V6" s="112" t="s">
        <v>773</v>
      </c>
      <c r="W6" s="112" t="s">
        <v>774</v>
      </c>
      <c r="X6" s="112" t="s">
        <v>775</v>
      </c>
      <c r="Y6" s="112" t="s">
        <v>764</v>
      </c>
    </row>
    <row r="7" customFormat="false" ht="399.75" hidden="false" customHeight="true" outlineLevel="0" collapsed="false">
      <c r="A7" s="101" t="n">
        <v>4</v>
      </c>
      <c r="B7" s="102" t="s">
        <v>776</v>
      </c>
      <c r="C7" s="103" t="s">
        <v>722</v>
      </c>
      <c r="D7" s="102" t="s">
        <v>777</v>
      </c>
      <c r="E7" s="102" t="s">
        <v>778</v>
      </c>
      <c r="F7" s="104" t="s">
        <v>726</v>
      </c>
      <c r="G7" s="104" t="s">
        <v>726</v>
      </c>
      <c r="H7" s="102" t="n">
        <v>60000</v>
      </c>
      <c r="I7" s="102" t="s">
        <v>779</v>
      </c>
      <c r="J7" s="106" t="s">
        <v>780</v>
      </c>
      <c r="K7" s="106" t="s">
        <v>781</v>
      </c>
      <c r="L7" s="106"/>
      <c r="M7" s="106"/>
      <c r="N7" s="106" t="s">
        <v>782</v>
      </c>
      <c r="O7" s="107" t="s">
        <v>783</v>
      </c>
      <c r="P7" s="108" t="s">
        <v>784</v>
      </c>
      <c r="Q7" s="107" t="s">
        <v>785</v>
      </c>
      <c r="R7" s="108" t="s">
        <v>769</v>
      </c>
      <c r="S7" s="106" t="s">
        <v>786</v>
      </c>
      <c r="T7" s="110" t="s">
        <v>787</v>
      </c>
      <c r="U7" s="112"/>
      <c r="V7" s="112" t="s">
        <v>737</v>
      </c>
      <c r="W7" s="112" t="s">
        <v>788</v>
      </c>
      <c r="X7" s="112" t="s">
        <v>739</v>
      </c>
      <c r="Y7" s="106" t="s">
        <v>789</v>
      </c>
    </row>
    <row r="8" customFormat="false" ht="399.75" hidden="false" customHeight="true" outlineLevel="0" collapsed="false">
      <c r="A8" s="101" t="n">
        <v>5</v>
      </c>
      <c r="B8" s="102" t="s">
        <v>790</v>
      </c>
      <c r="C8" s="103" t="s">
        <v>722</v>
      </c>
      <c r="D8" s="102" t="s">
        <v>791</v>
      </c>
      <c r="E8" s="102" t="s">
        <v>792</v>
      </c>
      <c r="F8" s="102" t="s">
        <v>793</v>
      </c>
      <c r="G8" s="104" t="s">
        <v>726</v>
      </c>
      <c r="H8" s="105" t="n">
        <v>13000</v>
      </c>
      <c r="I8" s="102" t="s">
        <v>794</v>
      </c>
      <c r="J8" s="113" t="n">
        <v>41000</v>
      </c>
      <c r="K8" s="106" t="s">
        <v>795</v>
      </c>
      <c r="L8" s="106"/>
      <c r="M8" s="112"/>
      <c r="N8" s="106" t="s">
        <v>796</v>
      </c>
      <c r="O8" s="107" t="s">
        <v>797</v>
      </c>
      <c r="P8" s="108" t="s">
        <v>798</v>
      </c>
      <c r="Q8" s="107" t="s">
        <v>799</v>
      </c>
      <c r="R8" s="108" t="s">
        <v>769</v>
      </c>
      <c r="S8" s="106" t="s">
        <v>800</v>
      </c>
      <c r="T8" s="110" t="s">
        <v>801</v>
      </c>
      <c r="U8" s="114" t="s">
        <v>802</v>
      </c>
      <c r="V8" s="112" t="s">
        <v>737</v>
      </c>
      <c r="W8" s="115" t="s">
        <v>803</v>
      </c>
      <c r="X8" s="112" t="s">
        <v>739</v>
      </c>
      <c r="Y8" s="106" t="s">
        <v>804</v>
      </c>
    </row>
    <row r="9" customFormat="false" ht="408.75" hidden="false" customHeight="true" outlineLevel="0" collapsed="false">
      <c r="A9" s="101" t="n">
        <v>6</v>
      </c>
      <c r="B9" s="102" t="s">
        <v>805</v>
      </c>
      <c r="C9" s="103" t="s">
        <v>722</v>
      </c>
      <c r="D9" s="102" t="s">
        <v>806</v>
      </c>
      <c r="E9" s="102" t="s">
        <v>807</v>
      </c>
      <c r="F9" s="102" t="s">
        <v>808</v>
      </c>
      <c r="G9" s="104" t="s">
        <v>726</v>
      </c>
      <c r="H9" s="116" t="s">
        <v>809</v>
      </c>
      <c r="I9" s="104" t="s">
        <v>810</v>
      </c>
      <c r="J9" s="117" t="s">
        <v>811</v>
      </c>
      <c r="K9" s="106" t="s">
        <v>812</v>
      </c>
      <c r="L9" s="106"/>
      <c r="M9" s="112"/>
      <c r="N9" s="106" t="s">
        <v>813</v>
      </c>
      <c r="O9" s="107" t="s">
        <v>814</v>
      </c>
      <c r="P9" s="107" t="s">
        <v>815</v>
      </c>
      <c r="Q9" s="107" t="s">
        <v>816</v>
      </c>
      <c r="R9" s="108" t="s">
        <v>817</v>
      </c>
      <c r="S9" s="106" t="s">
        <v>818</v>
      </c>
      <c r="T9" s="110" t="s">
        <v>819</v>
      </c>
      <c r="U9" s="106" t="s">
        <v>820</v>
      </c>
      <c r="V9" s="112" t="s">
        <v>821</v>
      </c>
      <c r="W9" s="112" t="s">
        <v>822</v>
      </c>
      <c r="X9" s="112" t="s">
        <v>823</v>
      </c>
      <c r="Y9" s="112" t="s">
        <v>824</v>
      </c>
      <c r="Z9" s="87" t="s">
        <v>825</v>
      </c>
    </row>
    <row r="10" customFormat="false" ht="408.75" hidden="false" customHeight="true" outlineLevel="0" collapsed="false">
      <c r="A10" s="101" t="n">
        <v>7</v>
      </c>
      <c r="B10" s="102" t="s">
        <v>826</v>
      </c>
      <c r="C10" s="103" t="s">
        <v>722</v>
      </c>
      <c r="D10" s="102" t="s">
        <v>827</v>
      </c>
      <c r="E10" s="102" t="s">
        <v>828</v>
      </c>
      <c r="F10" s="102" t="s">
        <v>829</v>
      </c>
      <c r="G10" s="104" t="s">
        <v>726</v>
      </c>
      <c r="H10" s="102" t="s">
        <v>830</v>
      </c>
      <c r="I10" s="102" t="s">
        <v>831</v>
      </c>
      <c r="J10" s="106" t="s">
        <v>832</v>
      </c>
      <c r="K10" s="106" t="s">
        <v>833</v>
      </c>
      <c r="L10" s="106"/>
      <c r="M10" s="106"/>
      <c r="N10" s="106" t="s">
        <v>834</v>
      </c>
      <c r="O10" s="107" t="s">
        <v>835</v>
      </c>
      <c r="P10" s="106"/>
      <c r="Q10" s="107" t="s">
        <v>836</v>
      </c>
      <c r="R10" s="108" t="s">
        <v>837</v>
      </c>
      <c r="S10" s="106" t="s">
        <v>838</v>
      </c>
      <c r="T10" s="110" t="s">
        <v>839</v>
      </c>
      <c r="U10" s="118" t="s">
        <v>840</v>
      </c>
      <c r="V10" s="112" t="s">
        <v>841</v>
      </c>
      <c r="W10" s="112" t="s">
        <v>842</v>
      </c>
      <c r="X10" s="112" t="s">
        <v>843</v>
      </c>
      <c r="Y10" s="106" t="s">
        <v>844</v>
      </c>
    </row>
    <row r="11" customFormat="false" ht="300" hidden="false" customHeight="true" outlineLevel="0" collapsed="false">
      <c r="A11" s="101" t="n">
        <v>8</v>
      </c>
      <c r="B11" s="102" t="s">
        <v>845</v>
      </c>
      <c r="C11" s="103" t="s">
        <v>722</v>
      </c>
      <c r="D11" s="102" t="s">
        <v>846</v>
      </c>
      <c r="E11" s="104" t="s">
        <v>847</v>
      </c>
      <c r="F11" s="104" t="s">
        <v>848</v>
      </c>
      <c r="G11" s="104" t="s">
        <v>726</v>
      </c>
      <c r="H11" s="105" t="n">
        <v>100000</v>
      </c>
      <c r="I11" s="102" t="n">
        <v>7868</v>
      </c>
      <c r="J11" s="106" t="s">
        <v>849</v>
      </c>
      <c r="K11" s="106" t="s">
        <v>850</v>
      </c>
      <c r="L11" s="112"/>
      <c r="M11" s="106"/>
      <c r="N11" s="106" t="s">
        <v>851</v>
      </c>
      <c r="O11" s="107" t="s">
        <v>852</v>
      </c>
      <c r="P11" s="107" t="s">
        <v>853</v>
      </c>
      <c r="Q11" s="107" t="s">
        <v>854</v>
      </c>
      <c r="R11" s="108" t="s">
        <v>855</v>
      </c>
      <c r="S11" s="106" t="s">
        <v>856</v>
      </c>
      <c r="T11" s="110" t="s">
        <v>857</v>
      </c>
      <c r="U11" s="119" t="s">
        <v>858</v>
      </c>
      <c r="V11" s="112" t="s">
        <v>737</v>
      </c>
      <c r="W11" s="106" t="s">
        <v>859</v>
      </c>
      <c r="X11" s="112" t="s">
        <v>739</v>
      </c>
      <c r="Y11" s="112" t="s">
        <v>860</v>
      </c>
      <c r="Z11" s="87" t="s">
        <v>861</v>
      </c>
    </row>
    <row r="12" customFormat="false" ht="408.75" hidden="false" customHeight="true" outlineLevel="0" collapsed="false">
      <c r="A12" s="101" t="n">
        <v>9</v>
      </c>
      <c r="B12" s="102" t="s">
        <v>862</v>
      </c>
      <c r="C12" s="103" t="s">
        <v>722</v>
      </c>
      <c r="D12" s="102" t="s">
        <v>863</v>
      </c>
      <c r="E12" s="102" t="s">
        <v>864</v>
      </c>
      <c r="F12" s="120" t="s">
        <v>865</v>
      </c>
      <c r="G12" s="104" t="s">
        <v>726</v>
      </c>
      <c r="H12" s="105" t="s">
        <v>866</v>
      </c>
      <c r="I12" s="102" t="s">
        <v>867</v>
      </c>
      <c r="J12" s="106" t="s">
        <v>868</v>
      </c>
      <c r="K12" s="121" t="s">
        <v>869</v>
      </c>
      <c r="L12" s="106"/>
      <c r="M12" s="106"/>
      <c r="N12" s="106" t="s">
        <v>870</v>
      </c>
      <c r="O12" s="107" t="s">
        <v>871</v>
      </c>
      <c r="P12" s="107" t="s">
        <v>872</v>
      </c>
      <c r="Q12" s="107" t="s">
        <v>873</v>
      </c>
      <c r="R12" s="108" t="s">
        <v>874</v>
      </c>
      <c r="S12" s="106" t="s">
        <v>875</v>
      </c>
      <c r="T12" s="110" t="s">
        <v>876</v>
      </c>
      <c r="U12" s="110" t="s">
        <v>877</v>
      </c>
      <c r="V12" s="106" t="s">
        <v>878</v>
      </c>
      <c r="W12" s="112" t="s">
        <v>737</v>
      </c>
      <c r="X12" s="106" t="s">
        <v>879</v>
      </c>
      <c r="Y12" s="106" t="s">
        <v>880</v>
      </c>
      <c r="Z12" s="87" t="s">
        <v>881</v>
      </c>
    </row>
    <row r="13" customFormat="false" ht="408.75" hidden="false" customHeight="true" outlineLevel="0" collapsed="false">
      <c r="A13" s="101" t="n">
        <v>10</v>
      </c>
      <c r="B13" s="102" t="s">
        <v>882</v>
      </c>
      <c r="C13" s="103" t="s">
        <v>722</v>
      </c>
      <c r="D13" s="102" t="s">
        <v>883</v>
      </c>
      <c r="E13" s="102" t="s">
        <v>884</v>
      </c>
      <c r="F13" s="102" t="s">
        <v>885</v>
      </c>
      <c r="G13" s="104" t="s">
        <v>726</v>
      </c>
      <c r="H13" s="102" t="n">
        <v>10000</v>
      </c>
      <c r="I13" s="102" t="n">
        <v>600</v>
      </c>
      <c r="J13" s="106" t="s">
        <v>763</v>
      </c>
      <c r="K13" s="106" t="s">
        <v>886</v>
      </c>
      <c r="L13" s="106"/>
      <c r="M13" s="106"/>
      <c r="N13" s="106" t="s">
        <v>17</v>
      </c>
      <c r="O13" s="107" t="s">
        <v>887</v>
      </c>
      <c r="P13" s="108" t="s">
        <v>888</v>
      </c>
      <c r="Q13" s="108" t="s">
        <v>889</v>
      </c>
      <c r="R13" s="108" t="s">
        <v>890</v>
      </c>
      <c r="S13" s="106" t="s">
        <v>891</v>
      </c>
      <c r="T13" s="110" t="s">
        <v>892</v>
      </c>
      <c r="U13" s="112"/>
      <c r="V13" s="112" t="s">
        <v>893</v>
      </c>
      <c r="W13" s="112" t="s">
        <v>894</v>
      </c>
      <c r="X13" s="112" t="s">
        <v>372</v>
      </c>
      <c r="Y13" s="112" t="s">
        <v>895</v>
      </c>
    </row>
    <row r="14" customFormat="false" ht="408.75" hidden="false" customHeight="true" outlineLevel="0" collapsed="false">
      <c r="A14" s="101" t="n">
        <v>11</v>
      </c>
      <c r="B14" s="102" t="s">
        <v>896</v>
      </c>
      <c r="C14" s="103" t="s">
        <v>897</v>
      </c>
      <c r="D14" s="102" t="s">
        <v>760</v>
      </c>
      <c r="E14" s="102" t="s">
        <v>898</v>
      </c>
      <c r="F14" s="102" t="s">
        <v>899</v>
      </c>
      <c r="G14" s="102"/>
      <c r="H14" s="102" t="n">
        <v>6000</v>
      </c>
      <c r="I14" s="102" t="n">
        <v>7</v>
      </c>
      <c r="J14" s="106" t="s">
        <v>900</v>
      </c>
      <c r="K14" s="106" t="s">
        <v>901</v>
      </c>
      <c r="L14" s="112"/>
      <c r="M14" s="106"/>
      <c r="N14" s="106" t="s">
        <v>17</v>
      </c>
      <c r="O14" s="122" t="s">
        <v>902</v>
      </c>
      <c r="P14" s="122" t="s">
        <v>903</v>
      </c>
      <c r="Q14" s="122" t="s">
        <v>904</v>
      </c>
      <c r="R14" s="122" t="s">
        <v>903</v>
      </c>
      <c r="S14" s="106" t="s">
        <v>905</v>
      </c>
      <c r="T14" s="110" t="s">
        <v>906</v>
      </c>
      <c r="U14" s="112"/>
      <c r="V14" s="112" t="s">
        <v>737</v>
      </c>
      <c r="W14" s="112" t="s">
        <v>737</v>
      </c>
      <c r="X14" s="112" t="s">
        <v>739</v>
      </c>
      <c r="Y14" s="112" t="s">
        <v>907</v>
      </c>
      <c r="Z14" s="87" t="s">
        <v>908</v>
      </c>
    </row>
    <row r="15" customFormat="false" ht="300" hidden="false" customHeight="true" outlineLevel="0" collapsed="false">
      <c r="A15" s="101" t="n">
        <v>12</v>
      </c>
      <c r="B15" s="102" t="s">
        <v>909</v>
      </c>
      <c r="C15" s="103" t="s">
        <v>897</v>
      </c>
      <c r="D15" s="102" t="s">
        <v>910</v>
      </c>
      <c r="E15" s="102" t="s">
        <v>911</v>
      </c>
      <c r="F15" s="102" t="s">
        <v>912</v>
      </c>
      <c r="G15" s="102"/>
      <c r="H15" s="102" t="n">
        <v>20000</v>
      </c>
      <c r="I15" s="102" t="n">
        <v>5000</v>
      </c>
      <c r="J15" s="123" t="n">
        <v>39825</v>
      </c>
      <c r="K15" s="106" t="s">
        <v>913</v>
      </c>
      <c r="L15" s="112"/>
      <c r="M15" s="106"/>
      <c r="N15" s="106" t="s">
        <v>17</v>
      </c>
      <c r="O15" s="122" t="s">
        <v>914</v>
      </c>
      <c r="P15" s="108" t="s">
        <v>915</v>
      </c>
      <c r="Q15" s="122" t="s">
        <v>916</v>
      </c>
      <c r="R15" s="124" t="s">
        <v>917</v>
      </c>
      <c r="S15" s="106" t="s">
        <v>918</v>
      </c>
      <c r="T15" s="110" t="s">
        <v>919</v>
      </c>
      <c r="U15" s="112"/>
      <c r="V15" s="112" t="s">
        <v>737</v>
      </c>
      <c r="W15" s="112" t="s">
        <v>920</v>
      </c>
      <c r="X15" s="112" t="s">
        <v>739</v>
      </c>
      <c r="Y15" s="112" t="s">
        <v>739</v>
      </c>
      <c r="Z15" s="84" t="s">
        <v>921</v>
      </c>
    </row>
    <row r="16" customFormat="false" ht="408.75" hidden="false" customHeight="true" outlineLevel="0" collapsed="false">
      <c r="A16" s="101" t="n">
        <v>13</v>
      </c>
      <c r="B16" s="102" t="s">
        <v>922</v>
      </c>
      <c r="C16" s="103" t="s">
        <v>897</v>
      </c>
      <c r="D16" s="102" t="s">
        <v>923</v>
      </c>
      <c r="E16" s="102" t="s">
        <v>924</v>
      </c>
      <c r="F16" s="102" t="s">
        <v>925</v>
      </c>
      <c r="G16" s="102"/>
      <c r="H16" s="102" t="n">
        <v>56000</v>
      </c>
      <c r="I16" s="102" t="n">
        <v>10000</v>
      </c>
      <c r="J16" s="106" t="s">
        <v>926</v>
      </c>
      <c r="K16" s="106" t="s">
        <v>927</v>
      </c>
      <c r="L16" s="112"/>
      <c r="M16" s="106"/>
      <c r="N16" s="106" t="s">
        <v>17</v>
      </c>
      <c r="O16" s="124" t="s">
        <v>928</v>
      </c>
      <c r="P16" s="122" t="s">
        <v>929</v>
      </c>
      <c r="Q16" s="122" t="s">
        <v>930</v>
      </c>
      <c r="R16" s="124" t="s">
        <v>931</v>
      </c>
      <c r="S16" s="106" t="s">
        <v>932</v>
      </c>
      <c r="T16" s="110" t="s">
        <v>933</v>
      </c>
      <c r="U16" s="112"/>
      <c r="V16" s="125" t="s">
        <v>934</v>
      </c>
      <c r="W16" s="125" t="s">
        <v>935</v>
      </c>
      <c r="X16" s="112" t="s">
        <v>739</v>
      </c>
      <c r="Y16" s="106" t="s">
        <v>936</v>
      </c>
      <c r="Z16" s="87" t="s">
        <v>937</v>
      </c>
    </row>
    <row r="17" customFormat="false" ht="408.75" hidden="false" customHeight="true" outlineLevel="0" collapsed="false">
      <c r="A17" s="101" t="n">
        <v>14</v>
      </c>
      <c r="B17" s="102" t="s">
        <v>938</v>
      </c>
      <c r="C17" s="103" t="s">
        <v>897</v>
      </c>
      <c r="D17" s="102" t="s">
        <v>939</v>
      </c>
      <c r="E17" s="102" t="s">
        <v>940</v>
      </c>
      <c r="F17" s="102" t="s">
        <v>899</v>
      </c>
      <c r="G17" s="102"/>
      <c r="H17" s="102" t="n">
        <v>3895</v>
      </c>
      <c r="I17" s="102" t="n">
        <v>37</v>
      </c>
      <c r="J17" s="106" t="s">
        <v>941</v>
      </c>
      <c r="K17" s="106" t="s">
        <v>942</v>
      </c>
      <c r="L17" s="106"/>
      <c r="M17" s="106"/>
      <c r="N17" s="106" t="s">
        <v>943</v>
      </c>
      <c r="O17" s="124" t="s">
        <v>944</v>
      </c>
      <c r="P17" s="124" t="s">
        <v>945</v>
      </c>
      <c r="Q17" s="122" t="s">
        <v>946</v>
      </c>
      <c r="R17" s="106" t="s">
        <v>947</v>
      </c>
      <c r="S17" s="106" t="s">
        <v>948</v>
      </c>
      <c r="T17" s="110" t="s">
        <v>949</v>
      </c>
      <c r="U17" s="112"/>
      <c r="V17" s="112" t="s">
        <v>737</v>
      </c>
      <c r="W17" s="126" t="s">
        <v>950</v>
      </c>
      <c r="X17" s="112" t="s">
        <v>739</v>
      </c>
      <c r="Y17" s="106" t="s">
        <v>942</v>
      </c>
      <c r="Z17" s="84" t="s">
        <v>921</v>
      </c>
    </row>
    <row r="18" customFormat="false" ht="408.75" hidden="false" customHeight="true" outlineLevel="0" collapsed="false">
      <c r="A18" s="101" t="n">
        <v>15</v>
      </c>
      <c r="B18" s="102" t="s">
        <v>130</v>
      </c>
      <c r="C18" s="103" t="s">
        <v>897</v>
      </c>
      <c r="D18" s="102" t="s">
        <v>939</v>
      </c>
      <c r="E18" s="120" t="s">
        <v>951</v>
      </c>
      <c r="F18" s="102" t="s">
        <v>952</v>
      </c>
      <c r="G18" s="102"/>
      <c r="H18" s="102" t="n">
        <v>22000</v>
      </c>
      <c r="I18" s="102" t="n">
        <v>30</v>
      </c>
      <c r="J18" s="106" t="s">
        <v>953</v>
      </c>
      <c r="K18" s="106" t="s">
        <v>954</v>
      </c>
      <c r="L18" s="106"/>
      <c r="M18" s="106"/>
      <c r="N18" s="106" t="s">
        <v>955</v>
      </c>
      <c r="O18" s="122" t="s">
        <v>956</v>
      </c>
      <c r="P18" s="106" t="s">
        <v>957</v>
      </c>
      <c r="Q18" s="122" t="s">
        <v>958</v>
      </c>
      <c r="R18" s="106" t="s">
        <v>947</v>
      </c>
      <c r="S18" s="106" t="s">
        <v>959</v>
      </c>
      <c r="T18" s="110" t="s">
        <v>960</v>
      </c>
      <c r="U18" s="112"/>
      <c r="V18" s="112" t="s">
        <v>737</v>
      </c>
      <c r="W18" s="112" t="s">
        <v>737</v>
      </c>
      <c r="X18" s="112" t="s">
        <v>739</v>
      </c>
      <c r="Y18" s="112" t="s">
        <v>961</v>
      </c>
    </row>
    <row r="19" customFormat="false" ht="408.75" hidden="false" customHeight="true" outlineLevel="0" collapsed="false">
      <c r="A19" s="101" t="n">
        <v>16</v>
      </c>
      <c r="B19" s="102" t="s">
        <v>962</v>
      </c>
      <c r="C19" s="103" t="s">
        <v>897</v>
      </c>
      <c r="D19" s="102" t="s">
        <v>963</v>
      </c>
      <c r="E19" s="120" t="s">
        <v>964</v>
      </c>
      <c r="F19" s="105" t="s">
        <v>965</v>
      </c>
      <c r="G19" s="102"/>
      <c r="H19" s="102" t="n">
        <v>85000</v>
      </c>
      <c r="I19" s="102" t="s">
        <v>966</v>
      </c>
      <c r="J19" s="106" t="s">
        <v>967</v>
      </c>
      <c r="K19" s="106" t="s">
        <v>968</v>
      </c>
      <c r="L19" s="106"/>
      <c r="M19" s="106"/>
      <c r="N19" s="106" t="s">
        <v>969</v>
      </c>
      <c r="O19" s="124" t="s">
        <v>970</v>
      </c>
      <c r="P19" s="124" t="s">
        <v>971</v>
      </c>
      <c r="Q19" s="124" t="s">
        <v>972</v>
      </c>
      <c r="R19" s="124" t="s">
        <v>973</v>
      </c>
      <c r="S19" s="106" t="s">
        <v>974</v>
      </c>
      <c r="T19" s="110" t="s">
        <v>975</v>
      </c>
      <c r="U19" s="110" t="s">
        <v>976</v>
      </c>
      <c r="V19" s="112" t="s">
        <v>737</v>
      </c>
      <c r="W19" s="112" t="s">
        <v>977</v>
      </c>
      <c r="X19" s="112" t="s">
        <v>739</v>
      </c>
      <c r="Y19" s="112" t="s">
        <v>978</v>
      </c>
      <c r="Z19" s="87" t="s">
        <v>979</v>
      </c>
    </row>
    <row r="20" customFormat="false" ht="408.75" hidden="false" customHeight="true" outlineLevel="0" collapsed="false">
      <c r="A20" s="101" t="n">
        <v>17</v>
      </c>
      <c r="B20" s="102" t="s">
        <v>980</v>
      </c>
      <c r="C20" s="103" t="s">
        <v>897</v>
      </c>
      <c r="D20" s="102" t="s">
        <v>981</v>
      </c>
      <c r="E20" s="120" t="s">
        <v>982</v>
      </c>
      <c r="F20" s="102" t="s">
        <v>983</v>
      </c>
      <c r="G20" s="102"/>
      <c r="H20" s="102" t="n">
        <v>7000</v>
      </c>
      <c r="I20" s="102" t="s">
        <v>984</v>
      </c>
      <c r="J20" s="106" t="s">
        <v>985</v>
      </c>
      <c r="K20" s="106" t="s">
        <v>485</v>
      </c>
      <c r="L20" s="112"/>
      <c r="M20" s="106"/>
      <c r="N20" s="106" t="s">
        <v>17</v>
      </c>
      <c r="O20" s="124" t="s">
        <v>986</v>
      </c>
      <c r="P20" s="124" t="s">
        <v>987</v>
      </c>
      <c r="Q20" s="124" t="s">
        <v>988</v>
      </c>
      <c r="R20" s="124" t="s">
        <v>989</v>
      </c>
      <c r="S20" s="106" t="s">
        <v>990</v>
      </c>
      <c r="T20" s="110" t="s">
        <v>991</v>
      </c>
      <c r="U20" s="110" t="s">
        <v>992</v>
      </c>
      <c r="V20" s="112" t="s">
        <v>737</v>
      </c>
      <c r="W20" s="112" t="s">
        <v>993</v>
      </c>
      <c r="X20" s="112" t="s">
        <v>994</v>
      </c>
      <c r="Y20" s="112" t="s">
        <v>995</v>
      </c>
      <c r="Z20" s="84" t="s">
        <v>921</v>
      </c>
    </row>
    <row r="21" customFormat="false" ht="408.75" hidden="false" customHeight="true" outlineLevel="0" collapsed="false">
      <c r="A21" s="101" t="n">
        <v>18</v>
      </c>
      <c r="B21" s="102" t="s">
        <v>996</v>
      </c>
      <c r="C21" s="103" t="s">
        <v>897</v>
      </c>
      <c r="D21" s="102" t="s">
        <v>997</v>
      </c>
      <c r="E21" s="120" t="s">
        <v>998</v>
      </c>
      <c r="F21" s="102" t="s">
        <v>999</v>
      </c>
      <c r="G21" s="102"/>
      <c r="H21" s="102" t="s">
        <v>1000</v>
      </c>
      <c r="I21" s="102" t="n">
        <v>4000</v>
      </c>
      <c r="J21" s="106" t="s">
        <v>967</v>
      </c>
      <c r="K21" s="106" t="s">
        <v>1001</v>
      </c>
      <c r="L21" s="106"/>
      <c r="M21" s="106"/>
      <c r="N21" s="106" t="s">
        <v>1002</v>
      </c>
      <c r="O21" s="122" t="s">
        <v>1003</v>
      </c>
      <c r="P21" s="124" t="s">
        <v>1004</v>
      </c>
      <c r="Q21" s="124" t="s">
        <v>1005</v>
      </c>
      <c r="R21" s="124" t="s">
        <v>1006</v>
      </c>
      <c r="S21" s="106" t="s">
        <v>1007</v>
      </c>
      <c r="T21" s="110" t="s">
        <v>1008</v>
      </c>
      <c r="U21" s="110" t="s">
        <v>1009</v>
      </c>
      <c r="V21" s="112" t="s">
        <v>737</v>
      </c>
      <c r="W21" s="112" t="s">
        <v>1010</v>
      </c>
      <c r="X21" s="112" t="s">
        <v>1011</v>
      </c>
      <c r="Y21" s="126" t="s">
        <v>1001</v>
      </c>
    </row>
    <row r="22" customFormat="false" ht="408.75" hidden="false" customHeight="true" outlineLevel="0" collapsed="false">
      <c r="A22" s="101" t="n">
        <v>19</v>
      </c>
      <c r="B22" s="102" t="s">
        <v>1012</v>
      </c>
      <c r="C22" s="103" t="s">
        <v>897</v>
      </c>
      <c r="D22" s="102" t="s">
        <v>1013</v>
      </c>
      <c r="E22" s="120" t="s">
        <v>1014</v>
      </c>
      <c r="F22" s="102" t="s">
        <v>1015</v>
      </c>
      <c r="G22" s="102"/>
      <c r="H22" s="102" t="n">
        <v>14000</v>
      </c>
      <c r="I22" s="102" t="n">
        <v>2374</v>
      </c>
      <c r="J22" s="106" t="s">
        <v>1016</v>
      </c>
      <c r="K22" s="127" t="s">
        <v>1017</v>
      </c>
      <c r="L22" s="106"/>
      <c r="M22" s="106"/>
      <c r="N22" s="106" t="s">
        <v>1018</v>
      </c>
      <c r="O22" s="124" t="s">
        <v>1019</v>
      </c>
      <c r="P22" s="106" t="s">
        <v>1020</v>
      </c>
      <c r="Q22" s="124" t="s">
        <v>1021</v>
      </c>
      <c r="R22" s="124" t="s">
        <v>1022</v>
      </c>
      <c r="S22" s="109" t="s">
        <v>1023</v>
      </c>
      <c r="T22" s="110" t="s">
        <v>1024</v>
      </c>
      <c r="U22" s="110" t="s">
        <v>1025</v>
      </c>
      <c r="V22" s="112" t="s">
        <v>1026</v>
      </c>
      <c r="W22" s="112" t="s">
        <v>1027</v>
      </c>
      <c r="X22" s="112" t="s">
        <v>1028</v>
      </c>
      <c r="Y22" s="128" t="s">
        <v>1029</v>
      </c>
      <c r="Z22" s="87" t="s">
        <v>1030</v>
      </c>
    </row>
    <row r="23" customFormat="false" ht="408.75" hidden="false" customHeight="true" outlineLevel="0" collapsed="false">
      <c r="A23" s="101" t="n">
        <v>20</v>
      </c>
      <c r="B23" s="102" t="s">
        <v>1031</v>
      </c>
      <c r="C23" s="103" t="s">
        <v>897</v>
      </c>
      <c r="D23" s="102" t="s">
        <v>1032</v>
      </c>
      <c r="E23" s="102" t="s">
        <v>1033</v>
      </c>
      <c r="F23" s="102" t="s">
        <v>1034</v>
      </c>
      <c r="G23" s="102"/>
      <c r="H23" s="102" t="s">
        <v>1035</v>
      </c>
      <c r="I23" s="102" t="n">
        <v>175</v>
      </c>
      <c r="J23" s="106" t="s">
        <v>1036</v>
      </c>
      <c r="K23" s="106" t="s">
        <v>1037</v>
      </c>
      <c r="L23" s="112"/>
      <c r="M23" s="106"/>
      <c r="N23" s="106" t="s">
        <v>17</v>
      </c>
      <c r="O23" s="122" t="s">
        <v>1038</v>
      </c>
      <c r="P23" s="122" t="s">
        <v>1039</v>
      </c>
      <c r="Q23" s="122" t="s">
        <v>1040</v>
      </c>
      <c r="R23" s="106" t="s">
        <v>1041</v>
      </c>
      <c r="S23" s="106" t="s">
        <v>1042</v>
      </c>
      <c r="T23" s="110" t="s">
        <v>1043</v>
      </c>
      <c r="U23" s="110" t="s">
        <v>1044</v>
      </c>
      <c r="V23" s="112" t="s">
        <v>737</v>
      </c>
      <c r="W23" s="112" t="s">
        <v>737</v>
      </c>
      <c r="X23" s="106" t="s">
        <v>1045</v>
      </c>
      <c r="Y23" s="106" t="s">
        <v>1046</v>
      </c>
      <c r="Z23" s="84" t="s">
        <v>921</v>
      </c>
    </row>
    <row r="24" customFormat="false" ht="287.25" hidden="false" customHeight="true" outlineLevel="0" collapsed="false">
      <c r="A24" s="129" t="n">
        <v>21</v>
      </c>
      <c r="B24" s="102" t="s">
        <v>1047</v>
      </c>
      <c r="C24" s="130" t="s">
        <v>1048</v>
      </c>
      <c r="D24" s="102" t="s">
        <v>1049</v>
      </c>
      <c r="E24" s="102" t="s">
        <v>1050</v>
      </c>
      <c r="F24" s="102"/>
      <c r="G24" s="102"/>
      <c r="H24" s="102" t="n">
        <v>6000</v>
      </c>
      <c r="I24" s="102" t="n">
        <v>1054</v>
      </c>
      <c r="J24" s="106" t="s">
        <v>727</v>
      </c>
      <c r="K24" s="106" t="s">
        <v>1051</v>
      </c>
      <c r="L24" s="106"/>
      <c r="M24" s="106"/>
      <c r="N24" s="106" t="s">
        <v>1052</v>
      </c>
      <c r="O24" s="124" t="s">
        <v>1053</v>
      </c>
      <c r="P24" s="124" t="s">
        <v>1054</v>
      </c>
      <c r="Q24" s="124" t="s">
        <v>1055</v>
      </c>
      <c r="R24" s="124" t="s">
        <v>1056</v>
      </c>
      <c r="S24" s="106" t="s">
        <v>1057</v>
      </c>
      <c r="T24" s="110" t="s">
        <v>1058</v>
      </c>
      <c r="U24" s="110" t="s">
        <v>1059</v>
      </c>
      <c r="V24" s="106" t="s">
        <v>737</v>
      </c>
      <c r="W24" s="106" t="s">
        <v>1060</v>
      </c>
      <c r="X24" s="106" t="s">
        <v>1061</v>
      </c>
      <c r="Y24" s="106" t="s">
        <v>1062</v>
      </c>
    </row>
    <row r="25" customFormat="false" ht="408.75" hidden="false" customHeight="true" outlineLevel="0" collapsed="false">
      <c r="A25" s="129" t="n">
        <v>22</v>
      </c>
      <c r="B25" s="102" t="s">
        <v>1063</v>
      </c>
      <c r="C25" s="130" t="s">
        <v>1048</v>
      </c>
      <c r="D25" s="102" t="s">
        <v>1064</v>
      </c>
      <c r="E25" s="102" t="s">
        <v>1065</v>
      </c>
      <c r="F25" s="102" t="s">
        <v>1066</v>
      </c>
      <c r="G25" s="102"/>
      <c r="H25" s="102" t="n">
        <v>40000</v>
      </c>
      <c r="I25" s="102" t="n">
        <v>2200</v>
      </c>
      <c r="J25" s="106" t="s">
        <v>1067</v>
      </c>
      <c r="K25" s="106" t="s">
        <v>465</v>
      </c>
      <c r="L25" s="106"/>
      <c r="M25" s="106"/>
      <c r="N25" s="106" t="s">
        <v>1052</v>
      </c>
      <c r="O25" s="122" t="s">
        <v>1068</v>
      </c>
      <c r="P25" s="124" t="s">
        <v>1069</v>
      </c>
      <c r="Q25" s="124" t="s">
        <v>1070</v>
      </c>
      <c r="R25" s="124" t="s">
        <v>1071</v>
      </c>
      <c r="S25" s="106" t="s">
        <v>1072</v>
      </c>
      <c r="T25" s="110" t="s">
        <v>1073</v>
      </c>
      <c r="U25" s="110" t="s">
        <v>1074</v>
      </c>
      <c r="V25" s="106" t="s">
        <v>1075</v>
      </c>
      <c r="W25" s="106" t="s">
        <v>1076</v>
      </c>
      <c r="X25" s="106" t="s">
        <v>1077</v>
      </c>
      <c r="Y25" s="106" t="s">
        <v>1078</v>
      </c>
    </row>
    <row r="26" customFormat="false" ht="408.75" hidden="false" customHeight="true" outlineLevel="0" collapsed="false">
      <c r="A26" s="129" t="n">
        <v>23</v>
      </c>
      <c r="B26" s="102" t="s">
        <v>1079</v>
      </c>
      <c r="C26" s="130" t="s">
        <v>1048</v>
      </c>
      <c r="D26" s="102" t="s">
        <v>1080</v>
      </c>
      <c r="E26" s="102" t="s">
        <v>1081</v>
      </c>
      <c r="F26" s="102" t="s">
        <v>1082</v>
      </c>
      <c r="G26" s="102"/>
      <c r="H26" s="102" t="n">
        <v>8000</v>
      </c>
      <c r="I26" s="102" t="n">
        <v>2500</v>
      </c>
      <c r="J26" s="106" t="n">
        <v>2015</v>
      </c>
      <c r="K26" s="106" t="s">
        <v>1083</v>
      </c>
      <c r="L26" s="106"/>
      <c r="M26" s="106"/>
      <c r="N26" s="106" t="s">
        <v>17</v>
      </c>
      <c r="O26" s="122" t="s">
        <v>1084</v>
      </c>
      <c r="P26" s="124" t="s">
        <v>1085</v>
      </c>
      <c r="Q26" s="122" t="s">
        <v>1086</v>
      </c>
      <c r="R26" s="106" t="s">
        <v>1087</v>
      </c>
      <c r="S26" s="106" t="s">
        <v>1088</v>
      </c>
      <c r="T26" s="110" t="s">
        <v>1089</v>
      </c>
      <c r="U26" s="110" t="s">
        <v>1090</v>
      </c>
      <c r="V26" s="106" t="s">
        <v>737</v>
      </c>
      <c r="W26" s="106" t="s">
        <v>1091</v>
      </c>
      <c r="X26" s="106" t="s">
        <v>1092</v>
      </c>
      <c r="Y26" s="106" t="s">
        <v>1093</v>
      </c>
      <c r="Z26" s="84" t="s">
        <v>921</v>
      </c>
    </row>
    <row r="27" customFormat="false" ht="408.75" hidden="false" customHeight="true" outlineLevel="0" collapsed="false">
      <c r="A27" s="129" t="n">
        <v>24</v>
      </c>
      <c r="B27" s="102" t="s">
        <v>1094</v>
      </c>
      <c r="C27" s="130" t="s">
        <v>1048</v>
      </c>
      <c r="D27" s="102" t="s">
        <v>1095</v>
      </c>
      <c r="E27" s="102" t="s">
        <v>1096</v>
      </c>
      <c r="F27" s="102" t="s">
        <v>1097</v>
      </c>
      <c r="G27" s="102"/>
      <c r="H27" s="102" t="n">
        <v>19000</v>
      </c>
      <c r="I27" s="102" t="n">
        <v>3500</v>
      </c>
      <c r="J27" s="106" t="s">
        <v>1098</v>
      </c>
      <c r="K27" s="106" t="s">
        <v>1099</v>
      </c>
      <c r="L27" s="106"/>
      <c r="M27" s="106"/>
      <c r="N27" s="106" t="s">
        <v>1100</v>
      </c>
      <c r="O27" s="122" t="s">
        <v>1101</v>
      </c>
      <c r="P27" s="124" t="s">
        <v>1102</v>
      </c>
      <c r="Q27" s="124" t="s">
        <v>1103</v>
      </c>
      <c r="R27" s="124" t="s">
        <v>1104</v>
      </c>
      <c r="S27" s="106" t="s">
        <v>1105</v>
      </c>
      <c r="T27" s="110" t="s">
        <v>1106</v>
      </c>
      <c r="U27" s="110" t="s">
        <v>1107</v>
      </c>
      <c r="V27" s="106" t="s">
        <v>841</v>
      </c>
      <c r="W27" s="106" t="s">
        <v>1108</v>
      </c>
      <c r="X27" s="106" t="s">
        <v>1109</v>
      </c>
      <c r="Y27" s="106" t="s">
        <v>1110</v>
      </c>
    </row>
    <row r="28" customFormat="false" ht="408.75" hidden="false" customHeight="true" outlineLevel="0" collapsed="false">
      <c r="A28" s="129" t="n">
        <v>25</v>
      </c>
      <c r="B28" s="102" t="s">
        <v>1111</v>
      </c>
      <c r="C28" s="130" t="s">
        <v>1048</v>
      </c>
      <c r="D28" s="102" t="s">
        <v>1112</v>
      </c>
      <c r="E28" s="104" t="s">
        <v>1113</v>
      </c>
      <c r="F28" s="104" t="s">
        <v>1114</v>
      </c>
      <c r="G28" s="104" t="s">
        <v>726</v>
      </c>
      <c r="H28" s="102" t="n">
        <v>66900</v>
      </c>
      <c r="I28" s="104" t="n">
        <v>3500</v>
      </c>
      <c r="J28" s="117" t="s">
        <v>1115</v>
      </c>
      <c r="K28" s="106" t="s">
        <v>1116</v>
      </c>
      <c r="L28" s="106"/>
      <c r="M28" s="106"/>
      <c r="N28" s="106" t="s">
        <v>17</v>
      </c>
      <c r="O28" s="122" t="s">
        <v>1117</v>
      </c>
      <c r="P28" s="124" t="s">
        <v>1118</v>
      </c>
      <c r="Q28" s="122" t="s">
        <v>1119</v>
      </c>
      <c r="R28" s="124" t="s">
        <v>1120</v>
      </c>
      <c r="S28" s="106" t="s">
        <v>1121</v>
      </c>
      <c r="T28" s="110" t="s">
        <v>1122</v>
      </c>
      <c r="U28" s="106"/>
      <c r="V28" s="106" t="s">
        <v>737</v>
      </c>
      <c r="W28" s="106" t="s">
        <v>737</v>
      </c>
      <c r="X28" s="106" t="s">
        <v>1123</v>
      </c>
      <c r="Y28" s="106" t="s">
        <v>1124</v>
      </c>
    </row>
    <row r="29" customFormat="false" ht="408.75" hidden="false" customHeight="true" outlineLevel="0" collapsed="false">
      <c r="A29" s="129" t="n">
        <v>26</v>
      </c>
      <c r="B29" s="102" t="s">
        <v>1125</v>
      </c>
      <c r="C29" s="130" t="s">
        <v>1048</v>
      </c>
      <c r="D29" s="102" t="s">
        <v>1126</v>
      </c>
      <c r="E29" s="102" t="s">
        <v>1127</v>
      </c>
      <c r="F29" s="102" t="s">
        <v>1128</v>
      </c>
      <c r="G29" s="104" t="s">
        <v>726</v>
      </c>
      <c r="H29" s="102" t="n">
        <v>400000</v>
      </c>
      <c r="I29" s="104" t="n">
        <v>40000</v>
      </c>
      <c r="J29" s="117" t="s">
        <v>1129</v>
      </c>
      <c r="K29" s="106" t="s">
        <v>1130</v>
      </c>
      <c r="L29" s="106"/>
      <c r="M29" s="106"/>
      <c r="N29" s="106" t="s">
        <v>17</v>
      </c>
      <c r="O29" s="124" t="s">
        <v>1131</v>
      </c>
      <c r="P29" s="124" t="s">
        <v>1132</v>
      </c>
      <c r="Q29" s="124" t="s">
        <v>1133</v>
      </c>
      <c r="R29" s="106" t="s">
        <v>1087</v>
      </c>
      <c r="S29" s="106" t="s">
        <v>1134</v>
      </c>
      <c r="T29" s="110" t="s">
        <v>1135</v>
      </c>
      <c r="U29" s="110" t="s">
        <v>1136</v>
      </c>
      <c r="V29" s="106" t="s">
        <v>737</v>
      </c>
      <c r="W29" s="106" t="s">
        <v>1137</v>
      </c>
      <c r="X29" s="106" t="s">
        <v>739</v>
      </c>
      <c r="Y29" s="106" t="s">
        <v>1138</v>
      </c>
      <c r="Z29" s="84" t="s">
        <v>921</v>
      </c>
    </row>
    <row r="30" customFormat="false" ht="408.75" hidden="false" customHeight="true" outlineLevel="0" collapsed="false">
      <c r="A30" s="129" t="n">
        <v>27</v>
      </c>
      <c r="B30" s="102" t="s">
        <v>1139</v>
      </c>
      <c r="C30" s="130" t="s">
        <v>1048</v>
      </c>
      <c r="D30" s="102" t="s">
        <v>1140</v>
      </c>
      <c r="E30" s="131" t="s">
        <v>1141</v>
      </c>
      <c r="F30" s="131" t="s">
        <v>1142</v>
      </c>
      <c r="G30" s="102" t="s">
        <v>726</v>
      </c>
      <c r="H30" s="102" t="n">
        <v>15000</v>
      </c>
      <c r="I30" s="102" t="s">
        <v>1143</v>
      </c>
      <c r="J30" s="106" t="s">
        <v>1144</v>
      </c>
      <c r="K30" s="106" t="s">
        <v>1145</v>
      </c>
      <c r="L30" s="106"/>
      <c r="M30" s="106"/>
      <c r="N30" s="106"/>
      <c r="O30" s="122" t="s">
        <v>1146</v>
      </c>
      <c r="P30" s="124" t="s">
        <v>1147</v>
      </c>
      <c r="Q30" s="122" t="s">
        <v>1148</v>
      </c>
      <c r="R30" s="124" t="s">
        <v>1149</v>
      </c>
      <c r="S30" s="106" t="s">
        <v>1150</v>
      </c>
      <c r="T30" s="110" t="s">
        <v>1151</v>
      </c>
      <c r="U30" s="110" t="s">
        <v>1152</v>
      </c>
      <c r="V30" s="106" t="s">
        <v>841</v>
      </c>
      <c r="W30" s="106" t="s">
        <v>737</v>
      </c>
      <c r="X30" s="106" t="s">
        <v>1123</v>
      </c>
      <c r="Y30" s="110" t="s">
        <v>1153</v>
      </c>
      <c r="Z30" s="84" t="s">
        <v>921</v>
      </c>
    </row>
    <row r="31" customFormat="false" ht="408.75" hidden="false" customHeight="true" outlineLevel="0" collapsed="false">
      <c r="A31" s="129" t="n">
        <v>28</v>
      </c>
      <c r="B31" s="102" t="s">
        <v>1154</v>
      </c>
      <c r="C31" s="130" t="s">
        <v>1048</v>
      </c>
      <c r="D31" s="102" t="s">
        <v>1155</v>
      </c>
      <c r="E31" s="131" t="s">
        <v>1156</v>
      </c>
      <c r="F31" s="131" t="s">
        <v>1157</v>
      </c>
      <c r="G31" s="102" t="s">
        <v>726</v>
      </c>
      <c r="H31" s="102" t="n">
        <v>19000</v>
      </c>
      <c r="I31" s="102" t="s">
        <v>739</v>
      </c>
      <c r="J31" s="106" t="s">
        <v>1115</v>
      </c>
      <c r="K31" s="106" t="s">
        <v>1158</v>
      </c>
      <c r="L31" s="106"/>
      <c r="M31" s="106"/>
      <c r="N31" s="132" t="s">
        <v>1159</v>
      </c>
      <c r="O31" s="122" t="s">
        <v>1160</v>
      </c>
      <c r="P31" s="124" t="s">
        <v>1161</v>
      </c>
      <c r="Q31" s="124" t="s">
        <v>1162</v>
      </c>
      <c r="R31" s="122" t="s">
        <v>1163</v>
      </c>
      <c r="S31" s="106" t="s">
        <v>1164</v>
      </c>
      <c r="T31" s="110" t="s">
        <v>1165</v>
      </c>
      <c r="U31" s="110" t="s">
        <v>1166</v>
      </c>
      <c r="V31" s="106" t="s">
        <v>841</v>
      </c>
      <c r="W31" s="106" t="s">
        <v>737</v>
      </c>
      <c r="X31" s="106" t="s">
        <v>1123</v>
      </c>
      <c r="Y31" s="106" t="s">
        <v>1167</v>
      </c>
      <c r="Z31" s="84" t="s">
        <v>921</v>
      </c>
    </row>
    <row r="32" customFormat="false" ht="337.5" hidden="false" customHeight="true" outlineLevel="0" collapsed="false">
      <c r="A32" s="129" t="n">
        <v>29</v>
      </c>
      <c r="B32" s="102" t="s">
        <v>1168</v>
      </c>
      <c r="C32" s="130" t="s">
        <v>1048</v>
      </c>
      <c r="D32" s="102" t="s">
        <v>1169</v>
      </c>
      <c r="E32" s="133" t="s">
        <v>1170</v>
      </c>
      <c r="F32" s="104" t="s">
        <v>726</v>
      </c>
      <c r="G32" s="104" t="s">
        <v>726</v>
      </c>
      <c r="H32" s="102" t="s">
        <v>1171</v>
      </c>
      <c r="I32" s="104" t="s">
        <v>1172</v>
      </c>
      <c r="J32" s="117" t="s">
        <v>1173</v>
      </c>
      <c r="K32" s="106" t="s">
        <v>1174</v>
      </c>
      <c r="L32" s="106"/>
      <c r="M32" s="106"/>
      <c r="N32" s="112" t="s">
        <v>1175</v>
      </c>
      <c r="O32" s="122" t="s">
        <v>1176</v>
      </c>
      <c r="P32" s="124" t="s">
        <v>1177</v>
      </c>
      <c r="Q32" s="122" t="s">
        <v>1178</v>
      </c>
      <c r="R32" s="106" t="s">
        <v>1087</v>
      </c>
      <c r="S32" s="106" t="s">
        <v>1179</v>
      </c>
      <c r="T32" s="110" t="s">
        <v>1180</v>
      </c>
      <c r="U32" s="106"/>
      <c r="V32" s="106" t="s">
        <v>737</v>
      </c>
      <c r="W32" s="106" t="s">
        <v>1181</v>
      </c>
      <c r="X32" s="106" t="s">
        <v>739</v>
      </c>
      <c r="Y32" s="106" t="s">
        <v>739</v>
      </c>
    </row>
    <row r="33" customFormat="false" ht="408.75" hidden="false" customHeight="true" outlineLevel="0" collapsed="false">
      <c r="A33" s="129" t="n">
        <v>30</v>
      </c>
      <c r="B33" s="102" t="s">
        <v>1182</v>
      </c>
      <c r="C33" s="130" t="s">
        <v>1048</v>
      </c>
      <c r="D33" s="102" t="s">
        <v>1183</v>
      </c>
      <c r="E33" s="131" t="s">
        <v>1184</v>
      </c>
      <c r="F33" s="133" t="s">
        <v>1185</v>
      </c>
      <c r="G33" s="104" t="s">
        <v>726</v>
      </c>
      <c r="H33" s="102" t="s">
        <v>1171</v>
      </c>
      <c r="I33" s="104" t="s">
        <v>1186</v>
      </c>
      <c r="J33" s="117" t="s">
        <v>900</v>
      </c>
      <c r="K33" s="106" t="s">
        <v>1187</v>
      </c>
      <c r="L33" s="106"/>
      <c r="M33" s="106"/>
      <c r="N33" s="112" t="s">
        <v>1175</v>
      </c>
      <c r="O33" s="122" t="s">
        <v>1188</v>
      </c>
      <c r="P33" s="124" t="s">
        <v>1189</v>
      </c>
      <c r="Q33" s="124" t="s">
        <v>1190</v>
      </c>
      <c r="R33" s="106" t="s">
        <v>1087</v>
      </c>
      <c r="S33" s="106" t="s">
        <v>1191</v>
      </c>
      <c r="T33" s="110" t="s">
        <v>1192</v>
      </c>
      <c r="U33" s="106" t="s">
        <v>1193</v>
      </c>
      <c r="V33" s="106" t="s">
        <v>737</v>
      </c>
      <c r="W33" s="106" t="s">
        <v>1194</v>
      </c>
      <c r="X33" s="106" t="s">
        <v>739</v>
      </c>
      <c r="Y33" s="106" t="s">
        <v>1195</v>
      </c>
    </row>
    <row r="34" customFormat="false" ht="408.75" hidden="false" customHeight="true" outlineLevel="0" collapsed="false">
      <c r="A34" s="101" t="n">
        <v>31</v>
      </c>
      <c r="B34" s="102" t="s">
        <v>1196</v>
      </c>
      <c r="C34" s="103" t="s">
        <v>1197</v>
      </c>
      <c r="D34" s="134" t="s">
        <v>981</v>
      </c>
      <c r="E34" s="134" t="s">
        <v>1198</v>
      </c>
      <c r="F34" s="87" t="s">
        <v>1199</v>
      </c>
      <c r="G34" s="104" t="s">
        <v>726</v>
      </c>
      <c r="H34" s="102" t="s">
        <v>1200</v>
      </c>
      <c r="I34" s="104" t="s">
        <v>779</v>
      </c>
      <c r="J34" s="117" t="s">
        <v>1201</v>
      </c>
      <c r="K34" s="106" t="s">
        <v>1202</v>
      </c>
      <c r="L34" s="112"/>
      <c r="M34" s="106"/>
      <c r="N34" s="106" t="s">
        <v>1203</v>
      </c>
      <c r="O34" s="122" t="s">
        <v>1204</v>
      </c>
      <c r="P34" s="124" t="s">
        <v>1205</v>
      </c>
      <c r="Q34" s="124" t="s">
        <v>1206</v>
      </c>
      <c r="R34" s="135" t="s">
        <v>1207</v>
      </c>
      <c r="S34" s="106" t="s">
        <v>1208</v>
      </c>
      <c r="T34" s="110" t="s">
        <v>1209</v>
      </c>
      <c r="U34" s="112"/>
      <c r="V34" s="112" t="s">
        <v>737</v>
      </c>
      <c r="W34" s="112" t="s">
        <v>1210</v>
      </c>
      <c r="X34" s="112" t="s">
        <v>737</v>
      </c>
      <c r="Y34" s="106" t="s">
        <v>1211</v>
      </c>
      <c r="Z34" s="84" t="s">
        <v>921</v>
      </c>
    </row>
    <row r="35" customFormat="false" ht="387" hidden="false" customHeight="true" outlineLevel="0" collapsed="false">
      <c r="A35" s="136" t="n">
        <v>32</v>
      </c>
      <c r="B35" s="137" t="s">
        <v>1212</v>
      </c>
      <c r="C35" s="103" t="s">
        <v>1197</v>
      </c>
      <c r="D35" s="138" t="s">
        <v>981</v>
      </c>
      <c r="E35" s="138" t="s">
        <v>1213</v>
      </c>
      <c r="F35" s="104" t="s">
        <v>726</v>
      </c>
      <c r="G35" s="104" t="s">
        <v>726</v>
      </c>
      <c r="H35" s="139" t="s">
        <v>1214</v>
      </c>
      <c r="I35" s="138" t="s">
        <v>739</v>
      </c>
      <c r="J35" s="140" t="s">
        <v>1215</v>
      </c>
      <c r="K35" s="139" t="s">
        <v>1216</v>
      </c>
      <c r="L35" s="141"/>
      <c r="M35" s="141"/>
      <c r="N35" s="141" t="s">
        <v>1175</v>
      </c>
      <c r="O35" s="142" t="s">
        <v>1217</v>
      </c>
      <c r="P35" s="142" t="s">
        <v>1218</v>
      </c>
      <c r="Q35" s="143" t="s">
        <v>1219</v>
      </c>
      <c r="R35" s="135" t="s">
        <v>1207</v>
      </c>
      <c r="S35" s="139" t="s">
        <v>1220</v>
      </c>
      <c r="T35" s="144" t="s">
        <v>1221</v>
      </c>
      <c r="U35" s="145"/>
      <c r="V35" s="141" t="s">
        <v>737</v>
      </c>
      <c r="W35" s="141" t="s">
        <v>737</v>
      </c>
      <c r="X35" s="141" t="s">
        <v>737</v>
      </c>
      <c r="Y35" s="139" t="s">
        <v>1017</v>
      </c>
    </row>
    <row r="36" customFormat="false" ht="408.75" hidden="false" customHeight="true" outlineLevel="0" collapsed="false">
      <c r="A36" s="146" t="n">
        <v>33</v>
      </c>
      <c r="B36" s="147" t="s">
        <v>1222</v>
      </c>
      <c r="C36" s="103" t="s">
        <v>1197</v>
      </c>
      <c r="D36" s="148" t="s">
        <v>1223</v>
      </c>
      <c r="E36" s="148" t="s">
        <v>1224</v>
      </c>
      <c r="F36" s="138" t="s">
        <v>1225</v>
      </c>
      <c r="G36" s="104" t="s">
        <v>726</v>
      </c>
      <c r="H36" s="148" t="s">
        <v>1226</v>
      </c>
      <c r="I36" s="148" t="s">
        <v>1227</v>
      </c>
      <c r="J36" s="148" t="s">
        <v>1228</v>
      </c>
      <c r="K36" s="148" t="s">
        <v>1229</v>
      </c>
      <c r="L36" s="122"/>
      <c r="M36" s="122"/>
      <c r="N36" s="147" t="s">
        <v>1230</v>
      </c>
      <c r="O36" s="124" t="s">
        <v>1231</v>
      </c>
      <c r="P36" s="106" t="s">
        <v>1232</v>
      </c>
      <c r="Q36" s="124" t="s">
        <v>1233</v>
      </c>
      <c r="R36" s="135" t="s">
        <v>1207</v>
      </c>
      <c r="S36" s="147" t="s">
        <v>1234</v>
      </c>
      <c r="T36" s="147" t="s">
        <v>1235</v>
      </c>
      <c r="U36" s="147" t="s">
        <v>1236</v>
      </c>
      <c r="V36" s="147" t="s">
        <v>739</v>
      </c>
      <c r="W36" s="147" t="s">
        <v>1237</v>
      </c>
      <c r="X36" s="147" t="s">
        <v>739</v>
      </c>
      <c r="Y36" s="147" t="s">
        <v>1238</v>
      </c>
    </row>
    <row r="37" customFormat="false" ht="408.75" hidden="false" customHeight="true" outlineLevel="0" collapsed="false">
      <c r="A37" s="146" t="n">
        <v>34</v>
      </c>
      <c r="B37" s="135" t="s">
        <v>1239</v>
      </c>
      <c r="C37" s="103" t="s">
        <v>1197</v>
      </c>
      <c r="D37" s="149" t="s">
        <v>1240</v>
      </c>
      <c r="E37" s="149" t="s">
        <v>1241</v>
      </c>
      <c r="F37" s="149" t="s">
        <v>1242</v>
      </c>
      <c r="G37" s="149" t="s">
        <v>726</v>
      </c>
      <c r="H37" s="135" t="s">
        <v>1243</v>
      </c>
      <c r="I37" s="150" t="s">
        <v>739</v>
      </c>
      <c r="J37" s="151" t="s">
        <v>1244</v>
      </c>
      <c r="K37" s="135" t="s">
        <v>1245</v>
      </c>
      <c r="L37" s="147"/>
      <c r="M37" s="150"/>
      <c r="N37" s="135" t="s">
        <v>1246</v>
      </c>
      <c r="O37" s="124" t="s">
        <v>1247</v>
      </c>
      <c r="P37" s="122" t="s">
        <v>1248</v>
      </c>
      <c r="Q37" s="124" t="s">
        <v>1249</v>
      </c>
      <c r="R37" s="135" t="s">
        <v>1207</v>
      </c>
      <c r="S37" s="135" t="s">
        <v>1250</v>
      </c>
      <c r="T37" s="152" t="s">
        <v>1251</v>
      </c>
      <c r="U37" s="150" t="s">
        <v>1252</v>
      </c>
      <c r="V37" s="150" t="s">
        <v>739</v>
      </c>
      <c r="W37" s="150" t="s">
        <v>1253</v>
      </c>
      <c r="X37" s="150" t="s">
        <v>739</v>
      </c>
      <c r="Y37" s="135" t="s">
        <v>1254</v>
      </c>
    </row>
    <row r="38" customFormat="false" ht="408.75" hidden="false" customHeight="true" outlineLevel="0" collapsed="false">
      <c r="A38" s="146" t="n">
        <v>35</v>
      </c>
      <c r="B38" s="135" t="s">
        <v>1255</v>
      </c>
      <c r="C38" s="103" t="s">
        <v>1197</v>
      </c>
      <c r="D38" s="149" t="s">
        <v>1256</v>
      </c>
      <c r="E38" s="149" t="s">
        <v>1257</v>
      </c>
      <c r="F38" s="149" t="s">
        <v>726</v>
      </c>
      <c r="G38" s="149" t="s">
        <v>726</v>
      </c>
      <c r="H38" s="150" t="s">
        <v>739</v>
      </c>
      <c r="I38" s="150" t="s">
        <v>739</v>
      </c>
      <c r="J38" s="150" t="s">
        <v>739</v>
      </c>
      <c r="K38" s="135" t="s">
        <v>1258</v>
      </c>
      <c r="L38" s="150"/>
      <c r="M38" s="150"/>
      <c r="N38" s="150" t="s">
        <v>1175</v>
      </c>
      <c r="O38" s="122" t="s">
        <v>1259</v>
      </c>
      <c r="P38" s="124" t="s">
        <v>1260</v>
      </c>
      <c r="Q38" s="124" t="s">
        <v>1261</v>
      </c>
      <c r="R38" s="135" t="s">
        <v>1207</v>
      </c>
      <c r="S38" s="135" t="s">
        <v>1262</v>
      </c>
      <c r="T38" s="152" t="s">
        <v>1263</v>
      </c>
      <c r="U38" s="150" t="s">
        <v>1264</v>
      </c>
      <c r="V38" s="150" t="s">
        <v>739</v>
      </c>
      <c r="W38" s="150" t="s">
        <v>739</v>
      </c>
      <c r="X38" s="150" t="s">
        <v>739</v>
      </c>
      <c r="Y38" s="150" t="s">
        <v>739</v>
      </c>
    </row>
    <row r="39" customFormat="false" ht="408.75" hidden="false" customHeight="true" outlineLevel="0" collapsed="false">
      <c r="A39" s="146" t="n">
        <v>36</v>
      </c>
      <c r="B39" s="135" t="s">
        <v>1265</v>
      </c>
      <c r="C39" s="103" t="s">
        <v>1197</v>
      </c>
      <c r="D39" s="149" t="s">
        <v>1266</v>
      </c>
      <c r="E39" s="149" t="s">
        <v>1267</v>
      </c>
      <c r="F39" s="149" t="s">
        <v>1268</v>
      </c>
      <c r="G39" s="149" t="s">
        <v>726</v>
      </c>
      <c r="H39" s="153" t="s">
        <v>739</v>
      </c>
      <c r="I39" s="153" t="s">
        <v>739</v>
      </c>
      <c r="J39" s="153" t="s">
        <v>739</v>
      </c>
      <c r="K39" s="121" t="s">
        <v>1269</v>
      </c>
      <c r="L39" s="150"/>
      <c r="M39" s="150"/>
      <c r="N39" s="135" t="s">
        <v>1270</v>
      </c>
      <c r="O39" s="124" t="s">
        <v>1271</v>
      </c>
      <c r="P39" s="124" t="s">
        <v>1272</v>
      </c>
      <c r="Q39" s="124" t="s">
        <v>1273</v>
      </c>
      <c r="R39" s="121" t="s">
        <v>1207</v>
      </c>
      <c r="S39" s="135" t="s">
        <v>1274</v>
      </c>
      <c r="T39" s="152" t="s">
        <v>1275</v>
      </c>
      <c r="U39" s="150" t="s">
        <v>1276</v>
      </c>
      <c r="V39" s="150" t="s">
        <v>739</v>
      </c>
      <c r="W39" s="150" t="s">
        <v>739</v>
      </c>
      <c r="X39" s="150" t="s">
        <v>739</v>
      </c>
      <c r="Y39" s="150" t="s">
        <v>739</v>
      </c>
    </row>
    <row r="40" customFormat="false" ht="408.75" hidden="false" customHeight="true" outlineLevel="0" collapsed="false">
      <c r="A40" s="154" t="n">
        <v>37</v>
      </c>
      <c r="B40" s="155" t="s">
        <v>1277</v>
      </c>
      <c r="C40" s="103" t="s">
        <v>1197</v>
      </c>
      <c r="D40" s="134" t="s">
        <v>1278</v>
      </c>
      <c r="E40" s="134" t="s">
        <v>1279</v>
      </c>
      <c r="F40" s="134" t="s">
        <v>1280</v>
      </c>
      <c r="G40" s="134" t="s">
        <v>726</v>
      </c>
      <c r="H40" s="134" t="s">
        <v>1281</v>
      </c>
      <c r="I40" s="134" t="s">
        <v>739</v>
      </c>
      <c r="J40" s="156" t="s">
        <v>1282</v>
      </c>
      <c r="K40" s="156" t="s">
        <v>492</v>
      </c>
      <c r="L40" s="157"/>
      <c r="M40" s="157"/>
      <c r="N40" s="157" t="s">
        <v>1283</v>
      </c>
      <c r="O40" s="124" t="s">
        <v>1284</v>
      </c>
      <c r="P40" s="158" t="s">
        <v>1285</v>
      </c>
      <c r="Q40" s="124" t="s">
        <v>1286</v>
      </c>
      <c r="R40" s="121" t="s">
        <v>1207</v>
      </c>
      <c r="S40" s="155" t="s">
        <v>1287</v>
      </c>
      <c r="T40" s="159" t="s">
        <v>1288</v>
      </c>
      <c r="U40" s="157"/>
      <c r="V40" s="160" t="s">
        <v>739</v>
      </c>
      <c r="W40" s="155" t="s">
        <v>1289</v>
      </c>
      <c r="X40" s="160" t="s">
        <v>739</v>
      </c>
      <c r="Y40" s="155" t="s">
        <v>1290</v>
      </c>
    </row>
    <row r="41" customFormat="false" ht="249.75" hidden="false" customHeight="true" outlineLevel="0" collapsed="false">
      <c r="A41" s="154" t="n">
        <v>38</v>
      </c>
      <c r="B41" s="155" t="s">
        <v>1291</v>
      </c>
      <c r="C41" s="103" t="s">
        <v>1197</v>
      </c>
      <c r="D41" s="161" t="s">
        <v>1292</v>
      </c>
      <c r="E41" s="162" t="s">
        <v>1293</v>
      </c>
      <c r="F41" s="162" t="s">
        <v>1294</v>
      </c>
      <c r="G41" s="161" t="s">
        <v>726</v>
      </c>
      <c r="H41" s="134" t="s">
        <v>1295</v>
      </c>
      <c r="I41" s="156" t="s">
        <v>1296</v>
      </c>
      <c r="J41" s="156" t="n">
        <v>2012</v>
      </c>
      <c r="K41" s="161" t="s">
        <v>1297</v>
      </c>
      <c r="L41" s="157"/>
      <c r="M41" s="157"/>
      <c r="N41" s="163" t="s">
        <v>1298</v>
      </c>
      <c r="O41" s="124" t="s">
        <v>1299</v>
      </c>
      <c r="P41" s="124" t="s">
        <v>1300</v>
      </c>
      <c r="Q41" s="124" t="s">
        <v>1301</v>
      </c>
      <c r="R41" s="124" t="s">
        <v>1302</v>
      </c>
      <c r="S41" s="155" t="s">
        <v>1303</v>
      </c>
      <c r="T41" s="159" t="s">
        <v>1304</v>
      </c>
      <c r="U41" s="164" t="s">
        <v>1305</v>
      </c>
      <c r="V41" s="160" t="s">
        <v>739</v>
      </c>
      <c r="W41" s="161" t="s">
        <v>1297</v>
      </c>
      <c r="X41" s="165" t="s">
        <v>1306</v>
      </c>
      <c r="Y41" s="165" t="s">
        <v>1307</v>
      </c>
    </row>
    <row r="42" customFormat="false" ht="408.75" hidden="false" customHeight="true" outlineLevel="0" collapsed="false">
      <c r="A42" s="166" t="n">
        <v>39</v>
      </c>
      <c r="B42" s="167" t="s">
        <v>1308</v>
      </c>
      <c r="C42" s="103" t="s">
        <v>1197</v>
      </c>
      <c r="D42" s="168" t="s">
        <v>1309</v>
      </c>
      <c r="E42" s="168" t="s">
        <v>1310</v>
      </c>
      <c r="F42" s="168" t="s">
        <v>1311</v>
      </c>
      <c r="G42" s="161"/>
      <c r="H42" s="169"/>
      <c r="I42" s="160"/>
      <c r="J42" s="170" t="n">
        <v>2019</v>
      </c>
      <c r="K42" s="165"/>
      <c r="L42" s="157"/>
      <c r="M42" s="157"/>
      <c r="N42" s="163"/>
      <c r="O42" s="122" t="s">
        <v>1312</v>
      </c>
      <c r="P42" s="124" t="s">
        <v>1313</v>
      </c>
      <c r="Q42" s="124" t="s">
        <v>1314</v>
      </c>
      <c r="R42" s="124" t="s">
        <v>1315</v>
      </c>
      <c r="S42" s="155"/>
      <c r="T42" s="171" t="s">
        <v>1316</v>
      </c>
      <c r="U42" s="164"/>
      <c r="V42" s="160"/>
      <c r="W42" s="161"/>
      <c r="X42" s="165"/>
      <c r="Y42" s="172" t="s">
        <v>1317</v>
      </c>
    </row>
    <row r="43" customFormat="false" ht="408.75" hidden="false" customHeight="true" outlineLevel="0" collapsed="false">
      <c r="A43" s="166" t="n">
        <v>40</v>
      </c>
      <c r="B43" s="167" t="s">
        <v>1318</v>
      </c>
      <c r="C43" s="103" t="s">
        <v>1197</v>
      </c>
      <c r="D43" s="168" t="s">
        <v>760</v>
      </c>
      <c r="E43" s="121" t="s">
        <v>1319</v>
      </c>
      <c r="F43" s="173" t="s">
        <v>1320</v>
      </c>
      <c r="G43" s="161"/>
      <c r="H43" s="169"/>
      <c r="I43" s="160"/>
      <c r="J43" s="170" t="n">
        <v>2007</v>
      </c>
      <c r="K43" s="165"/>
      <c r="L43" s="157"/>
      <c r="M43" s="157"/>
      <c r="N43" s="163"/>
      <c r="O43" s="124" t="s">
        <v>1321</v>
      </c>
      <c r="P43" s="124" t="s">
        <v>1322</v>
      </c>
      <c r="Q43" s="124" t="s">
        <v>1323</v>
      </c>
      <c r="R43" s="121" t="s">
        <v>1207</v>
      </c>
      <c r="S43" s="155"/>
      <c r="T43" s="171" t="s">
        <v>1324</v>
      </c>
      <c r="U43" s="164"/>
      <c r="V43" s="160"/>
      <c r="W43" s="161"/>
      <c r="X43" s="165"/>
      <c r="Y43" s="172" t="s">
        <v>1325</v>
      </c>
    </row>
    <row r="44" customFormat="false" ht="12" hidden="false" customHeight="true" outlineLevel="0" collapsed="false">
      <c r="A44" s="85"/>
      <c r="J44" s="174"/>
      <c r="K44" s="175"/>
      <c r="L44" s="174"/>
      <c r="M44" s="174"/>
      <c r="N44" s="176"/>
      <c r="O44" s="176"/>
      <c r="P44" s="176"/>
      <c r="Q44" s="176"/>
      <c r="R44" s="176"/>
      <c r="S44" s="177"/>
      <c r="T44" s="177"/>
      <c r="U44" s="176"/>
      <c r="V44" s="176"/>
      <c r="W44" s="176"/>
      <c r="X44" s="176"/>
      <c r="Y44" s="176"/>
    </row>
    <row r="45" customFormat="false" ht="13.5" hidden="false" customHeight="true" outlineLevel="0" collapsed="false">
      <c r="A45" s="178" t="s">
        <v>1326</v>
      </c>
      <c r="J45" s="174"/>
      <c r="K45" s="175"/>
      <c r="L45" s="174"/>
      <c r="M45" s="174"/>
      <c r="N45" s="176"/>
      <c r="O45" s="176"/>
      <c r="P45" s="176"/>
      <c r="Q45" s="176"/>
      <c r="R45" s="176"/>
      <c r="S45" s="177"/>
      <c r="T45" s="177"/>
      <c r="U45" s="176"/>
      <c r="V45" s="176"/>
      <c r="W45" s="176"/>
      <c r="X45" s="176"/>
      <c r="Y45" s="176"/>
    </row>
    <row r="46" customFormat="false" ht="13.5" hidden="false" customHeight="true" outlineLevel="0" collapsed="false">
      <c r="A46" s="85"/>
      <c r="B46" s="179"/>
      <c r="C46" s="178"/>
      <c r="J46" s="174"/>
      <c r="K46" s="175"/>
      <c r="L46" s="174"/>
      <c r="M46" s="174"/>
      <c r="N46" s="176"/>
      <c r="O46" s="176"/>
      <c r="P46" s="176"/>
      <c r="Q46" s="176"/>
      <c r="R46" s="176"/>
      <c r="S46" s="177"/>
      <c r="T46" s="177"/>
      <c r="U46" s="176"/>
      <c r="V46" s="176"/>
      <c r="W46" s="176"/>
      <c r="X46" s="176"/>
      <c r="Y46" s="176"/>
    </row>
    <row r="47" customFormat="false" ht="42" hidden="false" customHeight="true" outlineLevel="0" collapsed="false">
      <c r="A47" s="180" t="s">
        <v>6</v>
      </c>
      <c r="B47" s="181" t="s">
        <v>1327</v>
      </c>
      <c r="C47" s="181"/>
      <c r="D47" s="181" t="s">
        <v>1328</v>
      </c>
      <c r="E47" s="98" t="s">
        <v>705</v>
      </c>
      <c r="F47" s="98" t="s">
        <v>706</v>
      </c>
      <c r="G47" s="98" t="s">
        <v>707</v>
      </c>
      <c r="H47" s="182" t="s">
        <v>708</v>
      </c>
      <c r="I47" s="182" t="s">
        <v>709</v>
      </c>
      <c r="J47" s="183" t="s">
        <v>710</v>
      </c>
      <c r="K47" s="183" t="s">
        <v>165</v>
      </c>
      <c r="L47" s="184" t="s">
        <v>166</v>
      </c>
      <c r="M47" s="184" t="s">
        <v>167</v>
      </c>
      <c r="N47" s="184" t="s">
        <v>168</v>
      </c>
      <c r="O47" s="184"/>
      <c r="P47" s="184"/>
      <c r="Q47" s="184"/>
      <c r="R47" s="184"/>
      <c r="S47" s="183" t="s">
        <v>170</v>
      </c>
      <c r="T47" s="183" t="s">
        <v>331</v>
      </c>
      <c r="U47" s="185" t="s">
        <v>715</v>
      </c>
      <c r="V47" s="186" t="s">
        <v>716</v>
      </c>
      <c r="W47" s="186" t="s">
        <v>717</v>
      </c>
      <c r="X47" s="186" t="s">
        <v>718</v>
      </c>
      <c r="Y47" s="186" t="s">
        <v>719</v>
      </c>
    </row>
    <row r="48" customFormat="false" ht="408.75" hidden="false" customHeight="true" outlineLevel="0" collapsed="false">
      <c r="A48" s="101" t="n">
        <v>1</v>
      </c>
      <c r="B48" s="102" t="s">
        <v>1329</v>
      </c>
      <c r="C48" s="102" t="s">
        <v>1197</v>
      </c>
      <c r="D48" s="102" t="s">
        <v>1330</v>
      </c>
      <c r="E48" s="131" t="s">
        <v>1331</v>
      </c>
      <c r="F48" s="102" t="s">
        <v>726</v>
      </c>
      <c r="G48" s="102" t="s">
        <v>726</v>
      </c>
      <c r="H48" s="105" t="n">
        <v>10656</v>
      </c>
      <c r="I48" s="102" t="n">
        <v>4000</v>
      </c>
      <c r="J48" s="106" t="s">
        <v>1332</v>
      </c>
      <c r="K48" s="106" t="s">
        <v>1333</v>
      </c>
      <c r="L48" s="106"/>
      <c r="M48" s="106"/>
      <c r="N48" s="106" t="s">
        <v>17</v>
      </c>
      <c r="O48" s="108" t="s">
        <v>1334</v>
      </c>
      <c r="P48" s="108" t="s">
        <v>1335</v>
      </c>
      <c r="Q48" s="107" t="s">
        <v>1336</v>
      </c>
      <c r="R48" s="108" t="s">
        <v>1337</v>
      </c>
      <c r="S48" s="106" t="s">
        <v>1338</v>
      </c>
      <c r="T48" s="110" t="s">
        <v>1339</v>
      </c>
      <c r="U48" s="110" t="s">
        <v>1340</v>
      </c>
      <c r="V48" s="112" t="s">
        <v>841</v>
      </c>
      <c r="W48" s="112" t="s">
        <v>1341</v>
      </c>
      <c r="X48" s="112" t="s">
        <v>1342</v>
      </c>
      <c r="Y48" s="112" t="s">
        <v>1333</v>
      </c>
      <c r="Z48" s="87" t="s">
        <v>1343</v>
      </c>
    </row>
    <row r="49" customFormat="false" ht="237" hidden="false" customHeight="true" outlineLevel="0" collapsed="false">
      <c r="A49" s="101" t="n">
        <v>2</v>
      </c>
      <c r="B49" s="102" t="s">
        <v>1344</v>
      </c>
      <c r="C49" s="102" t="s">
        <v>1197</v>
      </c>
      <c r="D49" s="131" t="s">
        <v>760</v>
      </c>
      <c r="E49" s="131" t="s">
        <v>1345</v>
      </c>
      <c r="F49" s="131" t="s">
        <v>1346</v>
      </c>
      <c r="G49" s="102" t="s">
        <v>726</v>
      </c>
      <c r="H49" s="102" t="n">
        <v>13000</v>
      </c>
      <c r="I49" s="102" t="n">
        <v>5000</v>
      </c>
      <c r="J49" s="106" t="s">
        <v>1347</v>
      </c>
      <c r="K49" s="106" t="s">
        <v>1348</v>
      </c>
      <c r="L49" s="106"/>
      <c r="M49" s="106"/>
      <c r="N49" s="106" t="s">
        <v>17</v>
      </c>
      <c r="O49" s="107" t="s">
        <v>1349</v>
      </c>
      <c r="P49" s="107" t="s">
        <v>1350</v>
      </c>
      <c r="Q49" s="107" t="s">
        <v>1351</v>
      </c>
      <c r="R49" s="108" t="s">
        <v>1352</v>
      </c>
      <c r="S49" s="106" t="s">
        <v>1353</v>
      </c>
      <c r="T49" s="187" t="s">
        <v>1354</v>
      </c>
      <c r="U49" s="188"/>
      <c r="V49" s="112" t="s">
        <v>1355</v>
      </c>
      <c r="W49" s="112" t="s">
        <v>1355</v>
      </c>
      <c r="X49" s="112" t="s">
        <v>1355</v>
      </c>
      <c r="Y49" s="112" t="s">
        <v>1356</v>
      </c>
      <c r="Z49" s="87" t="s">
        <v>1357</v>
      </c>
    </row>
    <row r="50" customFormat="false" ht="408.75" hidden="false" customHeight="true" outlineLevel="0" collapsed="false">
      <c r="A50" s="101" t="n">
        <v>3</v>
      </c>
      <c r="B50" s="102" t="s">
        <v>1358</v>
      </c>
      <c r="C50" s="102" t="s">
        <v>722</v>
      </c>
      <c r="D50" s="102" t="s">
        <v>1359</v>
      </c>
      <c r="E50" s="102" t="s">
        <v>1360</v>
      </c>
      <c r="F50" s="102" t="s">
        <v>1361</v>
      </c>
      <c r="G50" s="102" t="s">
        <v>726</v>
      </c>
      <c r="H50" s="102" t="n">
        <v>849</v>
      </c>
      <c r="I50" s="102" t="n">
        <v>19</v>
      </c>
      <c r="J50" s="106" t="s">
        <v>941</v>
      </c>
      <c r="K50" s="106" t="s">
        <v>1362</v>
      </c>
      <c r="L50" s="106"/>
      <c r="M50" s="106"/>
      <c r="N50" s="106" t="s">
        <v>1363</v>
      </c>
      <c r="O50" s="108" t="s">
        <v>1364</v>
      </c>
      <c r="P50" s="108" t="s">
        <v>1365</v>
      </c>
      <c r="Q50" s="107" t="s">
        <v>1366</v>
      </c>
      <c r="R50" s="108" t="s">
        <v>1367</v>
      </c>
      <c r="S50" s="106" t="s">
        <v>1368</v>
      </c>
      <c r="T50" s="187" t="s">
        <v>1369</v>
      </c>
      <c r="U50" s="188"/>
      <c r="V50" s="112" t="s">
        <v>739</v>
      </c>
      <c r="W50" s="112" t="s">
        <v>1370</v>
      </c>
      <c r="X50" s="112" t="s">
        <v>1355</v>
      </c>
      <c r="Y50" s="112" t="s">
        <v>1371</v>
      </c>
      <c r="Z50" s="87" t="s">
        <v>1372</v>
      </c>
    </row>
    <row r="51" customFormat="false" ht="408.75" hidden="false" customHeight="true" outlineLevel="0" collapsed="false">
      <c r="A51" s="101" t="n">
        <v>4</v>
      </c>
      <c r="B51" s="102" t="s">
        <v>129</v>
      </c>
      <c r="C51" s="102" t="s">
        <v>722</v>
      </c>
      <c r="D51" s="102" t="s">
        <v>1373</v>
      </c>
      <c r="E51" s="102" t="s">
        <v>1374</v>
      </c>
      <c r="F51" s="102" t="s">
        <v>726</v>
      </c>
      <c r="G51" s="102" t="s">
        <v>726</v>
      </c>
      <c r="H51" s="102" t="n">
        <v>2000</v>
      </c>
      <c r="I51" s="102" t="s">
        <v>739</v>
      </c>
      <c r="J51" s="106" t="s">
        <v>941</v>
      </c>
      <c r="K51" s="106" t="s">
        <v>1375</v>
      </c>
      <c r="L51" s="106"/>
      <c r="M51" s="106"/>
      <c r="N51" s="106" t="s">
        <v>17</v>
      </c>
      <c r="O51" s="108" t="s">
        <v>1376</v>
      </c>
      <c r="P51" s="108" t="s">
        <v>1377</v>
      </c>
      <c r="Q51" s="107" t="s">
        <v>1378</v>
      </c>
      <c r="R51" s="108" t="s">
        <v>1379</v>
      </c>
      <c r="S51" s="106" t="s">
        <v>1380</v>
      </c>
      <c r="T51" s="110" t="s">
        <v>1381</v>
      </c>
      <c r="U51" s="189" t="s">
        <v>1382</v>
      </c>
      <c r="V51" s="112" t="s">
        <v>739</v>
      </c>
      <c r="W51" s="112" t="s">
        <v>1383</v>
      </c>
      <c r="X51" s="112" t="s">
        <v>1355</v>
      </c>
      <c r="Y51" s="112" t="s">
        <v>1375</v>
      </c>
    </row>
    <row r="52" customFormat="false" ht="375" hidden="false" customHeight="true" outlineLevel="0" collapsed="false">
      <c r="A52" s="101" t="n">
        <v>5</v>
      </c>
      <c r="B52" s="102" t="s">
        <v>1384</v>
      </c>
      <c r="C52" s="102" t="s">
        <v>722</v>
      </c>
      <c r="D52" s="102" t="s">
        <v>1385</v>
      </c>
      <c r="E52" s="102" t="s">
        <v>1386</v>
      </c>
      <c r="F52" s="102" t="s">
        <v>1387</v>
      </c>
      <c r="G52" s="102" t="s">
        <v>726</v>
      </c>
      <c r="H52" s="102" t="n">
        <v>45815</v>
      </c>
      <c r="I52" s="102" t="n">
        <v>144</v>
      </c>
      <c r="J52" s="106" t="s">
        <v>941</v>
      </c>
      <c r="K52" s="106" t="s">
        <v>1388</v>
      </c>
      <c r="L52" s="106"/>
      <c r="M52" s="106"/>
      <c r="N52" s="106" t="s">
        <v>1389</v>
      </c>
      <c r="O52" s="108" t="s">
        <v>1390</v>
      </c>
      <c r="P52" s="108" t="s">
        <v>1391</v>
      </c>
      <c r="Q52" s="107" t="s">
        <v>1392</v>
      </c>
      <c r="R52" s="108" t="s">
        <v>1393</v>
      </c>
      <c r="S52" s="109" t="s">
        <v>1394</v>
      </c>
      <c r="T52" s="110" t="s">
        <v>1395</v>
      </c>
      <c r="U52" s="112"/>
      <c r="V52" s="112" t="s">
        <v>1355</v>
      </c>
      <c r="W52" s="106" t="s">
        <v>1396</v>
      </c>
      <c r="X52" s="112" t="s">
        <v>1355</v>
      </c>
      <c r="Y52" s="106" t="s">
        <v>1388</v>
      </c>
    </row>
    <row r="53" customFormat="false" ht="375" hidden="false" customHeight="true" outlineLevel="0" collapsed="false">
      <c r="A53" s="101" t="n">
        <v>6</v>
      </c>
      <c r="B53" s="102" t="s">
        <v>1397</v>
      </c>
      <c r="C53" s="102" t="s">
        <v>897</v>
      </c>
      <c r="D53" s="102" t="s">
        <v>939</v>
      </c>
      <c r="E53" s="102" t="s">
        <v>1398</v>
      </c>
      <c r="F53" s="102" t="s">
        <v>1399</v>
      </c>
      <c r="G53" s="102"/>
      <c r="H53" s="102" t="n">
        <v>4300</v>
      </c>
      <c r="I53" s="102" t="n">
        <v>49</v>
      </c>
      <c r="J53" s="106" t="s">
        <v>1173</v>
      </c>
      <c r="K53" s="106" t="s">
        <v>1400</v>
      </c>
      <c r="L53" s="106"/>
      <c r="M53" s="106"/>
      <c r="N53" s="106" t="s">
        <v>1401</v>
      </c>
      <c r="O53" s="106" t="s">
        <v>1402</v>
      </c>
      <c r="P53" s="124" t="s">
        <v>1403</v>
      </c>
      <c r="Q53" s="122" t="s">
        <v>1404</v>
      </c>
      <c r="R53" s="124" t="s">
        <v>1405</v>
      </c>
      <c r="S53" s="109" t="s">
        <v>1406</v>
      </c>
      <c r="T53" s="110" t="s">
        <v>1407</v>
      </c>
      <c r="U53" s="110" t="s">
        <v>1408</v>
      </c>
      <c r="V53" s="112" t="s">
        <v>1409</v>
      </c>
      <c r="W53" s="112" t="s">
        <v>1410</v>
      </c>
      <c r="X53" s="106" t="s">
        <v>1411</v>
      </c>
      <c r="Y53" s="106" t="s">
        <v>1400</v>
      </c>
    </row>
    <row r="54" customFormat="false" ht="337.5" hidden="false" customHeight="true" outlineLevel="0" collapsed="false">
      <c r="A54" s="101" t="n">
        <v>7</v>
      </c>
      <c r="B54" s="102" t="s">
        <v>122</v>
      </c>
      <c r="C54" s="102" t="s">
        <v>897</v>
      </c>
      <c r="D54" s="102" t="s">
        <v>939</v>
      </c>
      <c r="E54" s="102" t="s">
        <v>1412</v>
      </c>
      <c r="F54" s="102" t="s">
        <v>1413</v>
      </c>
      <c r="G54" s="102"/>
      <c r="H54" s="102" t="s">
        <v>1414</v>
      </c>
      <c r="I54" s="102" t="s">
        <v>1415</v>
      </c>
      <c r="J54" s="106" t="s">
        <v>1098</v>
      </c>
      <c r="K54" s="106" t="s">
        <v>1416</v>
      </c>
      <c r="L54" s="106"/>
      <c r="M54" s="106"/>
      <c r="N54" s="106" t="s">
        <v>1417</v>
      </c>
      <c r="O54" s="124" t="s">
        <v>1418</v>
      </c>
      <c r="P54" s="106" t="s">
        <v>1419</v>
      </c>
      <c r="Q54" s="122" t="s">
        <v>1420</v>
      </c>
      <c r="R54" s="106" t="s">
        <v>1421</v>
      </c>
      <c r="S54" s="106" t="s">
        <v>1422</v>
      </c>
      <c r="T54" s="110" t="s">
        <v>1423</v>
      </c>
      <c r="U54" s="112"/>
      <c r="V54" s="112" t="s">
        <v>1409</v>
      </c>
      <c r="W54" s="112" t="s">
        <v>1424</v>
      </c>
      <c r="X54" s="112" t="s">
        <v>1355</v>
      </c>
      <c r="Y54" s="112" t="s">
        <v>1416</v>
      </c>
    </row>
    <row r="55" customFormat="false" ht="408.75" hidden="false" customHeight="true" outlineLevel="0" collapsed="false">
      <c r="A55" s="101" t="n">
        <v>8</v>
      </c>
      <c r="B55" s="102" t="s">
        <v>121</v>
      </c>
      <c r="C55" s="102" t="s">
        <v>1197</v>
      </c>
      <c r="D55" s="102" t="s">
        <v>1425</v>
      </c>
      <c r="E55" s="131" t="s">
        <v>1426</v>
      </c>
      <c r="F55" s="131" t="s">
        <v>1427</v>
      </c>
      <c r="G55" s="102" t="s">
        <v>726</v>
      </c>
      <c r="H55" s="102" t="n">
        <v>15000</v>
      </c>
      <c r="I55" s="102" t="s">
        <v>1428</v>
      </c>
      <c r="J55" s="106" t="s">
        <v>1098</v>
      </c>
      <c r="K55" s="106" t="s">
        <v>1429</v>
      </c>
      <c r="L55" s="106"/>
      <c r="M55" s="106"/>
      <c r="N55" s="106" t="s">
        <v>1018</v>
      </c>
      <c r="O55" s="107" t="s">
        <v>1430</v>
      </c>
      <c r="P55" s="107" t="s">
        <v>1431</v>
      </c>
      <c r="Q55" s="107" t="s">
        <v>1432</v>
      </c>
      <c r="R55" s="108" t="s">
        <v>1433</v>
      </c>
      <c r="S55" s="106" t="s">
        <v>1434</v>
      </c>
      <c r="T55" s="190" t="s">
        <v>1435</v>
      </c>
      <c r="U55" s="110" t="s">
        <v>1436</v>
      </c>
      <c r="V55" s="112" t="s">
        <v>1355</v>
      </c>
      <c r="W55" s="112" t="s">
        <v>1027</v>
      </c>
      <c r="X55" s="112" t="s">
        <v>1355</v>
      </c>
      <c r="Y55" s="106" t="s">
        <v>1429</v>
      </c>
    </row>
    <row r="56" customFormat="false" ht="408.75" hidden="false" customHeight="true" outlineLevel="0" collapsed="false">
      <c r="A56" s="101" t="n">
        <v>9</v>
      </c>
      <c r="B56" s="102" t="s">
        <v>131</v>
      </c>
      <c r="C56" s="191" t="s">
        <v>1048</v>
      </c>
      <c r="D56" s="192" t="s">
        <v>1437</v>
      </c>
      <c r="E56" s="102" t="s">
        <v>1438</v>
      </c>
      <c r="F56" s="102" t="s">
        <v>726</v>
      </c>
      <c r="G56" s="102" t="s">
        <v>726</v>
      </c>
      <c r="H56" s="102" t="n">
        <v>500</v>
      </c>
      <c r="I56" s="102"/>
      <c r="J56" s="106" t="s">
        <v>1439</v>
      </c>
      <c r="K56" s="106" t="s">
        <v>1440</v>
      </c>
      <c r="L56" s="106"/>
      <c r="M56" s="106"/>
      <c r="N56" s="106" t="s">
        <v>1441</v>
      </c>
      <c r="O56" s="124" t="s">
        <v>1442</v>
      </c>
      <c r="P56" s="124" t="s">
        <v>1443</v>
      </c>
      <c r="Q56" s="124" t="s">
        <v>1444</v>
      </c>
      <c r="R56" s="106" t="s">
        <v>1087</v>
      </c>
      <c r="S56" s="106" t="s">
        <v>1445</v>
      </c>
      <c r="T56" s="110" t="s">
        <v>1446</v>
      </c>
      <c r="U56" s="112"/>
      <c r="V56" s="112" t="s">
        <v>737</v>
      </c>
      <c r="W56" s="112" t="s">
        <v>737</v>
      </c>
      <c r="X56" s="112" t="s">
        <v>1355</v>
      </c>
      <c r="Y56" s="112" t="s">
        <v>737</v>
      </c>
    </row>
    <row r="57" customFormat="false" ht="408.75" hidden="false" customHeight="true" outlineLevel="0" collapsed="false">
      <c r="A57" s="101" t="n">
        <v>10</v>
      </c>
      <c r="B57" s="102" t="s">
        <v>125</v>
      </c>
      <c r="C57" s="191" t="s">
        <v>1048</v>
      </c>
      <c r="D57" s="192" t="s">
        <v>1447</v>
      </c>
      <c r="E57" s="102" t="s">
        <v>1448</v>
      </c>
      <c r="F57" s="102" t="s">
        <v>1449</v>
      </c>
      <c r="G57" s="102" t="s">
        <v>726</v>
      </c>
      <c r="H57" s="102" t="n">
        <v>112354</v>
      </c>
      <c r="I57" s="102" t="n">
        <v>7</v>
      </c>
      <c r="J57" s="106" t="s">
        <v>941</v>
      </c>
      <c r="K57" s="106" t="s">
        <v>1333</v>
      </c>
      <c r="L57" s="106"/>
      <c r="M57" s="106"/>
      <c r="N57" s="106" t="s">
        <v>1450</v>
      </c>
      <c r="O57" s="124" t="s">
        <v>1451</v>
      </c>
      <c r="P57" s="124" t="s">
        <v>1452</v>
      </c>
      <c r="Q57" s="122" t="s">
        <v>1453</v>
      </c>
      <c r="R57" s="106" t="s">
        <v>1087</v>
      </c>
      <c r="S57" s="106" t="s">
        <v>1454</v>
      </c>
      <c r="T57" s="110" t="s">
        <v>1455</v>
      </c>
      <c r="U57" s="112"/>
      <c r="V57" s="112" t="s">
        <v>1355</v>
      </c>
      <c r="W57" s="112" t="s">
        <v>1456</v>
      </c>
      <c r="X57" s="112" t="s">
        <v>1123</v>
      </c>
      <c r="Y57" s="112" t="s">
        <v>1333</v>
      </c>
      <c r="Z57" s="87" t="s">
        <v>1343</v>
      </c>
    </row>
    <row r="58" customFormat="false" ht="408.75" hidden="false" customHeight="true" outlineLevel="0" collapsed="false">
      <c r="A58" s="193" t="n">
        <v>11</v>
      </c>
      <c r="B58" s="194" t="s">
        <v>1457</v>
      </c>
      <c r="C58" s="191" t="s">
        <v>1048</v>
      </c>
      <c r="D58" s="194" t="s">
        <v>1458</v>
      </c>
      <c r="E58" s="195" t="s">
        <v>1459</v>
      </c>
      <c r="F58" s="195" t="s">
        <v>1460</v>
      </c>
      <c r="G58" s="195"/>
      <c r="H58" s="194" t="n">
        <v>46900</v>
      </c>
      <c r="I58" s="195" t="n">
        <v>4700</v>
      </c>
      <c r="J58" s="196" t="s">
        <v>1098</v>
      </c>
      <c r="K58" s="197" t="s">
        <v>1461</v>
      </c>
      <c r="L58" s="198"/>
      <c r="M58" s="198"/>
      <c r="N58" s="198" t="s">
        <v>1052</v>
      </c>
      <c r="O58" s="142" t="s">
        <v>1462</v>
      </c>
      <c r="P58" s="142" t="s">
        <v>1463</v>
      </c>
      <c r="Q58" s="143" t="s">
        <v>1464</v>
      </c>
      <c r="R58" s="124" t="s">
        <v>1465</v>
      </c>
      <c r="S58" s="198" t="s">
        <v>1466</v>
      </c>
      <c r="T58" s="199" t="s">
        <v>1467</v>
      </c>
      <c r="U58" s="199" t="s">
        <v>1468</v>
      </c>
      <c r="V58" s="145" t="s">
        <v>841</v>
      </c>
      <c r="W58" s="198" t="s">
        <v>1469</v>
      </c>
      <c r="X58" s="145" t="s">
        <v>1123</v>
      </c>
      <c r="Y58" s="198" t="s">
        <v>1470</v>
      </c>
    </row>
    <row r="59" customFormat="false" ht="408.75" hidden="false" customHeight="true" outlineLevel="0" collapsed="false">
      <c r="A59" s="101" t="n">
        <v>12</v>
      </c>
      <c r="B59" s="102" t="s">
        <v>1471</v>
      </c>
      <c r="C59" s="102" t="s">
        <v>1197</v>
      </c>
      <c r="D59" s="102" t="s">
        <v>1472</v>
      </c>
      <c r="E59" s="131" t="s">
        <v>1473</v>
      </c>
      <c r="F59" s="131" t="s">
        <v>1474</v>
      </c>
      <c r="G59" s="200" t="s">
        <v>726</v>
      </c>
      <c r="H59" s="102" t="n">
        <v>13100</v>
      </c>
      <c r="I59" s="102" t="n">
        <v>300</v>
      </c>
      <c r="J59" s="106" t="s">
        <v>1475</v>
      </c>
      <c r="K59" s="106" t="s">
        <v>1476</v>
      </c>
      <c r="L59" s="106"/>
      <c r="M59" s="106"/>
      <c r="N59" s="106" t="s">
        <v>1477</v>
      </c>
      <c r="O59" s="108" t="s">
        <v>1478</v>
      </c>
      <c r="P59" s="108" t="s">
        <v>1479</v>
      </c>
      <c r="Q59" s="107" t="s">
        <v>1480</v>
      </c>
      <c r="R59" s="108" t="s">
        <v>1481</v>
      </c>
      <c r="S59" s="106" t="s">
        <v>1482</v>
      </c>
      <c r="T59" s="110" t="s">
        <v>1483</v>
      </c>
      <c r="U59" s="110" t="s">
        <v>1484</v>
      </c>
      <c r="V59" s="112" t="s">
        <v>1485</v>
      </c>
      <c r="W59" s="112" t="s">
        <v>1486</v>
      </c>
      <c r="X59" s="112" t="s">
        <v>1485</v>
      </c>
      <c r="Y59" s="112" t="s">
        <v>1487</v>
      </c>
    </row>
    <row r="60" customFormat="false" ht="312" hidden="false" customHeight="true" outlineLevel="0" collapsed="false">
      <c r="A60" s="201" t="n">
        <v>13</v>
      </c>
      <c r="B60" s="202" t="s">
        <v>1488</v>
      </c>
      <c r="C60" s="202" t="s">
        <v>1197</v>
      </c>
      <c r="D60" s="200" t="s">
        <v>939</v>
      </c>
      <c r="E60" s="148" t="s">
        <v>1489</v>
      </c>
      <c r="F60" s="200" t="s">
        <v>726</v>
      </c>
      <c r="G60" s="200" t="s">
        <v>726</v>
      </c>
      <c r="H60" s="150" t="s">
        <v>1490</v>
      </c>
      <c r="I60" s="150" t="s">
        <v>739</v>
      </c>
      <c r="J60" s="135" t="s">
        <v>1491</v>
      </c>
      <c r="K60" s="135" t="s">
        <v>1492</v>
      </c>
      <c r="L60" s="101"/>
      <c r="M60" s="101"/>
      <c r="N60" s="101" t="s">
        <v>1175</v>
      </c>
      <c r="O60" s="107" t="s">
        <v>1493</v>
      </c>
      <c r="P60" s="108" t="s">
        <v>1494</v>
      </c>
      <c r="Q60" s="107" t="s">
        <v>1495</v>
      </c>
      <c r="R60" s="108" t="s">
        <v>1496</v>
      </c>
      <c r="S60" s="147" t="s">
        <v>1497</v>
      </c>
      <c r="T60" s="147" t="s">
        <v>1498</v>
      </c>
      <c r="U60" s="147" t="s">
        <v>1499</v>
      </c>
      <c r="V60" s="150" t="s">
        <v>739</v>
      </c>
      <c r="W60" s="150" t="s">
        <v>739</v>
      </c>
      <c r="X60" s="150" t="s">
        <v>739</v>
      </c>
      <c r="Y60" s="150" t="s">
        <v>1500</v>
      </c>
      <c r="Z60" s="115"/>
      <c r="AA60" s="115"/>
    </row>
    <row r="61" customFormat="false" ht="337.5" hidden="false" customHeight="true" outlineLevel="0" collapsed="false">
      <c r="A61" s="203" t="n">
        <v>14</v>
      </c>
      <c r="B61" s="204" t="s">
        <v>1501</v>
      </c>
      <c r="C61" s="205" t="s">
        <v>1502</v>
      </c>
      <c r="D61" s="206" t="s">
        <v>939</v>
      </c>
      <c r="E61" s="206" t="s">
        <v>1503</v>
      </c>
      <c r="F61" s="205"/>
      <c r="G61" s="205"/>
      <c r="H61" s="101"/>
      <c r="I61" s="207"/>
      <c r="J61" s="208" t="n">
        <v>2026</v>
      </c>
      <c r="K61" s="102"/>
      <c r="L61" s="101"/>
      <c r="M61" s="101"/>
      <c r="O61" s="209" t="s">
        <v>1504</v>
      </c>
      <c r="P61" s="210" t="s">
        <v>1505</v>
      </c>
      <c r="Q61" s="209" t="s">
        <v>1506</v>
      </c>
      <c r="R61" s="210" t="s">
        <v>1507</v>
      </c>
      <c r="S61" s="107"/>
      <c r="T61" s="168" t="s">
        <v>1508</v>
      </c>
      <c r="U61" s="205"/>
      <c r="V61" s="205"/>
      <c r="W61" s="205"/>
      <c r="X61" s="205"/>
      <c r="Y61" s="206" t="s">
        <v>1509</v>
      </c>
    </row>
    <row r="62" customFormat="false" ht="408.75" hidden="false" customHeight="true" outlineLevel="0" collapsed="false">
      <c r="A62" s="203" t="n">
        <v>15</v>
      </c>
      <c r="B62" s="204" t="s">
        <v>1510</v>
      </c>
      <c r="C62" s="205" t="s">
        <v>1048</v>
      </c>
      <c r="D62" s="168" t="s">
        <v>1511</v>
      </c>
      <c r="E62" s="168" t="s">
        <v>1512</v>
      </c>
      <c r="F62" s="200"/>
      <c r="G62" s="200"/>
      <c r="H62" s="150"/>
      <c r="I62" s="150"/>
      <c r="J62" s="211" t="n">
        <v>2026</v>
      </c>
      <c r="K62" s="135"/>
      <c r="L62" s="101"/>
      <c r="M62" s="101"/>
      <c r="N62" s="101"/>
      <c r="O62" s="124" t="s">
        <v>1513</v>
      </c>
      <c r="P62" s="124" t="s">
        <v>1514</v>
      </c>
      <c r="Q62" s="122" t="s">
        <v>1515</v>
      </c>
      <c r="R62" s="106" t="s">
        <v>1087</v>
      </c>
      <c r="S62" s="147"/>
      <c r="T62" s="168" t="s">
        <v>1516</v>
      </c>
      <c r="U62" s="147"/>
      <c r="V62" s="150"/>
      <c r="W62" s="150"/>
      <c r="X62" s="150"/>
      <c r="Y62" s="150"/>
    </row>
    <row r="63" customFormat="false" ht="337.5" hidden="false" customHeight="true" outlineLevel="0" collapsed="false">
      <c r="A63" s="203" t="n">
        <v>16</v>
      </c>
      <c r="B63" s="204" t="s">
        <v>1517</v>
      </c>
      <c r="C63" s="205" t="s">
        <v>897</v>
      </c>
      <c r="D63" s="168" t="s">
        <v>1511</v>
      </c>
      <c r="E63" s="168" t="s">
        <v>1512</v>
      </c>
      <c r="F63" s="205"/>
      <c r="G63" s="205"/>
      <c r="H63" s="101"/>
      <c r="I63" s="101"/>
      <c r="J63" s="208" t="n">
        <v>2026</v>
      </c>
      <c r="K63" s="102"/>
      <c r="L63" s="101"/>
      <c r="M63" s="101"/>
      <c r="N63" s="205"/>
      <c r="O63" s="108" t="s">
        <v>1518</v>
      </c>
      <c r="P63" s="107" t="s">
        <v>1519</v>
      </c>
      <c r="Q63" s="107" t="s">
        <v>1520</v>
      </c>
      <c r="R63" s="108" t="s">
        <v>1521</v>
      </c>
      <c r="S63" s="122"/>
      <c r="T63" s="168" t="s">
        <v>1522</v>
      </c>
      <c r="U63" s="205"/>
      <c r="V63" s="205"/>
      <c r="W63" s="205"/>
      <c r="X63" s="205"/>
      <c r="Y63" s="206" t="s">
        <v>1523</v>
      </c>
    </row>
    <row r="64" customFormat="false" ht="249.75" hidden="false" customHeight="true" outlineLevel="0" collapsed="false">
      <c r="A64" s="203" t="n">
        <v>17</v>
      </c>
      <c r="B64" s="204" t="s">
        <v>1524</v>
      </c>
      <c r="C64" s="205" t="s">
        <v>897</v>
      </c>
      <c r="D64" s="168" t="s">
        <v>1511</v>
      </c>
      <c r="E64" s="168" t="s">
        <v>1525</v>
      </c>
      <c r="F64" s="205"/>
      <c r="G64" s="205"/>
      <c r="H64" s="101"/>
      <c r="I64" s="101"/>
      <c r="J64" s="208" t="n">
        <v>2025</v>
      </c>
      <c r="K64" s="102"/>
      <c r="L64" s="101"/>
      <c r="M64" s="101"/>
      <c r="N64" s="205"/>
      <c r="O64" s="108" t="s">
        <v>1526</v>
      </c>
      <c r="P64" s="108" t="s">
        <v>1527</v>
      </c>
      <c r="Q64" s="107" t="s">
        <v>1528</v>
      </c>
      <c r="R64" s="108" t="s">
        <v>1529</v>
      </c>
      <c r="S64" s="122"/>
      <c r="T64" s="168" t="s">
        <v>1530</v>
      </c>
      <c r="U64" s="205"/>
      <c r="V64" s="205"/>
      <c r="W64" s="205"/>
      <c r="X64" s="205"/>
      <c r="Y64" s="206"/>
    </row>
    <row r="65" customFormat="false" ht="274.5" hidden="false" customHeight="true" outlineLevel="0" collapsed="false">
      <c r="A65" s="203" t="n">
        <v>18</v>
      </c>
      <c r="B65" s="204" t="s">
        <v>1531</v>
      </c>
      <c r="C65" s="205" t="s">
        <v>722</v>
      </c>
      <c r="D65" s="168" t="s">
        <v>1511</v>
      </c>
      <c r="E65" s="168" t="s">
        <v>1532</v>
      </c>
      <c r="F65" s="205"/>
      <c r="G65" s="205"/>
      <c r="H65" s="101"/>
      <c r="I65" s="101"/>
      <c r="J65" s="208" t="n">
        <v>2025</v>
      </c>
      <c r="K65" s="102"/>
      <c r="L65" s="101"/>
      <c r="M65" s="101"/>
      <c r="N65" s="205"/>
      <c r="O65" s="108" t="s">
        <v>1533</v>
      </c>
      <c r="P65" s="107" t="s">
        <v>1534</v>
      </c>
      <c r="Q65" s="107" t="s">
        <v>1535</v>
      </c>
      <c r="R65" s="108" t="s">
        <v>1536</v>
      </c>
      <c r="S65" s="122"/>
      <c r="T65" s="168" t="s">
        <v>1537</v>
      </c>
      <c r="U65" s="205"/>
      <c r="V65" s="205"/>
      <c r="W65" s="205"/>
      <c r="X65" s="205"/>
      <c r="Y65" s="206" t="s">
        <v>1538</v>
      </c>
    </row>
    <row r="66" customFormat="false" ht="274.5" hidden="false" customHeight="true" outlineLevel="0" collapsed="false">
      <c r="A66" s="203" t="n">
        <v>19</v>
      </c>
      <c r="B66" s="204" t="s">
        <v>1539</v>
      </c>
      <c r="C66" s="205" t="s">
        <v>722</v>
      </c>
      <c r="D66" s="168" t="s">
        <v>1511</v>
      </c>
      <c r="E66" s="168" t="s">
        <v>1512</v>
      </c>
      <c r="F66" s="205"/>
      <c r="G66" s="205"/>
      <c r="H66" s="101"/>
      <c r="I66" s="101"/>
      <c r="J66" s="208" t="n">
        <v>2026</v>
      </c>
      <c r="K66" s="102"/>
      <c r="L66" s="101"/>
      <c r="M66" s="101"/>
      <c r="N66" s="205"/>
      <c r="O66" s="108" t="s">
        <v>1540</v>
      </c>
      <c r="P66" s="108" t="s">
        <v>1527</v>
      </c>
      <c r="Q66" s="107" t="s">
        <v>1541</v>
      </c>
      <c r="R66" s="108" t="s">
        <v>1536</v>
      </c>
      <c r="S66" s="122"/>
      <c r="T66" s="168" t="s">
        <v>1542</v>
      </c>
      <c r="U66" s="205"/>
      <c r="V66" s="205"/>
      <c r="W66" s="205"/>
      <c r="X66" s="205"/>
      <c r="Y66" s="206" t="s">
        <v>1543</v>
      </c>
    </row>
    <row r="67" customFormat="false" ht="212.25" hidden="false" customHeight="true" outlineLevel="0" collapsed="false">
      <c r="A67" s="203" t="n">
        <v>20</v>
      </c>
      <c r="B67" s="204" t="s">
        <v>1544</v>
      </c>
      <c r="C67" s="205" t="s">
        <v>1502</v>
      </c>
      <c r="D67" s="168" t="s">
        <v>1511</v>
      </c>
      <c r="E67" s="168" t="s">
        <v>1545</v>
      </c>
      <c r="F67" s="205"/>
      <c r="G67" s="205"/>
      <c r="H67" s="101"/>
      <c r="I67" s="101"/>
      <c r="J67" s="208" t="n">
        <v>2026</v>
      </c>
      <c r="K67" s="102"/>
      <c r="L67" s="101"/>
      <c r="M67" s="101"/>
      <c r="N67" s="205"/>
      <c r="O67" s="108" t="s">
        <v>1546</v>
      </c>
      <c r="P67" s="108" t="s">
        <v>1527</v>
      </c>
      <c r="Q67" s="107" t="s">
        <v>1547</v>
      </c>
      <c r="R67" s="108" t="s">
        <v>1548</v>
      </c>
      <c r="S67" s="122"/>
      <c r="T67" s="168" t="s">
        <v>1549</v>
      </c>
      <c r="U67" s="205"/>
      <c r="V67" s="205"/>
      <c r="W67" s="205"/>
      <c r="X67" s="205"/>
      <c r="Y67" s="206"/>
    </row>
    <row r="68" customFormat="false" ht="237" hidden="false" customHeight="true" outlineLevel="0" collapsed="false">
      <c r="A68" s="203" t="n">
        <v>21</v>
      </c>
      <c r="B68" s="204" t="s">
        <v>1550</v>
      </c>
      <c r="C68" s="205" t="s">
        <v>1502</v>
      </c>
      <c r="D68" s="168" t="s">
        <v>1511</v>
      </c>
      <c r="E68" s="168" t="s">
        <v>1551</v>
      </c>
      <c r="F68" s="205"/>
      <c r="G68" s="205"/>
      <c r="H68" s="101"/>
      <c r="I68" s="101"/>
      <c r="J68" s="208" t="n">
        <v>2026</v>
      </c>
      <c r="K68" s="102"/>
      <c r="L68" s="101"/>
      <c r="M68" s="101"/>
      <c r="N68" s="205"/>
      <c r="O68" s="108" t="s">
        <v>1552</v>
      </c>
      <c r="P68" s="108" t="s">
        <v>1527</v>
      </c>
      <c r="Q68" s="107" t="s">
        <v>1553</v>
      </c>
      <c r="R68" s="108" t="s">
        <v>1554</v>
      </c>
      <c r="S68" s="122"/>
      <c r="T68" s="168" t="s">
        <v>1555</v>
      </c>
      <c r="U68" s="205"/>
      <c r="V68" s="205"/>
      <c r="W68" s="205"/>
      <c r="X68" s="205"/>
      <c r="Y68" s="206"/>
    </row>
    <row r="69" customFormat="false" ht="408.75" hidden="false" customHeight="true" outlineLevel="0" collapsed="false">
      <c r="A69" s="203" t="n">
        <v>22</v>
      </c>
      <c r="B69" s="204" t="s">
        <v>1556</v>
      </c>
      <c r="C69" s="205" t="s">
        <v>1048</v>
      </c>
      <c r="D69" s="168" t="s">
        <v>1511</v>
      </c>
      <c r="E69" s="168" t="s">
        <v>1512</v>
      </c>
      <c r="F69" s="205"/>
      <c r="G69" s="205"/>
      <c r="H69" s="101"/>
      <c r="I69" s="101"/>
      <c r="J69" s="208" t="n">
        <v>2026</v>
      </c>
      <c r="K69" s="102"/>
      <c r="L69" s="101"/>
      <c r="M69" s="101"/>
      <c r="N69" s="205"/>
      <c r="O69" s="124" t="s">
        <v>1557</v>
      </c>
      <c r="P69" s="124" t="s">
        <v>1558</v>
      </c>
      <c r="Q69" s="122" t="s">
        <v>1559</v>
      </c>
      <c r="R69" s="106" t="s">
        <v>1087</v>
      </c>
      <c r="S69" s="122"/>
      <c r="T69" s="168" t="s">
        <v>1560</v>
      </c>
      <c r="U69" s="205"/>
      <c r="V69" s="205"/>
      <c r="W69" s="205"/>
      <c r="X69" s="205"/>
      <c r="Y69" s="206" t="s">
        <v>1561</v>
      </c>
    </row>
    <row r="70" customFormat="false" ht="375" hidden="false" customHeight="true" outlineLevel="0" collapsed="false">
      <c r="A70" s="203" t="n">
        <v>23</v>
      </c>
      <c r="B70" s="204" t="s">
        <v>1562</v>
      </c>
      <c r="C70" s="205" t="s">
        <v>1048</v>
      </c>
      <c r="D70" s="168" t="s">
        <v>1511</v>
      </c>
      <c r="E70" s="168" t="s">
        <v>1512</v>
      </c>
      <c r="F70" s="205"/>
      <c r="G70" s="205"/>
      <c r="H70" s="101"/>
      <c r="I70" s="101"/>
      <c r="J70" s="208" t="n">
        <v>2026</v>
      </c>
      <c r="K70" s="102"/>
      <c r="L70" s="101"/>
      <c r="M70" s="101"/>
      <c r="N70" s="205"/>
      <c r="O70" s="108" t="s">
        <v>1563</v>
      </c>
      <c r="P70" s="108" t="s">
        <v>1564</v>
      </c>
      <c r="Q70" s="107" t="s">
        <v>1565</v>
      </c>
      <c r="R70" s="108" t="s">
        <v>1566</v>
      </c>
      <c r="S70" s="122"/>
      <c r="T70" s="168" t="s">
        <v>1567</v>
      </c>
      <c r="U70" s="205"/>
      <c r="V70" s="205"/>
      <c r="W70" s="205"/>
      <c r="X70" s="205"/>
      <c r="Y70" s="206" t="s">
        <v>1568</v>
      </c>
    </row>
    <row r="71" customFormat="false" ht="237" hidden="false" customHeight="true" outlineLevel="0" collapsed="false">
      <c r="A71" s="203" t="n">
        <v>24</v>
      </c>
      <c r="B71" s="204" t="s">
        <v>1569</v>
      </c>
      <c r="C71" s="205" t="s">
        <v>897</v>
      </c>
      <c r="D71" s="168" t="s">
        <v>1511</v>
      </c>
      <c r="E71" s="168" t="s">
        <v>1570</v>
      </c>
      <c r="F71" s="205"/>
      <c r="G71" s="205"/>
      <c r="H71" s="101"/>
      <c r="I71" s="101"/>
      <c r="J71" s="208" t="n">
        <v>2026</v>
      </c>
      <c r="K71" s="102"/>
      <c r="L71" s="101"/>
      <c r="M71" s="101"/>
      <c r="N71" s="205"/>
      <c r="O71" s="108" t="s">
        <v>1571</v>
      </c>
      <c r="P71" s="108" t="s">
        <v>1572</v>
      </c>
      <c r="Q71" s="107" t="s">
        <v>1573</v>
      </c>
      <c r="R71" s="108" t="s">
        <v>1572</v>
      </c>
      <c r="S71" s="122"/>
      <c r="T71" s="168" t="s">
        <v>1574</v>
      </c>
      <c r="U71" s="205"/>
      <c r="V71" s="205"/>
      <c r="W71" s="205"/>
      <c r="X71" s="205"/>
      <c r="Y71" s="206"/>
    </row>
    <row r="72" customFormat="false" ht="249.75" hidden="false" customHeight="true" outlineLevel="0" collapsed="false">
      <c r="A72" s="203" t="n">
        <v>25</v>
      </c>
      <c r="B72" s="204" t="s">
        <v>1575</v>
      </c>
      <c r="C72" s="205" t="s">
        <v>897</v>
      </c>
      <c r="D72" s="168" t="s">
        <v>1511</v>
      </c>
      <c r="E72" s="168" t="s">
        <v>1576</v>
      </c>
      <c r="F72" s="205"/>
      <c r="G72" s="205"/>
      <c r="H72" s="101"/>
      <c r="I72" s="101"/>
      <c r="J72" s="208" t="n">
        <v>2026</v>
      </c>
      <c r="K72" s="102"/>
      <c r="L72" s="101"/>
      <c r="M72" s="101"/>
      <c r="N72" s="205"/>
      <c r="O72" s="108" t="s">
        <v>1577</v>
      </c>
      <c r="P72" s="108" t="s">
        <v>1578</v>
      </c>
      <c r="Q72" s="107" t="s">
        <v>1579</v>
      </c>
      <c r="R72" s="108" t="s">
        <v>1572</v>
      </c>
      <c r="S72" s="122"/>
      <c r="T72" s="168" t="s">
        <v>1580</v>
      </c>
      <c r="U72" s="205"/>
      <c r="V72" s="205"/>
      <c r="W72" s="205"/>
      <c r="X72" s="205"/>
      <c r="Y72" s="206"/>
    </row>
    <row r="73" customFormat="false" ht="199.5" hidden="false" customHeight="true" outlineLevel="0" collapsed="false">
      <c r="A73" s="203" t="n">
        <v>26</v>
      </c>
      <c r="B73" s="204" t="s">
        <v>1581</v>
      </c>
      <c r="C73" s="205" t="s">
        <v>722</v>
      </c>
      <c r="D73" s="168" t="s">
        <v>1511</v>
      </c>
      <c r="E73" s="168" t="s">
        <v>1582</v>
      </c>
      <c r="F73" s="205"/>
      <c r="G73" s="205"/>
      <c r="H73" s="101"/>
      <c r="I73" s="101"/>
      <c r="J73" s="208" t="n">
        <v>2026</v>
      </c>
      <c r="K73" s="102"/>
      <c r="L73" s="101"/>
      <c r="M73" s="101"/>
      <c r="N73" s="205"/>
      <c r="O73" s="108" t="s">
        <v>1583</v>
      </c>
      <c r="P73" s="107" t="s">
        <v>1584</v>
      </c>
      <c r="Q73" s="107" t="s">
        <v>1585</v>
      </c>
      <c r="R73" s="108" t="s">
        <v>1572</v>
      </c>
      <c r="S73" s="122"/>
      <c r="T73" s="168" t="s">
        <v>1586</v>
      </c>
      <c r="U73" s="205"/>
      <c r="V73" s="205"/>
      <c r="W73" s="206" t="s">
        <v>1587</v>
      </c>
      <c r="X73" s="205"/>
      <c r="Y73" s="206" t="s">
        <v>1588</v>
      </c>
    </row>
    <row r="74" customFormat="false" ht="287.25" hidden="false" customHeight="true" outlineLevel="0" collapsed="false">
      <c r="A74" s="203" t="n">
        <v>27</v>
      </c>
      <c r="B74" s="204" t="s">
        <v>1589</v>
      </c>
      <c r="C74" s="205" t="s">
        <v>722</v>
      </c>
      <c r="D74" s="168" t="s">
        <v>1511</v>
      </c>
      <c r="E74" s="168" t="s">
        <v>1590</v>
      </c>
      <c r="F74" s="205"/>
      <c r="G74" s="205"/>
      <c r="H74" s="101"/>
      <c r="I74" s="101"/>
      <c r="J74" s="208" t="n">
        <v>2026</v>
      </c>
      <c r="K74" s="102"/>
      <c r="L74" s="101"/>
      <c r="M74" s="101"/>
      <c r="N74" s="205"/>
      <c r="O74" s="107" t="s">
        <v>1591</v>
      </c>
      <c r="P74" s="107" t="s">
        <v>1592</v>
      </c>
      <c r="Q74" s="107" t="s">
        <v>1593</v>
      </c>
      <c r="R74" s="108" t="s">
        <v>1594</v>
      </c>
      <c r="S74" s="122"/>
      <c r="T74" s="168" t="s">
        <v>1595</v>
      </c>
      <c r="U74" s="205"/>
      <c r="V74" s="205"/>
      <c r="W74" s="205"/>
      <c r="X74" s="205"/>
      <c r="Y74" s="206"/>
    </row>
    <row r="75" customFormat="false" ht="237" hidden="false" customHeight="true" outlineLevel="0" collapsed="false">
      <c r="A75" s="203" t="n">
        <v>28</v>
      </c>
      <c r="B75" s="204" t="s">
        <v>1596</v>
      </c>
      <c r="C75" s="205" t="s">
        <v>1502</v>
      </c>
      <c r="D75" s="168" t="s">
        <v>1597</v>
      </c>
      <c r="E75" s="168" t="s">
        <v>1598</v>
      </c>
      <c r="F75" s="205"/>
      <c r="G75" s="205"/>
      <c r="H75" s="101"/>
      <c r="I75" s="101"/>
      <c r="J75" s="208" t="n">
        <v>2024</v>
      </c>
      <c r="K75" s="102"/>
      <c r="L75" s="101"/>
      <c r="M75" s="101"/>
      <c r="N75" s="205"/>
      <c r="O75" s="108" t="s">
        <v>1599</v>
      </c>
      <c r="P75" s="108" t="s">
        <v>1572</v>
      </c>
      <c r="Q75" s="107" t="s">
        <v>1600</v>
      </c>
      <c r="R75" s="108" t="s">
        <v>1572</v>
      </c>
      <c r="S75" s="122"/>
      <c r="T75" s="168" t="s">
        <v>1601</v>
      </c>
      <c r="U75" s="205"/>
      <c r="V75" s="205"/>
      <c r="W75" s="205"/>
      <c r="X75" s="205"/>
      <c r="Y75" s="206"/>
    </row>
    <row r="76" customFormat="false" ht="249.75" hidden="false" customHeight="true" outlineLevel="0" collapsed="false">
      <c r="A76" s="203" t="n">
        <v>29</v>
      </c>
      <c r="B76" s="204" t="s">
        <v>1602</v>
      </c>
      <c r="C76" s="205" t="s">
        <v>1502</v>
      </c>
      <c r="D76" s="168" t="s">
        <v>1597</v>
      </c>
      <c r="E76" s="168" t="s">
        <v>1603</v>
      </c>
      <c r="F76" s="205"/>
      <c r="G76" s="205"/>
      <c r="H76" s="101"/>
      <c r="I76" s="101"/>
      <c r="J76" s="208" t="n">
        <v>2025</v>
      </c>
      <c r="K76" s="102"/>
      <c r="L76" s="101"/>
      <c r="M76" s="101"/>
      <c r="N76" s="205"/>
      <c r="O76" s="108" t="s">
        <v>1604</v>
      </c>
      <c r="P76" s="108" t="s">
        <v>1572</v>
      </c>
      <c r="Q76" s="107" t="s">
        <v>1605</v>
      </c>
      <c r="R76" s="108" t="s">
        <v>1572</v>
      </c>
      <c r="S76" s="122"/>
      <c r="T76" s="168" t="s">
        <v>1606</v>
      </c>
      <c r="U76" s="205"/>
      <c r="V76" s="205"/>
      <c r="W76" s="205"/>
      <c r="X76" s="205"/>
      <c r="Y76" s="206"/>
    </row>
    <row r="77" customFormat="false" ht="324.75" hidden="false" customHeight="true" outlineLevel="0" collapsed="false">
      <c r="A77" s="203" t="n">
        <v>30</v>
      </c>
      <c r="B77" s="204" t="s">
        <v>1607</v>
      </c>
      <c r="C77" s="205" t="s">
        <v>1048</v>
      </c>
      <c r="D77" s="168" t="s">
        <v>1597</v>
      </c>
      <c r="E77" s="168" t="s">
        <v>1608</v>
      </c>
      <c r="F77" s="205"/>
      <c r="G77" s="205"/>
      <c r="H77" s="101"/>
      <c r="I77" s="101"/>
      <c r="J77" s="208" t="n">
        <v>2025</v>
      </c>
      <c r="K77" s="102"/>
      <c r="L77" s="101"/>
      <c r="M77" s="101"/>
      <c r="N77" s="205"/>
      <c r="O77" s="108" t="s">
        <v>1609</v>
      </c>
      <c r="P77" s="108" t="s">
        <v>1610</v>
      </c>
      <c r="Q77" s="107" t="s">
        <v>1611</v>
      </c>
      <c r="R77" s="108" t="s">
        <v>1610</v>
      </c>
      <c r="S77" s="122"/>
      <c r="T77" s="168" t="s">
        <v>1612</v>
      </c>
      <c r="U77" s="205"/>
      <c r="V77" s="205"/>
      <c r="W77" s="205"/>
      <c r="X77" s="205"/>
      <c r="Y77" s="206" t="s">
        <v>1613</v>
      </c>
    </row>
    <row r="78" customFormat="false" ht="262.5" hidden="false" customHeight="true" outlineLevel="0" collapsed="false">
      <c r="A78" s="203" t="n">
        <v>31</v>
      </c>
      <c r="B78" s="204" t="s">
        <v>1614</v>
      </c>
      <c r="C78" s="205" t="s">
        <v>1048</v>
      </c>
      <c r="D78" s="168" t="s">
        <v>1597</v>
      </c>
      <c r="E78" s="168" t="s">
        <v>1615</v>
      </c>
      <c r="F78" s="205"/>
      <c r="G78" s="205"/>
      <c r="H78" s="101"/>
      <c r="I78" s="101"/>
      <c r="J78" s="208" t="n">
        <v>2025</v>
      </c>
      <c r="K78" s="102"/>
      <c r="L78" s="101"/>
      <c r="M78" s="101"/>
      <c r="N78" s="205"/>
      <c r="O78" s="108" t="s">
        <v>1616</v>
      </c>
      <c r="P78" s="108" t="s">
        <v>1572</v>
      </c>
      <c r="Q78" s="107" t="s">
        <v>1617</v>
      </c>
      <c r="R78" s="108" t="s">
        <v>1572</v>
      </c>
      <c r="S78" s="122"/>
      <c r="T78" s="168" t="s">
        <v>1618</v>
      </c>
      <c r="U78" s="205"/>
      <c r="V78" s="205"/>
      <c r="W78" s="205"/>
      <c r="X78" s="205"/>
      <c r="Y78" s="206"/>
    </row>
    <row r="79" customFormat="false" ht="12" hidden="false" customHeight="true" outlineLevel="0" collapsed="false">
      <c r="A79" s="203"/>
      <c r="B79" s="168"/>
      <c r="C79" s="205"/>
      <c r="D79" s="168"/>
      <c r="E79" s="168"/>
      <c r="F79" s="205"/>
      <c r="G79" s="205"/>
      <c r="H79" s="101"/>
      <c r="I79" s="101"/>
      <c r="J79" s="212"/>
      <c r="K79" s="102"/>
      <c r="L79" s="101"/>
      <c r="M79" s="101"/>
      <c r="N79" s="205"/>
      <c r="O79" s="205"/>
      <c r="P79" s="205"/>
      <c r="Q79" s="205"/>
      <c r="R79" s="205"/>
      <c r="S79" s="122"/>
      <c r="T79" s="168"/>
      <c r="U79" s="205"/>
      <c r="V79" s="205"/>
      <c r="W79" s="205"/>
      <c r="X79" s="205"/>
      <c r="Y79" s="206"/>
    </row>
  </sheetData>
  <mergeCells count="3">
    <mergeCell ref="A1:I1"/>
    <mergeCell ref="H2:I2"/>
    <mergeCell ref="L2:N2"/>
  </mergeCells>
  <hyperlinks>
    <hyperlink ref="T4" r:id="rId1" display="https://www.allianz.co.uk/news-and-insight/news/allianz-prevents-record-level-of-fraud.html&#10;&#10;https://technopark.in/company-details/5870?company=Allianz%20Services%20%28P%29%20Ltd&#10;&#10;https://www.linkedin.com/posts/allianz-reinsurance_allianz-jio-re-limited-commences-underwriting-activity-7442824086717779969-vY4R &#10;&#10;https://commercial.allianz.com/news-and-insights/news/reel-media-partnership-2026.html&#10;&#10;https://commercial.allianz.com/news-and-insights/news/uk-property-appointments-2026.html&#10;&#10;https://www.etnownews.com/companies/exclusive-allianz-to-merge-agcs-india-business-into-new-jv-with-jio-financial-services-to-meet-irdai-norms-article-152322592&#10;&#10;https://www.linkedin.com/posts/allianz-services-india_hfsindiasummit-gcc-activity-7432301647646859264-FiL6&#10;&#10;https://www.allianz.com/en/mediacenter/news.html (JFSL-Allianz JV binding agreement, 22 Apr 2026)&#10;&#10;https://www.reinsurancene.ws/tag/allianz/ (Allianz Jio Re CEO Sonia Rawal; Q1 2026 results)"/>
    <hyperlink ref="U4" r:id="rId2" display="en-Allianz-fact-sheet.pdf"/>
    <hyperlink ref="T5" r:id="rId3" display="Latest News | Allstate India&#10;&#10;https://undercodenews.com/allstates-india-operations-a-hub-of-innovation-and-efficiency/https://undercodenews.com/allstates-india-operations-a-hub-of-innovation-and-efficiency/&#10;&#10;https://timesofindia.indiatimes.com/technology/times-techies/using-indian-docs-lawyers-engineers-to-serve-us-insurance-allstate-centres-in-pune-bengaluru-are-becoming-critical-hubs/articleshow/118371257.cms&#10;&#10;https://actuary.info/insights/allstate-allie-proprietary-agentic-ai-stack"/>
    <hyperlink ref="U5" r:id="rId4" display="The Allstate Corporation (ALL) Number of Employees 1996-2025"/>
    <hyperlink ref="T6" r:id="rId5" display="https://www.thecompanycheck.com/company/accenture-operations-services-private-limited/U74990KA2009PTC076432&#10;&#10;https://insuranceblog.accenture.com/3-ways-insurance-underwriters-gain-insights-generative-ai&#10;&#10;&#10;https://in.marketscreener.com/quote/stock/ACCENTURE-PLC-11521/news/Accenture-Invests-in-Reserv-to-Transform-Insurance-Claims-Processes-50158529/&#10;&#10;https://ansr.com/press-releases/accenture-invests-in-ansr-and-will-join-its-board-of-directors/&#10;&#10;&#10;https://newsroom.servicenow.com/press-releases/details/2026/ServiceNow-and-Accenture-launch-forward-deployed-engineering-program-to-scale-agentic-AI-across-the-enterprise/default.aspx"/>
    <hyperlink ref="U6" r:id="rId6" display="Accenture Operations Services Private Limited - FY 2026"/>
    <hyperlink ref="T7" r:id="rId7" display="https://www.reinsurancene.ws/leading-indian-life-insurer-to-implement-aons-modelling-platform-pathwise/&#10;&#10;https://aon.mediaroom.com/2026-04-15-Aon-expands-Data-Center-Lifecycle-Insurance-Program-capacity-to-3-5-billion-in-support-of-Digital-Infrastructure-clients&#10;&#10;&#10;https://gccrise.com/aon-appoints-shiney-prasad-as-head-of-global-capability-centers/&#10;https://aon.mediaroom.com/news-releases?item=138603"/>
    <hyperlink ref="T8" r:id="rId8" display="https://in.marketscreener.com/news/admiral-group-plc-reports-earnings-results-for-the-full-year-ended-december-31-2025-ce7e5fdbd88af525&#10;&#10;https://www.londonstockexchange.com/news-article/ADM/admiral-group-completes-acquisition-of-flock/17616667"/>
    <hyperlink ref="U8" r:id="rId9" display="Admiral Solutions | LinkedIn&#10;&#10;https://www.greatplacetowork.in/resources/casestudies/admiral-india-hybrid-workplace-retention/"/>
    <hyperlink ref="T9" r:id="rId10" display="https://www.businesswire.com/news/home/20251027224074/en/Arch-Global-Services-India-Opens-Technology-Hub-in-Hyderabad-to-Accelerate-Innovation?utm_source=chatgpt.com&#10;&#10;https://www.reinsurancene.ws/arch-global-services-india-opens-technology-hub-in-hyderabad/&#10;&#10;&#10;https://www.archgroup.com/arch-capital-group-ltd-reports-2026-first-quarter-results/"/>
    <hyperlink ref="T10" r:id="rId11" display="https://www.prnewswire.com/in/news-releases/axa-global-business-services-embarks-on-a-new-era-of-transformation-as-it-celebrates-30-years-in-india-302375701.html&#10;&#10;https://www.axagbs.com/press-release/axa-unveils-state-of-the-art-office-space-in-pune-expands-its-global-business-services-center&#10;&#10;https://gcc.economictimes.indiatimes.com/news/industry-trends/axa-gbs-driving-innovation-through-strategic-engineering-talent-in-india/125975576&#10;&#10;https://www.reinsurancene.ws/thomas-buberl-reappointed-ceo-of-axa-for-four-year-term/&#10;&#10;https://gcc.economictimes.indiatimes.com/podcast/podcast/the-gcc-show/why-india-matters-to-axa-gbs/125829577"/>
    <hyperlink ref="U10" r:id="rId12" display=" &#10;&#10;AXA Global Business Services Embarks on a New Era of Transformation as it Celebrates 30 Years in India  "/>
    <hyperlink ref="T11" r:id="rId13" display="https://www.itij.com/latest/news/bupa-careconnect-signs-11-new-workplace-healthcare-agreements-global-health-exhibition?utm_source=chatgpt.com&#10;&#10;https://www.insurancebusinessmag.com/au/news/environmental/bupa-targets-preventative-healthcare-through-startup-investments-532873.aspx?utm_source=chatgpt.com&#10;&#10;https://www.abc.net.au/news/2025-06-30/srt-accc-takes-bupa-to-court-for-unconscionable-conduct/105476068?utm_source=chatgpt.com&#10;&#10;&#10;https://economictimes.indiatimes.com/tech/artificial-intelligence/multinationals-set-up-gccs-in-india-to-bypass-ai-talent-war-ft-report/articleshow/122834748.cms&#10;&#10;https://www.falconebiz.com/company/BUPA-CAPABILITY-CENTRE-PRIVATE-LIMITED-U70200HR2025FTC131860&#10;&#10;https://hrtoday.in/bupa-global-capability-centre-appoints-sidharth-gupta-as-head-talent-acquisition-employer-branding-apac-uk/&#10;&#10;https://media.bupa.com.au/bupa-to-acquire-partnered-health-group/"/>
    <hyperlink ref="U11" r:id="rId14" display="Bupa Capability Centre - India Bupa Careers"/>
    <hyperlink ref="T12" r:id="rId15" display="Press Releases | Cigna Healthcare Newsroom | Cigna Newsroom&#10;&#10;https://gcc.economictimes.indiatimes.com/news/gccs-revolutionize-enterprise-value-creation-with-ai-innovation/129902916&#10;&#10;https://jobs.thecignagroup.com/us/en/evernorth-india&#10;&#10;&#10;https://www.expresscomputer.in/exclusives/our-hyderabad-hub-now-drive-end-to-end-delivery-not-just-an-offshore-unit-for-cigna-yadhu-kishore-nandikolla-evernorth-health-services-india/126501/&#10;&#10;&#10;https://marketchameleon.com/Overview/CI/PressReleases/&#10;https://providernewsroom.com/cigna-healthcare/the-cigna-group-appoints-brian-evanko-chief-executive-officer/"/>
    <hyperlink ref="U12" r:id="rId16" display="Cigna Health Solutions India | A Cigna Healthcare Company&#10;&#10;https://www.zaubacorp.com/CIGNA-HEALTH-SOLUTIONS-INDIA-PRIVATE-LIMITED-U93090MH2011FTC213985&#10;&#10;https://www.cignainternational.com/chsi/our-story&#10;&#10;https://www.zaubacorp.com/RAMKUMAR-VENKATACHALAM-08260871&#10;&#10;https://www.cignainternational.com/chsi/our-story&#10;&#10;"/>
    <hyperlink ref="T13" r:id="rId17" display="https://upstox.com/news/business-news/latest-updates/star-union-life-quantum-street-ai-partner-to-launch-ai-led-investment-products/article-118564/?utm_source=chatgpt.com&#10;&#10;https://www.expresscomputer.in/news/star-union-dai-ichi-life-insurances-ai-voice-bot-push-signals-a-larger-shift-in-insurance-cx-playbooks/134259/&#10;https://www.sudlife.in/key-management-persons&#10;&#10;https://www.capgemini.com/news/press-releases/dai-ichi-life-group-and-capgemini-sign-multi-year-agreement-to-establish-a-global-capability-center-in-india-to-drive-international-digital-transformation/&#10;&#10;https://www.thehindubusinessline.com/money-and-banking/dai-ichi-life-to-expand-india-gcc-to-600-employees-taps-local-tech-talent/article69815511.ece&#10;&#10;https://www.daiichilife-group.com/en/news/assets/pdf/2026_index_015.pdf"/>
    <hyperlink ref="T14" r:id="rId18" display="FM Expands Footprint in India with New, Innovative Centre in Bengaluru | FM (US)&#10;&#10;https://www.claimsjournal.com/news/national/2026/02/02/335326.htm&#10;&#10;https://economictimes.indiatimes.com/industry/services/property-/-cstruction/fm-to-set-up-largest-office-outside-us-in-bengaluru/articleshow/122736584.cms&#10;&#10;https://newsroom.fmglobal.com/releases/fm-expands-footprint-in-india-with-new-innovative-centre-in-bengaluru"/>
    <hyperlink ref="T15" r:id="rId19" display="https://www.sahmcapital.com/news/content/a-look-at-first-american-financials-valuation-after-new-title-fraud-monitoring-service-launch-2026-01-21?utm_source=chatgpt.com&#10;&#10; https://www.firstam.com/news/2025/agentnet-assist-gen-ai-tool-20250728.html&#10;&#10;https://www.theofficialboard.com/org-chart/first-american&#10;&#10;https://in.linkedin.com/company/first-american-india-pvt-ltd&#10;&#10;https://www.firstam.co.in/"/>
    <hyperlink ref="T16" r:id="rId20" display="Arthur J. Gallagher &amp; Co. Acquires First Actuarial&#10;&#10;https://hrtoday.in/meenu-agrawal-joins-gallagher-center-of-excellence-as-group-vice-president-talent-acquisition/&#10;&#10;https://investor.ajg.com/news/default.aspx"/>
    <hyperlink ref="T17" r:id="rId21" display="https://news.europawire.eu/hannover-re-unveils-dedicated-cyber-and-digital-business-unit-for-enhanced-reinsurance-expertise/eu-press-release/2024/03/26/10/53/52/133057/?utm.com&#10;&#10;https://reinasia.com/hannover-re-appoints-prateek-maheshwari-as-cfo-for-india-branch/&#10;&#10;https://www.hannover-re.com/en/press/&#10;https://www.reinsurancene.ws/lemonade-enters-into-250m-business-financing-agreement-with-hannover-re/"/>
    <hyperlink ref="T18" r:id="rId22" display="Markel partners with Insurate for AI-driven workers’ com By Investing.com&#10;&#10;https://www.prnewswire.com/news-releases/markel-international-launches-ai-centre-of-enablement-with-appointment-of-head-of-ai-302711437.html&#10;&#10;https://www.reinsurancene.ws/markel-international-adds-jain-as-indias-business-development-distribution-lead/"/>
    <hyperlink ref="T19" r:id="rId23" display="Marsh McLennan and its businesses will brand as Marsh&#10;https://insuranceasia.com/insurance/news/marsh-mclennan-india-names-sanjay-kedia-new-ceo&#10;https://www.corporate.marsh.com/about/leadership.html&#10;https://ffnews.com/newsarticle/hiring/marsh-mclennan-appoints-andrea-bono-as-ceo-india-middle-east-and-africa/&#10;https://www.insurancebusinessmag.com/us/news/technology/marsh-mclennan-agency-tackles-complexity-with-data-platforms-and-targeted-ai-investment-571858.aspx"/>
    <hyperlink ref="U19" r:id="rId24" display="Marsh McLennan and its businesses will brand as Marsh&#10;https://insuranceasia.com/insurance/news/marsh-mclennan-india-names-sanjay-kedia-new-ceo&#10;https://www.corporate.marsh.com/about/leadership.html&#10;https://www.insurancebusinessmag.com/us/news/technology/marsh-mclennan-agency-tackles-complexity-with-data-platforms-and-targeted-ai-investment-571858.aspx&#10;&#10;https://www.marsh.com/en/about/media/marsh-launches-marsh-nexus-captive-solution.html"/>
    <hyperlink ref="T20" r:id="rId25" display="https://www.f1lasvegasgp.com/2025/10/massmutual-accelerates-brand-presence-with-sponsorship-of-the-formula-1-heineken-las-vegas-grand-prix-2025-as-the-official-wealth-management-partner/&#10;&#10;https://www.nerdwallet.com/insurance/life/massmutual-life-insurance-review&#10;https://marquistopexecutives.com/2024/05/06/ravi-tangirala/&#10;https://leadiq.com/c/massmutual-india/617823e9990e636b3ee22fa3/employee-directory&#10;Forbes (Dec 29 2025): MassMutual Moving At ‘Warp Speed’ On AI Efforts&#10;https://www.forbes.com/sites/stevennorton/2025/12/29/massmutual-moving-at-warp-speed-on-ai-efforts/&#10;Telangana Today (GCC CoE expansion):&#10;https://telanganatoday.com/massmutual-to-increase-headcount-in-hyderabad [telanganatoday.com]&#10;enRightPR coverage on GCC technology excellence:&#10;https://www.enrightpr.in/massmutual-to-spur-its-technology-excellence-in-gcc/"/>
    <hyperlink ref="U20" r:id="rId26" display="https://www.corporatereport.com/massmutual/2024/ar/governance/&#10;https://www.corporatereport.com/massmutual/2024/ar/governance/&#10;https://www.corporatereport.com/massmutual/2024/ar/governance/&#10;https://www.massmutual.com/newsroom"/>
    <hyperlink ref="T21" r:id="rId27" display="MetLife Accelerates Digital Transformation with New Global Capability Center - TOH&#10;&#10;https://ssfglobal.in/industry_action/metlife-expands-noida-gcc-with-new-lease-at-oxygen-business-park/&#10;&#10;https://thetimesofhindustan.com/metlife-accelerates-digital-transformation-with-new-global-capability-center/&#10;https://365telugu.com/metlife-gcc-named-among-indias-best-companies-to-work-for-2026/&#10;&#10;&#10;"/>
    <hyperlink ref="U21" r:id="rId28" display="India - Global Capability Center | MetLife Careers&#10;&#10;https://www.thecompanycheck.com/company/metlife-global-operations-support-center-private-limited/U72900DL2008PTC176695"/>
    <hyperlink ref="T22" r:id="rId29" display="India to soon have about 50% of Swiss Re's global tech talent: Amit Kalra | Interviews - Business Standard&#10;&#10;https://www.swissre.com/risk-knowledge/advancing-societal-benefits-digitalisation/how-generative-ai-is-transforming-insurance-claims-claimsgenai.html&#10;&#10;https://asiainsurancepost.com/archives/50595&#10;https://www.linkedin.com/posts/analytics-india-magazine_global-reinsurer-swiss-re-has-officially-activity-7342559467030441984--SGk/&#10;&#10;&#10;&#10;https://theiirm.ac.in/swiss-re-gbs-india-signs-mou/&#10;&#10;https://reinasia.com/zurich-taps-amit-kalra-to-lead-new-global-capability-centre-in-india/ (Kalra departure/Zurich move)&#10;&#10;https://www.reinsurancene.ws/swiss-re-names-ziswiler-as-head-pc-re-southeast-asia-india-hong-kong-taiwan-and-korea/"/>
    <hyperlink ref="U22" r:id="rId30" display="https://www.swissre.com/about-us/our-leadership.html&#10;&#10;&#10;https://en.wikipedia.org/wiki/Swiss_Re"/>
    <hyperlink ref="T23" r:id="rId31" display="https://timesofindia.indiatimes.com/business/india-business/us-insurer-the-standard-expands-india-footprint-with-new-capability-center/articleshow/125431239.cms&#10;&#10;The Standard finalizes Allstate voluntary benefits acquisition | Insurance Business&#10;&#10;https://analyticsindiamag.com/ai-news-updates/the-standard-launches-new-gcc-in-india/&#10;&#10;https://www.standard.com/get-to-know-standard/newsroom/press-releases/standard-and-onedigital-expand-secure-future-pep-nationally&#10;&#10;https://www.standard.com/get-to-know-standard/newsroom/press-releases/standard-promotes-nathan-mckinstry-senior-vice-president-employee-voluntary &#10;&#10;https://www.standard.com/get-to-know-standard/newsroom/press-releases/standard-promotes-paul-freese-assistant-vice-president-loan-operations-stancorp&#10;&#10;https://www.standard.com/get-to-know-standard/newsroom/press-releases/standard-partners-university-texas-dallas-increase-access-actuarial-science&#10;&#10;https://www.standard.com/get-to-know-standard/newsroom/press-releases/standard-names-elice-lee-regional-vice-president-retirement-plans&#10;&#10;https://www.standard.com/get-to-know-standard/newsroom/press-releases/standard-names-rob-kerscher-regional-vice-president-retirement-plans"/>
    <hyperlink ref="U23" r:id="rId32" display="The Standard Expands Global Footprint with New Office and Mohua Sengupta as Country Head in India, ETGCC &#10;&#10;https://www.linkedin.com/company/the-standard/"/>
    <hyperlink ref="T24" r:id="rId33" display="Gaurish Wagh Appointed as Global People Development Lead India at M&amp;G Global Services Private Limited - Global HR News &amp; Updates&#10;&#10;https://www.linkedin.com/company/m&amp;gglobalservicesprivatelimited/posts/?feedView=all&#10;https://group.mandg.com/news-and-insights/press-releases/2026/27-04-2026"/>
    <hyperlink ref="U24" r:id="rId34" display="&#10;&#10;https://www.zaubacorp.com/M-AND-G-GLOBAL-SERVICES-PRIVATE-LIMITED-U74140MH2002PTC137446#google_vignette&#10;&#10;https://www.thecompanycheck.com/company/mg-global-services-private-limited/U74140MH2002PTC137446"/>
    <hyperlink ref="T25" r:id="rId35" display="https://www.moneycontrol.com/banking/global-insurer-chubb-explores-india-re-entry-after-two-decades-article-13891678.html&#10;Chubb launches AI embedded engine; Trucordia acquires 5: Insurance news | Digital Insurance&#10;&#10;https://www.processexcellencenetwork.com/digital-transformation/news/chubb-lays-out-ambitious-digital-transformation-plans-with-focus-on-ai-automation&#10;&#10;https://news.chubb.com/2026-03-11-Chubb-Names-Seshadri-Iyer-to-Lead-Global-Operations,-Technology-and-Digital-Transformation&#10;https://timesofindia.indiatimes.com/city/hyderabad/chubbs-tech-hub-expansion-hyderabad-leads-as-major-global-workforce-center/articleshow/115310608.cms&#10;"/>
    <hyperlink ref="U25" r:id="rId36" display="Chubb's Tech Hub Expansion: Hyderabad Leads as Major Global Workforce Center | Hyderabad News - The Times of India"/>
    <hyperlink ref="T26" r:id="rId37" display="https://yourstory.com/enterprise-story/2025/03/india-gcc-microcosm-guardian-life-insurance-shiney-prasad&#10;&#10;https://gcc.economictimes.indiatimes.com/news/people-culture/guardian-india-names-karunakaran-azhisur-as-new-country-head/126960296&#10;&#10;https://www.guardianlife.com/about-guardian/where-we-work/india"/>
    <hyperlink ref="U26" r:id="rId38" display="‘India GCC is a microcosm of Guardian Life Insurance building tech solutions for the American market’ | YourStory"/>
    <hyperlink ref="T27" r:id="rId39" display="https://www.tiaa.org/public/about-tiaa/news-press/news/2024/07-17&#10;https://www.linkedin.com/posts/val-volkau-4a9a7333_tiaaproud-activity-7435338616417128448-h2jm/&#10;TIAA Global Capabilities Pvt Ltd (formerly known as TIAA Global Business Services (India) Pvt Ltd), a Great Place To Work&#10;&#10;https://www.linkedin.com/feed/update/urn:li:share:7443440723737108480/&#10;&#10;&#10;&#10;https://www.prnewswire.com/news-releases/nuveen-tiaa-and-principal-expand-access-to-guaranteed-lifetime-income-marking-the-milestone-with-bobby-bonilla-on-his-annual-payday-302815828.html&#10;"/>
    <hyperlink ref="U27" r:id="rId40" display="TIAA Careers | Global Capabilities"/>
    <hyperlink ref="T28" r:id="rId41" display="Sun Life Global Solutions India at 20: Driving Enterprise Impact, Innovation and transformation | Sun Life Global Solutions&#10;&#10;https://gcc.economictimes.indiatimes.com/videos/power-talks/gccs-as-growth-engines-inside-sun-life-global-solutions-ai-journey/126136910?utm_source=top_news&amp;utm_medium=tagListing&#10;&#10;https://etedge-insights.com/trending/sun-life-global-solutions-india-marks-20-years-of-transformation-and-innovation/&#10;&#10;https://www.techcircle.in/2025/07/14/significant-rise-in-strategic-leadership-roles-at-sun-life-global-solutions-in-last-5-yrs-ajayan-narayanan&#10;&#10;https://www.expresscomputer.in/exclusives/mirror-operations-shifted-us-from-lift-and-shift-to-transform-and-shift-rajat-vibhas-sun-life-global-solutions-india/127163/&#10;&#10;https://www.linkedin.com/posts/gccpulse_globalcapabilitycentres-gccnews-activity-7431629843320020992-fAJE/&#10;&#10;https://gcc.economictimes.indiatimes.com/news/people-culture/bianca-ilibasic-appointed-managing-director-of-sun-life-global-solutions/131171852"/>
    <hyperlink ref="T29" r:id="rId42" display="https://www.optum.com/en/about-us/news/page.hub5.ai-powered-digital-prior-authorization.html&#10;https://briefglance.com/articles/ansr-and-optum-launch-ai-platform-for-healthcares-in-house-tech-hubs&#10;https://www.optum.com/en/about-us/news/page.hub5.ai-drives-affordability-accelerate-value-based-care-adoption.html&#10;&#10;Optum is advancing AI-powered digital prior authorization to reshape care delivery&#10;&#10;https://www.optum.com/en/about-us/news/page.hub5.ai-drives-affordability-accelerate-value-based-care-adoption.html&#10;&#10;https://www.optum.com/en/about-us/news/page.hub5.improving-provider-experience-across-claims-reimbursement.html&#10;&#10;https://telanganatoday.com/optum-iiit-hyderabad-to-set-up-startup-studio&#10;&#10;https://www.optum.in/about/news/how-gccs-are-shaping-global-strategies-future-leaders.html&#10;https://healthbuzz.in/ansr-launches-ai-powered-healthcare-gcc-accelerator-to-accelerate-digital-transformation/&#10;"/>
    <hyperlink ref="U29" r:id="rId43" display="Work here"/>
    <hyperlink ref="T30" r:id="rId44" display="Prudential Launches Global Services Hub in Bengaluru, India | Prudential plc&#10;&#10;https://hubbis.com/news/prudential-establishes-global-services-hub-in-india-to-drive-innovation&#10;https://www.londonstockexchange.com/news-article/PRU/prudential-plc-repositions-its-india-operations/17595604"/>
    <hyperlink ref="U30" r:id="rId45" display="Prudential Launches Global Services Hub in Bengaluru, India | Prudential plc"/>
    <hyperlink ref="Y30" r:id="rId46" location="group-executive-committee-tab" display="Naveen Tahilyani&#10;&#10;https://www.prudentialplc.com/en/newsroom/company-news/2025/prudential-plc-appoints-new-regional-ceo-and-new-eastspring-ceo/"/>
    <hyperlink ref="T31" r:id="rId47" display="https://www.linkedin.com/posts/principalglobalservices_we-are-proud-to-announce-that-principal-financial-activity-7249737828945850368-sWEF/&#10;&#10;https://corporateinsight.com/ai-in-life-insurance-principals-feature-and-new-adoption-tools/"/>
    <hyperlink ref="U31" r:id="rId48" display="Worldwide locations | Principal"/>
    <hyperlink ref="T32" r:id="rId49" display="https://news.nationwide.com/kevin-m-strong-named-new-n2g-ceo/&#10;https://n2g.com/about.html&#10;&#10;&#10;https://tta.in/tta-advised-n2g-worldwide-insurance-services-llc-in-relation-to-the-establishment-of-the-gcc/&#10;https://www.barandbench.com/dealstreet/tta-assists-n2g-insurance-on-setting-up-global-capability-center-in-india&#10;"/>
    <hyperlink ref="T33" r:id="rId50" display="http://timesofindia.indiatimes.com/articleshow/123018438.cms?utm_source=contentofinterest&amp;utm_medium=text&amp;utm_campaign=cppst&#10;https://mail.itnewsonline.com/news/ERGO-Group-AG-Launches-3rd-Tech-Hub-of-ERGO-Technology-and-Services-Management-in-Mumbai-India/8428&#10;https://www.greatplacetowork.in/great/company/ergo-technology-services-limited&#10;https://contactout.com/Mehmood-Mansoori-19652218&#10;&#10;https://www.business-standard.com/content/press-releases-ani/india-s-camcom-technologies-announces-strategic-partnership-with-ergo-group-ag-in-landmark-global-ai-deployment-for-insurance-sector-125080200640_1.html&#10;https://www.ergo.com/en/microsite/ergo-technology-services-india&#10;"/>
    <hyperlink ref="T34" r:id="rId51" display="https://timesofindia.indiatimes.com/city/hyderabad/200-year-old-us-insurer-the-hartford-opens-first-india-global-tech-centre-in-hyderabad/articleshow/128727054.cms&#10;&#10;https://www.deccanchronicle.com/business/the-hartford-announces-launch-of-technology-center-in-hyderabad-1903048&#10;&#10;https://www.business-standard.com/content/press-releases-ani/the-hartford-opens-technology-center-in-hyderabad-to-accelerate-ai-innovation-125100100615_1.html&#10;&#10;https://hrtoday.in/pritam-banerjee-joins-the-hartford-india-as-senior-director-to-lead-ai-initiatives-across-business-lines/&#10;"/>
    <hyperlink ref="T40" r:id="rId52" display="Nationwide Launches First International Global Capability Center in Hyderabad, ETGCC&#10;&#10;https://www.moneycontrol.com/news/business/information-technology/us-insurer-nationwide-opens-first-india-gcc-in-hyderabad-13969286.html"/>
    <hyperlink ref="T41" r:id="rId53" display="Genworth India | LinkedIn&#10;&#10;&#10;https://investor.genworth.com/&#10;&#10;https://investor.genworth.com/news-events&#10;&#10;"/>
    <hyperlink ref="U41" r:id="rId54" display="Corporate Leadership :: Genworth Financial, Inc. (GNW)"/>
    <hyperlink ref="T43" r:id="rId55" display="https://fnf.com/companies/annuities-life-insurance&#10;https://www.greatplacetowork.in/great/company/fnf-india-private-limited"/>
    <hyperlink ref="T48" r:id="rId56" display="https://axaxl.com/press-releases/axa-xl-strengthens-team-in-india-with-key-appointments"/>
    <hyperlink ref="U48" r:id="rId57" display="AXA opens new office in Pune, expands Global Business Services centre - CNBC TV18&#10;&#10;https://rocketreach.co/axa-xl-profile_b455dbe3fc94dd99"/>
    <hyperlink ref="T51" r:id="rId58" display="Foreign reinsurers can repatriate up to 20% of excess assigned capital, says Irdai&#10;&#10;https://www.thehindubusinessline.com/money-and-banking/lloyds-of-london-to-anchor-global-reinsurance-presence-in-gift-city/article70756724.ece&#10;&#10;https://www.lloyds.com/insights/news/new-local-partner-in-india&#10;&#10;https://www.reinsurancene.ws/lloyds-reported-to-have-applied-to-set-up-in-indias-gift-city/"/>
    <hyperlink ref="U51" r:id="rId59" display="Shefali Sehwani succeeds Shankar Gargipathy as Lloyd’s India CEO - Asia Insurance Post&#10;&#10;&#10;&#10;https://hrtoday.in/manish-bhandari-appointed-as-chief-financial-officer-india-branch-at-lloyds/&#10;&#10;&#10;https://en.wikipedia.org/wiki/Lloyd%27s_of_London"/>
    <hyperlink ref="T52" r:id="rId60" display="Gallagher creates India’s First Pandemic Insurance using parametric triggers Launched by New India Assurance, Reinsured by Munich Re&#10;https://insurancedailynews.com/iir/post/munich-re-integrates-sixfold-ai-into-realytix-zero-platform &#10;https://www.newscase.com/munich-res-ai-integration-and-capital-returns-anchor-strategy-amid-market-volatility/&#10;&#10;&#10;https://www.insurancebusinessmag.com/reinsurance/news/breaking-news/gic-res-dominance-fades-as-global-reinsurers-gain-nearly-half-of-market-share-537349.aspx"/>
    <hyperlink ref="T53" r:id="rId61" display="GenAI adoption accelerates in re/insurance as RGA outlines quarterly advancements | Reinsurance Business&#10;&#10;https://www.insurtechinsights.com/digitalowl-and-rga-form-collaborative-underwriting-technology-partnership/"/>
    <hyperlink ref="U53" r:id="rId62" display="https://www.rgare.com/our-company/people/detail/sunil-sharma&#10;https://www.rgare.com/global-presence/asia-pacific/india&#10;&#10;https://stockanalysis.com/stocks/rga/employees/"/>
    <hyperlink ref="T54" r:id="rId63" display="https://www.insurancebusinessmag.com/reinsurance/news/breaking-news/scor-takes-lead-role-in-global-ai-infrastructure-facility-562322.aspx?utm_source=chatgpt.com&#10;&#10;https://www.scor.com/en/news/scor-and-axa-join-forces-launch-lloyds-consortium-ecological-restoration-insurance?utm_source=chatgpt.com&#10;&#10;https://www.scor.com/en/scor-se-india-branch&#10;&#10;https://www.scor.com/en/press-releases-and-news"/>
    <hyperlink ref="T55" r:id="rId64" display="https://www.business-standard.com/amp/companies/news/swiss-grc-targets-revenue-of-10-million-from-indian-market-in-fy25-124020601359_1.html?utm.com&#10;&#10;&#10;https://www.swissre.com/media/press-release/pr-20260119-india-insurance-market-growth-outlook.html&#10;"/>
    <hyperlink ref="U55" r:id="rId65" display="https://www.swissre.com/profile/Amitabha_Ray/ip_88cead&#10;https://www.swissre.com/dam/jcr:8c1d60d9-cd5b-48b6-a14e-c3d4902a73de/NL-42-BOARD%20OF%20DIRECTORS%20&amp;%20KEY%20MANAGEMENT%20PERSONS.pdf"/>
    <hyperlink ref="T56" r:id="rId66" display="Berkley Asia and Lloyd’s Syndicate Volante venture into Indian markets - Asia Insurance Post&#10;&#10;file:///C:/Users/LB815QY/Downloads/%E0%A4%B5%E0%A5%8B%E0%A4%B2%E0%A4%BE%E0%A4%82%E0%A4%9F%20%E0%A4%97%E0%A5%8D%E0%A4%B2%E0%A5%8B%E0%A4%AC%E0%A4%B2%20%E0%A4%B8%E0%A4%B0%E0%A5%8D%E0%A4%B5%E0%A4%BF%E0%A4%B8%E0%A5%87%E0%A4%9C%E0%A4%BC%20%E0%A4%87%E0%A4%82%E0%A4%A1%E0%A4%BF%E0%A4%AF%E0%A4%BE%20%E0%A4%AA%E0%A5%8D%E0%A4%B0%E0%A4%BE%E0%A4%87%E0%A4%B5%E0%A5%87%E0%A4%9F%20%E0%A4%B2%E0%A4%BF%20%E0%A4%95%E0%A4%BE%20%E0%A4%AA%E0%A4%82%E0%A4%9C%E0%A5%80%E0%A4%95%E0%A4%B0%E0%A4%A3%20%E0%A4%AA%E0%A5%8D%E0%A4%B0%E0%A4%AE%E0%A4%BE%E0%A4%A3%E0%A4%AA%E0%A4%A4%E0%A5%8D%E0%A4%B0%20%E0%A4%95%E0%A4%BE%20%E0%A4%85%E0%A4%AD%E0%A5%8D%E0%A4%AF%E0%A4%B0%E0%A5%8D%E0%A4%AA%E0%A4%A3%20_%20Surrender%20of%20COR%20of%20Volante%20Global%20Services%20India%20Pvt%20Ltd.pdf"/>
    <hyperlink ref="T57" r:id="rId67" display="AXA XL builds India bench with strategic appointments | Insurance Business"/>
    <hyperlink ref="T58" r:id="rId68" display="Development: WTW’s India Global Delivery Centre Marks Successful Growth and Expansion Through Strategic Global Transformation Program, ETBFSI"/>
    <hyperlink ref="U58" r:id="rId69" display="Development: WTW’s India Global Delivery Centre Marks Successful Growth and Expansion Through Strategic Global Transformation Program, ETBFSI&#10;&#10;https://stockanalysis.com/stocks/wtw/employees/"/>
    <hyperlink ref="T59" r:id="rId70" display="Largest Global Insurance &amp; Reinsurance Brokers in 2026&#10;&#10;https://www.thehindubusinessline.com/money-and-banking/us-based-lockton-to-make-formal-market-entry-in-indias-reinsurance-space-this-fiscal/article70820285.ece#google_vignette&#10;&#10;https://global.lockton.com/in/en/news-insights/lockton-india-strengthens-customer-confidence-in-ev-ownership-through-jsw-mg"/>
    <hyperlink ref="U59" r:id="rId71" display="https://global.lockton.com/in/en/who-we-are&#10;&#10;&#10;&#10;https://global.lockton.com/in/en/news-insights/lockton-india-appoints-girish-mantri-as-chief-financial-officer-to-drive"/>
    <hyperlink ref="T71" r:id="rId72" display="https://qna.org.qa/en/News-Area/News/2026-8/26/qatar-islamic-insurance-group-obtains-license-to-open-branch-in-india&#10;https://www.reinsurancene.ws/qatar-islamic-insurance-to-establish-its-reinsurance-branch-in-indias-gift-city/&#10;https://www.zawya.com/en/business/the-world-of-islamic-finance/qatar-islamic-insurance-obtains-license-to-operate-in-india-467748&#10;https://www.businessinsurance.com/qatar-islamic-insurance-group-expands-into-india/"/>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7"/>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B4" activeCellId="0" sqref="B4"/>
    </sheetView>
  </sheetViews>
  <sheetFormatPr defaultColWidth="8.8203125" defaultRowHeight="12" zeroHeight="false" outlineLevelRow="0" outlineLevelCol="0"/>
  <cols>
    <col collapsed="false" customWidth="true" hidden="false" outlineLevel="0" max="1" min="1" style="83" width="24.82"/>
    <col collapsed="false" customWidth="true" hidden="false" outlineLevel="0" max="2" min="2" style="84" width="45.82"/>
    <col collapsed="false" customWidth="true" hidden="false" outlineLevel="0" max="3" min="3" style="84" width="24.27"/>
    <col collapsed="false" customWidth="true" hidden="false" outlineLevel="0" max="4" min="4" style="85" width="27.18"/>
    <col collapsed="false" customWidth="true" hidden="false" outlineLevel="0" max="5" min="5" style="85" width="12.82"/>
    <col collapsed="false" customWidth="true" hidden="false" outlineLevel="0" max="6" min="6" style="86" width="18.82"/>
    <col collapsed="false" customWidth="true" hidden="false" outlineLevel="0" max="7" min="7" style="85" width="18.45"/>
    <col collapsed="false" customWidth="true" hidden="false" outlineLevel="0" max="8" min="8" style="84" width="21.82"/>
    <col collapsed="false" customWidth="true" hidden="false" outlineLevel="0" max="9" min="9" style="84" width="42"/>
    <col collapsed="false" customWidth="true" hidden="false" outlineLevel="0" max="10" min="10" style="87" width="77.82"/>
    <col collapsed="false" customWidth="true" hidden="false" outlineLevel="0" max="15" min="11" style="87" width="80.18"/>
    <col collapsed="false" customWidth="true" hidden="false" outlineLevel="0" max="16" min="16" style="84" width="18.45"/>
    <col collapsed="false" customWidth="true" hidden="false" outlineLevel="0" max="17" min="17" style="84" width="19.27"/>
    <col collapsed="false" customWidth="true" hidden="false" outlineLevel="0" max="18" min="18" style="84" width="35"/>
    <col collapsed="false" customWidth="true" hidden="false" outlineLevel="0" max="19" min="19" style="84" width="42.54"/>
    <col collapsed="false" customWidth="true" hidden="false" outlineLevel="0" max="20" min="20" style="84" width="29.18"/>
    <col collapsed="false" customWidth="false" hidden="false" outlineLevel="0" max="16384" min="21" style="84" width="8.82"/>
  </cols>
  <sheetData>
    <row r="1" customFormat="false" ht="12" hidden="false" customHeight="true" outlineLevel="0" collapsed="false">
      <c r="A1" s="213" t="s">
        <v>1619</v>
      </c>
    </row>
    <row r="2" customFormat="false" ht="12" hidden="false" customHeight="true" outlineLevel="0" collapsed="false">
      <c r="B2" s="89"/>
      <c r="C2" s="89"/>
      <c r="D2" s="89"/>
      <c r="E2" s="89"/>
      <c r="G2" s="214" t="s">
        <v>1620</v>
      </c>
      <c r="H2" s="214"/>
      <c r="I2" s="214"/>
      <c r="J2" s="86"/>
      <c r="K2" s="86"/>
      <c r="L2" s="86"/>
      <c r="M2" s="86"/>
      <c r="N2" s="86"/>
      <c r="O2" s="86"/>
      <c r="P2" s="89"/>
      <c r="Q2" s="89"/>
      <c r="R2" s="89"/>
    </row>
    <row r="3" s="83" customFormat="true" ht="27.75" hidden="false" customHeight="true" outlineLevel="0" collapsed="false">
      <c r="A3" s="96" t="s">
        <v>6</v>
      </c>
      <c r="B3" s="97" t="s">
        <v>702</v>
      </c>
      <c r="C3" s="97" t="s">
        <v>1621</v>
      </c>
      <c r="D3" s="97" t="s">
        <v>708</v>
      </c>
      <c r="E3" s="97" t="s">
        <v>710</v>
      </c>
      <c r="F3" s="97" t="s">
        <v>165</v>
      </c>
      <c r="G3" s="96" t="s">
        <v>166</v>
      </c>
      <c r="H3" s="96" t="s">
        <v>167</v>
      </c>
      <c r="I3" s="96" t="s">
        <v>168</v>
      </c>
      <c r="J3" s="97" t="s">
        <v>170</v>
      </c>
      <c r="K3" s="97" t="s">
        <v>331</v>
      </c>
      <c r="L3" s="97" t="s">
        <v>1622</v>
      </c>
      <c r="M3" s="97" t="s">
        <v>1623</v>
      </c>
      <c r="N3" s="97" t="s">
        <v>1624</v>
      </c>
      <c r="O3" s="97" t="s">
        <v>1625</v>
      </c>
      <c r="P3" s="96" t="s">
        <v>716</v>
      </c>
      <c r="Q3" s="96" t="s">
        <v>717</v>
      </c>
      <c r="R3" s="96" t="s">
        <v>718</v>
      </c>
    </row>
    <row r="4" customFormat="false" ht="216.75" hidden="false" customHeight="true" outlineLevel="0" collapsed="false">
      <c r="A4" s="215" t="n">
        <v>1</v>
      </c>
      <c r="B4" s="216" t="s">
        <v>1626</v>
      </c>
      <c r="C4" s="102" t="s">
        <v>1627</v>
      </c>
      <c r="D4" s="217" t="s">
        <v>1628</v>
      </c>
      <c r="E4" s="101" t="n">
        <v>1984</v>
      </c>
      <c r="F4" s="116" t="s">
        <v>1629</v>
      </c>
      <c r="G4" s="116" t="s">
        <v>175</v>
      </c>
      <c r="H4" s="116" t="s">
        <v>569</v>
      </c>
      <c r="I4" s="102" t="s">
        <v>1630</v>
      </c>
      <c r="J4" s="102" t="s">
        <v>1631</v>
      </c>
      <c r="K4" s="218" t="s">
        <v>1632</v>
      </c>
      <c r="L4" s="219" t="s">
        <v>1633</v>
      </c>
      <c r="M4" s="219" t="s">
        <v>1634</v>
      </c>
      <c r="N4" s="219" t="s">
        <v>17</v>
      </c>
      <c r="O4" s="219" t="s">
        <v>17</v>
      </c>
      <c r="P4" s="205" t="s">
        <v>1635</v>
      </c>
      <c r="Q4" s="220" t="s">
        <v>1636</v>
      </c>
      <c r="R4" s="205" t="s">
        <v>1637</v>
      </c>
    </row>
    <row r="5" customFormat="false" ht="161.25" hidden="false" customHeight="true" outlineLevel="0" collapsed="false">
      <c r="A5" s="215" t="n">
        <v>2</v>
      </c>
      <c r="B5" s="216" t="s">
        <v>1638</v>
      </c>
      <c r="C5" s="102" t="s">
        <v>1639</v>
      </c>
      <c r="D5" s="101" t="s">
        <v>1640</v>
      </c>
      <c r="E5" s="101" t="n">
        <v>1961</v>
      </c>
      <c r="F5" s="116" t="s">
        <v>1641</v>
      </c>
      <c r="G5" s="116" t="s">
        <v>175</v>
      </c>
      <c r="H5" s="116" t="s">
        <v>479</v>
      </c>
      <c r="I5" s="102" t="s">
        <v>1630</v>
      </c>
      <c r="J5" s="221" t="s">
        <v>1642</v>
      </c>
      <c r="K5" s="222" t="s">
        <v>1643</v>
      </c>
      <c r="L5" s="219" t="s">
        <v>1633</v>
      </c>
      <c r="M5" s="219" t="s">
        <v>17</v>
      </c>
      <c r="N5" s="219" t="s">
        <v>17</v>
      </c>
      <c r="O5" s="219" t="s">
        <v>17</v>
      </c>
      <c r="P5" s="205" t="s">
        <v>1644</v>
      </c>
      <c r="Q5" s="205" t="s">
        <v>1645</v>
      </c>
      <c r="R5" s="205" t="s">
        <v>739</v>
      </c>
    </row>
    <row r="6" customFormat="false" ht="265.5" hidden="false" customHeight="true" outlineLevel="0" collapsed="false">
      <c r="A6" s="215" t="n">
        <v>3</v>
      </c>
      <c r="B6" s="216" t="s">
        <v>1646</v>
      </c>
      <c r="C6" s="102" t="s">
        <v>1647</v>
      </c>
      <c r="D6" s="101" t="s">
        <v>1648</v>
      </c>
      <c r="E6" s="101" t="n">
        <v>1937</v>
      </c>
      <c r="F6" s="116" t="s">
        <v>495</v>
      </c>
      <c r="G6" s="116" t="s">
        <v>175</v>
      </c>
      <c r="H6" s="116" t="s">
        <v>1649</v>
      </c>
      <c r="I6" s="116" t="s">
        <v>446</v>
      </c>
      <c r="J6" s="221" t="s">
        <v>1650</v>
      </c>
      <c r="K6" s="222" t="s">
        <v>1651</v>
      </c>
      <c r="L6" s="219" t="s">
        <v>1633</v>
      </c>
      <c r="M6" s="219" t="s">
        <v>17</v>
      </c>
      <c r="N6" s="219" t="s">
        <v>17</v>
      </c>
      <c r="O6" s="219" t="s">
        <v>17</v>
      </c>
      <c r="P6" s="205" t="s">
        <v>1652</v>
      </c>
      <c r="Q6" s="205" t="s">
        <v>1653</v>
      </c>
      <c r="R6" s="205" t="s">
        <v>739</v>
      </c>
    </row>
    <row r="7" customFormat="false" ht="141" hidden="false" customHeight="true" outlineLevel="0" collapsed="false">
      <c r="A7" s="215" t="n">
        <v>4</v>
      </c>
      <c r="B7" s="216" t="s">
        <v>1654</v>
      </c>
      <c r="C7" s="102" t="s">
        <v>1655</v>
      </c>
      <c r="D7" s="101" t="s">
        <v>1656</v>
      </c>
      <c r="E7" s="101" t="n">
        <v>1922</v>
      </c>
      <c r="F7" s="116" t="s">
        <v>501</v>
      </c>
      <c r="G7" s="116" t="s">
        <v>175</v>
      </c>
      <c r="H7" s="116" t="s">
        <v>502</v>
      </c>
      <c r="I7" s="102" t="s">
        <v>1657</v>
      </c>
      <c r="J7" s="221" t="s">
        <v>1658</v>
      </c>
      <c r="K7" s="222" t="s">
        <v>1659</v>
      </c>
      <c r="L7" s="219" t="s">
        <v>1633</v>
      </c>
      <c r="M7" s="219" t="s">
        <v>17</v>
      </c>
      <c r="N7" s="219" t="s">
        <v>17</v>
      </c>
      <c r="O7" s="219" t="s">
        <v>17</v>
      </c>
      <c r="P7" s="205" t="s">
        <v>739</v>
      </c>
      <c r="Q7" s="223" t="s">
        <v>1660</v>
      </c>
      <c r="R7" s="223" t="s">
        <v>1661</v>
      </c>
    </row>
    <row r="8" customFormat="false" ht="150.75" hidden="false" customHeight="true" outlineLevel="0" collapsed="false">
      <c r="A8" s="215" t="n">
        <v>5</v>
      </c>
      <c r="B8" s="216" t="s">
        <v>1662</v>
      </c>
      <c r="C8" s="102" t="s">
        <v>1663</v>
      </c>
      <c r="D8" s="101" t="s">
        <v>1664</v>
      </c>
      <c r="E8" s="101" t="n">
        <v>1936</v>
      </c>
      <c r="F8" s="116" t="s">
        <v>1665</v>
      </c>
      <c r="G8" s="116" t="s">
        <v>175</v>
      </c>
      <c r="H8" s="116" t="s">
        <v>461</v>
      </c>
      <c r="I8" s="102" t="s">
        <v>1657</v>
      </c>
      <c r="J8" s="221" t="s">
        <v>1666</v>
      </c>
      <c r="K8" s="222" t="s">
        <v>1667</v>
      </c>
      <c r="L8" s="219" t="s">
        <v>1633</v>
      </c>
      <c r="M8" s="219" t="s">
        <v>17</v>
      </c>
      <c r="N8" s="219" t="s">
        <v>17</v>
      </c>
      <c r="O8" s="219" t="s">
        <v>17</v>
      </c>
      <c r="P8" s="205" t="s">
        <v>739</v>
      </c>
      <c r="Q8" s="205" t="s">
        <v>1668</v>
      </c>
      <c r="R8" s="205" t="s">
        <v>739</v>
      </c>
    </row>
    <row r="9" customFormat="false" ht="409.5" hidden="false" customHeight="true" outlineLevel="0" collapsed="false">
      <c r="A9" s="215" t="n">
        <v>6</v>
      </c>
      <c r="B9" s="216" t="s">
        <v>1669</v>
      </c>
      <c r="C9" s="102" t="s">
        <v>1670</v>
      </c>
      <c r="D9" s="101" t="s">
        <v>1671</v>
      </c>
      <c r="E9" s="101" t="n">
        <v>1879</v>
      </c>
      <c r="F9" s="116" t="s">
        <v>1672</v>
      </c>
      <c r="G9" s="116" t="s">
        <v>175</v>
      </c>
      <c r="H9" s="116" t="s">
        <v>1673</v>
      </c>
      <c r="I9" s="102" t="s">
        <v>1657</v>
      </c>
      <c r="J9" s="221" t="s">
        <v>1674</v>
      </c>
      <c r="K9" s="222" t="s">
        <v>1675</v>
      </c>
      <c r="L9" s="215" t="s">
        <v>1676</v>
      </c>
      <c r="M9" s="224" t="s">
        <v>1677</v>
      </c>
      <c r="N9" s="215" t="s">
        <v>1633</v>
      </c>
      <c r="O9" s="102" t="s">
        <v>1678</v>
      </c>
      <c r="P9" s="205" t="s">
        <v>739</v>
      </c>
      <c r="Q9" s="205" t="s">
        <v>1679</v>
      </c>
      <c r="R9" s="205" t="s">
        <v>739</v>
      </c>
    </row>
    <row r="10" customFormat="false" ht="126" hidden="false" customHeight="true" outlineLevel="0" collapsed="false">
      <c r="A10" s="215" t="n">
        <v>7</v>
      </c>
      <c r="B10" s="216" t="s">
        <v>1680</v>
      </c>
      <c r="C10" s="102" t="s">
        <v>1681</v>
      </c>
      <c r="D10" s="101" t="s">
        <v>1682</v>
      </c>
      <c r="E10" s="101" t="n">
        <v>1853</v>
      </c>
      <c r="F10" s="116" t="s">
        <v>504</v>
      </c>
      <c r="G10" s="116" t="s">
        <v>175</v>
      </c>
      <c r="H10" s="116" t="s">
        <v>1683</v>
      </c>
      <c r="I10" s="102" t="s">
        <v>1684</v>
      </c>
      <c r="J10" s="221" t="s">
        <v>1685</v>
      </c>
      <c r="K10" s="222" t="s">
        <v>1686</v>
      </c>
      <c r="L10" s="215" t="s">
        <v>1633</v>
      </c>
      <c r="M10" s="215" t="s">
        <v>17</v>
      </c>
      <c r="N10" s="215" t="s">
        <v>1633</v>
      </c>
      <c r="O10" s="215" t="s">
        <v>17</v>
      </c>
      <c r="P10" s="205" t="s">
        <v>739</v>
      </c>
      <c r="Q10" s="205" t="s">
        <v>1687</v>
      </c>
      <c r="R10" s="205" t="s">
        <v>1688</v>
      </c>
    </row>
    <row r="11" customFormat="false" ht="294" hidden="false" customHeight="true" outlineLevel="0" collapsed="false">
      <c r="A11" s="215" t="n">
        <v>8</v>
      </c>
      <c r="B11" s="225" t="s">
        <v>1689</v>
      </c>
      <c r="C11" s="102" t="s">
        <v>1690</v>
      </c>
      <c r="D11" s="101" t="s">
        <v>1691</v>
      </c>
      <c r="E11" s="101" t="n">
        <v>1919</v>
      </c>
      <c r="F11" s="116" t="s">
        <v>1692</v>
      </c>
      <c r="G11" s="116" t="s">
        <v>175</v>
      </c>
      <c r="H11" s="116" t="s">
        <v>457</v>
      </c>
      <c r="I11" s="102" t="s">
        <v>1693</v>
      </c>
      <c r="J11" s="102" t="s">
        <v>1694</v>
      </c>
      <c r="K11" s="216" t="s">
        <v>1695</v>
      </c>
      <c r="L11" s="215" t="s">
        <v>1633</v>
      </c>
      <c r="M11" s="219" t="s">
        <v>17</v>
      </c>
      <c r="N11" s="215" t="s">
        <v>1633</v>
      </c>
      <c r="O11" s="221" t="s">
        <v>17</v>
      </c>
      <c r="P11" s="205" t="s">
        <v>739</v>
      </c>
      <c r="Q11" s="205" t="s">
        <v>1696</v>
      </c>
      <c r="R11" s="205" t="s">
        <v>1697</v>
      </c>
      <c r="T11" s="226" t="s">
        <v>1698</v>
      </c>
    </row>
    <row r="12" customFormat="false" ht="195.75" hidden="false" customHeight="true" outlineLevel="0" collapsed="false">
      <c r="A12" s="215" t="n">
        <v>9</v>
      </c>
      <c r="B12" s="216" t="s">
        <v>1699</v>
      </c>
      <c r="C12" s="102" t="s">
        <v>1700</v>
      </c>
      <c r="D12" s="101" t="s">
        <v>1691</v>
      </c>
      <c r="E12" s="101" t="n">
        <v>1930</v>
      </c>
      <c r="F12" s="116" t="s">
        <v>1701</v>
      </c>
      <c r="G12" s="116" t="s">
        <v>175</v>
      </c>
      <c r="H12" s="116" t="s">
        <v>1702</v>
      </c>
      <c r="I12" s="102" t="s">
        <v>1703</v>
      </c>
      <c r="J12" s="221" t="s">
        <v>1704</v>
      </c>
      <c r="K12" s="227" t="s">
        <v>1705</v>
      </c>
      <c r="L12" s="215" t="s">
        <v>1676</v>
      </c>
      <c r="M12" s="219" t="s">
        <v>1706</v>
      </c>
      <c r="N12" s="215" t="s">
        <v>17</v>
      </c>
      <c r="O12" s="205" t="s">
        <v>1707</v>
      </c>
      <c r="P12" s="205" t="s">
        <v>739</v>
      </c>
      <c r="Q12" s="205" t="s">
        <v>1708</v>
      </c>
      <c r="R12" s="205" t="s">
        <v>1709</v>
      </c>
    </row>
    <row r="13" customFormat="false" ht="139.5" hidden="false" customHeight="true" outlineLevel="0" collapsed="false">
      <c r="A13" s="215" t="n">
        <v>10</v>
      </c>
      <c r="B13" s="216" t="s">
        <v>551</v>
      </c>
      <c r="C13" s="102" t="s">
        <v>1710</v>
      </c>
      <c r="D13" s="101" t="s">
        <v>1711</v>
      </c>
      <c r="E13" s="101" t="n">
        <v>1845</v>
      </c>
      <c r="F13" s="116" t="s">
        <v>1712</v>
      </c>
      <c r="G13" s="116" t="s">
        <v>175</v>
      </c>
      <c r="H13" s="116" t="s">
        <v>552</v>
      </c>
      <c r="I13" s="102" t="s">
        <v>1713</v>
      </c>
      <c r="J13" s="221" t="s">
        <v>1714</v>
      </c>
      <c r="K13" s="221" t="s">
        <v>1715</v>
      </c>
      <c r="L13" s="215" t="s">
        <v>1633</v>
      </c>
      <c r="M13" s="215" t="s">
        <v>17</v>
      </c>
      <c r="N13" s="215" t="s">
        <v>1633</v>
      </c>
      <c r="O13" s="215" t="s">
        <v>17</v>
      </c>
      <c r="P13" s="205" t="s">
        <v>739</v>
      </c>
      <c r="Q13" s="205" t="s">
        <v>1716</v>
      </c>
      <c r="R13" s="205" t="s">
        <v>1717</v>
      </c>
    </row>
    <row r="14" customFormat="false" ht="307.5" hidden="false" customHeight="true" outlineLevel="0" collapsed="false">
      <c r="A14" s="215" t="n">
        <v>11</v>
      </c>
      <c r="B14" s="216" t="s">
        <v>1718</v>
      </c>
      <c r="C14" s="102" t="s">
        <v>1719</v>
      </c>
      <c r="D14" s="101" t="s">
        <v>1720</v>
      </c>
      <c r="E14" s="101" t="n">
        <v>1929</v>
      </c>
      <c r="F14" s="116" t="s">
        <v>1721</v>
      </c>
      <c r="G14" s="116" t="s">
        <v>175</v>
      </c>
      <c r="H14" s="116" t="s">
        <v>461</v>
      </c>
      <c r="I14" s="102" t="s">
        <v>1657</v>
      </c>
      <c r="J14" s="221" t="s">
        <v>1722</v>
      </c>
      <c r="K14" s="221" t="s">
        <v>1723</v>
      </c>
      <c r="L14" s="215" t="s">
        <v>1633</v>
      </c>
      <c r="M14" s="215" t="s">
        <v>17</v>
      </c>
      <c r="N14" s="215" t="s">
        <v>1633</v>
      </c>
      <c r="O14" s="215" t="s">
        <v>17</v>
      </c>
      <c r="P14" s="205" t="s">
        <v>1724</v>
      </c>
      <c r="Q14" s="205" t="s">
        <v>1725</v>
      </c>
      <c r="R14" s="205" t="s">
        <v>739</v>
      </c>
    </row>
    <row r="15" customFormat="false" ht="253.5" hidden="false" customHeight="true" outlineLevel="0" collapsed="false">
      <c r="A15" s="215" t="n">
        <v>12</v>
      </c>
      <c r="B15" s="216" t="s">
        <v>1726</v>
      </c>
      <c r="C15" s="102" t="s">
        <v>1727</v>
      </c>
      <c r="D15" s="101" t="s">
        <v>1728</v>
      </c>
      <c r="E15" s="101" t="n">
        <v>1955</v>
      </c>
      <c r="F15" s="116" t="s">
        <v>1729</v>
      </c>
      <c r="G15" s="116" t="s">
        <v>175</v>
      </c>
      <c r="H15" s="116" t="s">
        <v>445</v>
      </c>
      <c r="I15" s="116" t="s">
        <v>446</v>
      </c>
      <c r="J15" s="221" t="s">
        <v>1730</v>
      </c>
      <c r="K15" s="221" t="s">
        <v>1731</v>
      </c>
      <c r="L15" s="215" t="s">
        <v>1633</v>
      </c>
      <c r="M15" s="215" t="s">
        <v>1633</v>
      </c>
      <c r="N15" s="228" t="s">
        <v>1732</v>
      </c>
      <c r="O15" s="101" t="s">
        <v>1633</v>
      </c>
      <c r="P15" s="205" t="s">
        <v>739</v>
      </c>
      <c r="Q15" s="205" t="s">
        <v>1733</v>
      </c>
      <c r="R15" s="205" t="s">
        <v>739</v>
      </c>
    </row>
    <row r="16" customFormat="false" ht="265.5" hidden="false" customHeight="true" outlineLevel="0" collapsed="false">
      <c r="A16" s="215" t="n">
        <v>13</v>
      </c>
      <c r="B16" s="216" t="s">
        <v>1734</v>
      </c>
      <c r="C16" s="102" t="s">
        <v>1735</v>
      </c>
      <c r="D16" s="101" t="s">
        <v>1736</v>
      </c>
      <c r="E16" s="101" t="n">
        <v>1946</v>
      </c>
      <c r="F16" s="116" t="s">
        <v>1737</v>
      </c>
      <c r="G16" s="116" t="s">
        <v>175</v>
      </c>
      <c r="H16" s="116" t="s">
        <v>1738</v>
      </c>
      <c r="I16" s="116" t="s">
        <v>446</v>
      </c>
      <c r="J16" s="229" t="s">
        <v>1739</v>
      </c>
      <c r="K16" s="230" t="s">
        <v>1740</v>
      </c>
      <c r="L16" s="219" t="s">
        <v>1633</v>
      </c>
      <c r="M16" s="215" t="s">
        <v>17</v>
      </c>
      <c r="N16" s="215" t="s">
        <v>1633</v>
      </c>
      <c r="O16" s="215" t="s">
        <v>17</v>
      </c>
      <c r="P16" s="205" t="s">
        <v>1741</v>
      </c>
      <c r="Q16" s="205" t="s">
        <v>1742</v>
      </c>
      <c r="R16" s="205" t="s">
        <v>739</v>
      </c>
    </row>
    <row r="17" customFormat="false" ht="110.25" hidden="false" customHeight="true" outlineLevel="0" collapsed="false">
      <c r="A17" s="215" t="n">
        <v>14</v>
      </c>
      <c r="B17" s="216" t="s">
        <v>451</v>
      </c>
      <c r="C17" s="102" t="s">
        <v>1743</v>
      </c>
      <c r="D17" s="101" t="n">
        <v>10500</v>
      </c>
      <c r="E17" s="101" t="n">
        <v>1927</v>
      </c>
      <c r="F17" s="116" t="s">
        <v>453</v>
      </c>
      <c r="G17" s="116" t="s">
        <v>175</v>
      </c>
      <c r="H17" s="116" t="s">
        <v>454</v>
      </c>
      <c r="I17" s="102" t="s">
        <v>1363</v>
      </c>
      <c r="J17" s="221" t="s">
        <v>1744</v>
      </c>
      <c r="K17" s="230" t="s">
        <v>1745</v>
      </c>
      <c r="L17" s="215" t="s">
        <v>1633</v>
      </c>
      <c r="M17" s="215" t="s">
        <v>17</v>
      </c>
      <c r="N17" s="215" t="s">
        <v>1633</v>
      </c>
      <c r="O17" s="215" t="s">
        <v>17</v>
      </c>
      <c r="P17" s="205" t="s">
        <v>739</v>
      </c>
      <c r="Q17" s="205" t="s">
        <v>1746</v>
      </c>
      <c r="R17" s="205" t="s">
        <v>1747</v>
      </c>
    </row>
    <row r="18" customFormat="false" ht="181.5" hidden="false" customHeight="true" outlineLevel="0" collapsed="false">
      <c r="A18" s="215" t="n">
        <v>15</v>
      </c>
      <c r="B18" s="216" t="s">
        <v>1748</v>
      </c>
      <c r="C18" s="102" t="s">
        <v>1749</v>
      </c>
      <c r="D18" s="101" t="s">
        <v>1750</v>
      </c>
      <c r="E18" s="101" t="n">
        <v>1905</v>
      </c>
      <c r="F18" s="116" t="s">
        <v>1751</v>
      </c>
      <c r="G18" s="116" t="s">
        <v>190</v>
      </c>
      <c r="H18" s="116" t="s">
        <v>546</v>
      </c>
      <c r="I18" s="102" t="s">
        <v>1752</v>
      </c>
      <c r="J18" s="221" t="s">
        <v>1753</v>
      </c>
      <c r="K18" s="230" t="s">
        <v>1754</v>
      </c>
      <c r="L18" s="215" t="s">
        <v>1633</v>
      </c>
      <c r="M18" s="215" t="s">
        <v>17</v>
      </c>
      <c r="N18" s="215" t="s">
        <v>1633</v>
      </c>
      <c r="O18" s="215" t="s">
        <v>17</v>
      </c>
      <c r="P18" s="205" t="s">
        <v>739</v>
      </c>
      <c r="Q18" s="205" t="s">
        <v>1755</v>
      </c>
      <c r="R18" s="205" t="s">
        <v>1756</v>
      </c>
    </row>
    <row r="19" customFormat="false" ht="265.5" hidden="false" customHeight="true" outlineLevel="0" collapsed="false">
      <c r="A19" s="215" t="n">
        <v>16</v>
      </c>
      <c r="B19" s="216" t="s">
        <v>1757</v>
      </c>
      <c r="C19" s="102" t="s">
        <v>1758</v>
      </c>
      <c r="D19" s="101" t="s">
        <v>1750</v>
      </c>
      <c r="E19" s="101" t="n">
        <v>1923</v>
      </c>
      <c r="F19" s="116" t="s">
        <v>1759</v>
      </c>
      <c r="G19" s="116" t="s">
        <v>175</v>
      </c>
      <c r="H19" s="116" t="s">
        <v>1649</v>
      </c>
      <c r="I19" s="102" t="s">
        <v>446</v>
      </c>
      <c r="J19" s="221" t="s">
        <v>1760</v>
      </c>
      <c r="K19" s="230" t="s">
        <v>1761</v>
      </c>
      <c r="L19" s="215" t="s">
        <v>1633</v>
      </c>
      <c r="M19" s="215" t="s">
        <v>17</v>
      </c>
      <c r="N19" s="215" t="s">
        <v>1633</v>
      </c>
      <c r="O19" s="215" t="s">
        <v>17</v>
      </c>
      <c r="P19" s="205" t="s">
        <v>739</v>
      </c>
      <c r="Q19" s="205" t="s">
        <v>1762</v>
      </c>
      <c r="R19" s="205" t="s">
        <v>739</v>
      </c>
    </row>
    <row r="20" customFormat="false" ht="223.5" hidden="false" customHeight="true" outlineLevel="0" collapsed="false">
      <c r="A20" s="215" t="n">
        <v>17</v>
      </c>
      <c r="B20" s="216" t="s">
        <v>1763</v>
      </c>
      <c r="C20" s="102" t="s">
        <v>1764</v>
      </c>
      <c r="D20" s="101" t="s">
        <v>1750</v>
      </c>
      <c r="E20" s="101" t="n">
        <v>1889</v>
      </c>
      <c r="F20" s="116" t="s">
        <v>1765</v>
      </c>
      <c r="G20" s="116" t="s">
        <v>175</v>
      </c>
      <c r="H20" s="116" t="s">
        <v>1766</v>
      </c>
      <c r="I20" s="102" t="s">
        <v>1363</v>
      </c>
      <c r="J20" s="221" t="s">
        <v>1767</v>
      </c>
      <c r="K20" s="230" t="s">
        <v>1768</v>
      </c>
      <c r="L20" s="215" t="s">
        <v>1676</v>
      </c>
      <c r="M20" s="219" t="s">
        <v>1769</v>
      </c>
      <c r="N20" s="215" t="s">
        <v>17</v>
      </c>
      <c r="O20" s="215" t="s">
        <v>17</v>
      </c>
      <c r="P20" s="205" t="s">
        <v>739</v>
      </c>
      <c r="Q20" s="205" t="s">
        <v>1770</v>
      </c>
      <c r="R20" s="205" t="s">
        <v>1771</v>
      </c>
    </row>
    <row r="21" customFormat="false" ht="150.75" hidden="false" customHeight="true" outlineLevel="0" collapsed="false">
      <c r="A21" s="215" t="n">
        <v>18</v>
      </c>
      <c r="B21" s="216" t="s">
        <v>1772</v>
      </c>
      <c r="C21" s="102" t="s">
        <v>1773</v>
      </c>
      <c r="D21" s="101" t="s">
        <v>1774</v>
      </c>
      <c r="E21" s="101" t="n">
        <v>1967</v>
      </c>
      <c r="F21" s="116" t="s">
        <v>1775</v>
      </c>
      <c r="G21" s="116" t="s">
        <v>175</v>
      </c>
      <c r="H21" s="116" t="s">
        <v>1776</v>
      </c>
      <c r="I21" s="102" t="s">
        <v>1703</v>
      </c>
      <c r="J21" s="221" t="s">
        <v>1777</v>
      </c>
      <c r="K21" s="230" t="s">
        <v>1778</v>
      </c>
      <c r="L21" s="215" t="s">
        <v>1676</v>
      </c>
      <c r="M21" s="219" t="s">
        <v>1779</v>
      </c>
      <c r="N21" s="215" t="s">
        <v>17</v>
      </c>
      <c r="O21" s="215" t="s">
        <v>17</v>
      </c>
      <c r="P21" s="205" t="s">
        <v>739</v>
      </c>
      <c r="Q21" s="205" t="s">
        <v>1780</v>
      </c>
      <c r="R21" s="205" t="s">
        <v>739</v>
      </c>
    </row>
    <row r="22" customFormat="false" ht="117.75" hidden="false" customHeight="true" outlineLevel="0" collapsed="false">
      <c r="A22" s="215" t="n">
        <v>19</v>
      </c>
      <c r="B22" s="216" t="s">
        <v>1781</v>
      </c>
      <c r="C22" s="102" t="s">
        <v>1782</v>
      </c>
      <c r="D22" s="101" t="s">
        <v>1783</v>
      </c>
      <c r="E22" s="101" t="n">
        <v>1902</v>
      </c>
      <c r="F22" s="116" t="s">
        <v>1784</v>
      </c>
      <c r="G22" s="116" t="s">
        <v>175</v>
      </c>
      <c r="H22" s="116" t="s">
        <v>1785</v>
      </c>
      <c r="I22" s="102" t="s">
        <v>1786</v>
      </c>
      <c r="J22" s="221" t="s">
        <v>1787</v>
      </c>
      <c r="K22" s="230" t="s">
        <v>1788</v>
      </c>
      <c r="L22" s="215" t="s">
        <v>1633</v>
      </c>
      <c r="M22" s="215" t="s">
        <v>17</v>
      </c>
      <c r="N22" s="215" t="s">
        <v>1633</v>
      </c>
      <c r="O22" s="215" t="s">
        <v>17</v>
      </c>
      <c r="P22" s="205" t="s">
        <v>739</v>
      </c>
      <c r="Q22" s="205" t="s">
        <v>1789</v>
      </c>
      <c r="R22" s="205" t="s">
        <v>739</v>
      </c>
    </row>
    <row r="23" customFormat="false" ht="307.5" hidden="false" customHeight="true" outlineLevel="0" collapsed="false">
      <c r="A23" s="215" t="n">
        <v>20</v>
      </c>
      <c r="B23" s="216" t="s">
        <v>1790</v>
      </c>
      <c r="C23" s="102" t="s">
        <v>1690</v>
      </c>
      <c r="D23" s="101" t="s">
        <v>1791</v>
      </c>
      <c r="E23" s="101" t="n">
        <v>1859</v>
      </c>
      <c r="F23" s="116" t="s">
        <v>1792</v>
      </c>
      <c r="G23" s="116" t="s">
        <v>190</v>
      </c>
      <c r="H23" s="116" t="s">
        <v>1793</v>
      </c>
      <c r="I23" s="102" t="s">
        <v>1794</v>
      </c>
      <c r="J23" s="221" t="s">
        <v>1795</v>
      </c>
      <c r="K23" s="230" t="s">
        <v>1796</v>
      </c>
      <c r="L23" s="215" t="s">
        <v>1676</v>
      </c>
      <c r="M23" s="219" t="s">
        <v>1797</v>
      </c>
      <c r="N23" s="231" t="s">
        <v>1633</v>
      </c>
      <c r="O23" s="231" t="s">
        <v>17</v>
      </c>
      <c r="P23" s="205" t="s">
        <v>739</v>
      </c>
      <c r="Q23" s="205" t="s">
        <v>1798</v>
      </c>
      <c r="R23" s="205" t="s">
        <v>1799</v>
      </c>
    </row>
    <row r="24" customFormat="false" ht="195.75" hidden="false" customHeight="true" outlineLevel="0" collapsed="false">
      <c r="A24" s="215" t="n">
        <v>21</v>
      </c>
      <c r="B24" s="216" t="s">
        <v>553</v>
      </c>
      <c r="C24" s="102" t="s">
        <v>1800</v>
      </c>
      <c r="D24" s="101" t="s">
        <v>1801</v>
      </c>
      <c r="E24" s="101" t="n">
        <v>1857</v>
      </c>
      <c r="F24" s="116" t="s">
        <v>1802</v>
      </c>
      <c r="G24" s="116" t="s">
        <v>175</v>
      </c>
      <c r="H24" s="102" t="s">
        <v>1803</v>
      </c>
      <c r="I24" s="102" t="s">
        <v>1693</v>
      </c>
      <c r="J24" s="221" t="s">
        <v>1804</v>
      </c>
      <c r="K24" s="230" t="s">
        <v>1805</v>
      </c>
      <c r="L24" s="215" t="s">
        <v>1633</v>
      </c>
      <c r="M24" s="215" t="s">
        <v>17</v>
      </c>
      <c r="N24" s="231" t="s">
        <v>1633</v>
      </c>
      <c r="O24" s="231" t="s">
        <v>17</v>
      </c>
      <c r="P24" s="205" t="s">
        <v>739</v>
      </c>
      <c r="Q24" s="205" t="s">
        <v>1806</v>
      </c>
      <c r="R24" s="205" t="s">
        <v>739</v>
      </c>
    </row>
    <row r="25" customFormat="false" ht="307.5" hidden="false" customHeight="true" outlineLevel="0" collapsed="false">
      <c r="A25" s="215" t="n">
        <v>22</v>
      </c>
      <c r="B25" s="216" t="s">
        <v>1807</v>
      </c>
      <c r="C25" s="102" t="s">
        <v>1808</v>
      </c>
      <c r="D25" s="101" t="s">
        <v>1809</v>
      </c>
      <c r="E25" s="101" t="n">
        <v>1909</v>
      </c>
      <c r="F25" s="116" t="s">
        <v>1810</v>
      </c>
      <c r="G25" s="116" t="s">
        <v>175</v>
      </c>
      <c r="H25" s="102" t="s">
        <v>1811</v>
      </c>
      <c r="I25" s="102" t="s">
        <v>1693</v>
      </c>
      <c r="J25" s="221" t="s">
        <v>1812</v>
      </c>
      <c r="K25" s="230" t="s">
        <v>1813</v>
      </c>
      <c r="L25" s="231" t="s">
        <v>1633</v>
      </c>
      <c r="M25" s="215" t="s">
        <v>17</v>
      </c>
      <c r="N25" s="215" t="s">
        <v>1633</v>
      </c>
      <c r="O25" s="215" t="s">
        <v>17</v>
      </c>
      <c r="P25" s="205" t="s">
        <v>739</v>
      </c>
      <c r="Q25" s="205" t="s">
        <v>1814</v>
      </c>
      <c r="R25" s="205" t="s">
        <v>1815</v>
      </c>
    </row>
    <row r="26" customFormat="false" ht="154.5" hidden="false" customHeight="true" outlineLevel="0" collapsed="false">
      <c r="A26" s="215" t="n">
        <v>23</v>
      </c>
      <c r="B26" s="216" t="s">
        <v>1816</v>
      </c>
      <c r="C26" s="102" t="s">
        <v>1817</v>
      </c>
      <c r="D26" s="101" t="s">
        <v>1818</v>
      </c>
      <c r="E26" s="101" t="n">
        <v>1950</v>
      </c>
      <c r="F26" s="116" t="s">
        <v>1819</v>
      </c>
      <c r="G26" s="116" t="s">
        <v>175</v>
      </c>
      <c r="H26" s="102" t="s">
        <v>1820</v>
      </c>
      <c r="I26" s="116" t="s">
        <v>446</v>
      </c>
      <c r="J26" s="221" t="s">
        <v>1821</v>
      </c>
      <c r="K26" s="230" t="s">
        <v>1822</v>
      </c>
      <c r="L26" s="231" t="s">
        <v>1633</v>
      </c>
      <c r="M26" s="215" t="s">
        <v>17</v>
      </c>
      <c r="N26" s="215" t="s">
        <v>1633</v>
      </c>
      <c r="O26" s="215" t="s">
        <v>17</v>
      </c>
      <c r="P26" s="205" t="s">
        <v>739</v>
      </c>
      <c r="Q26" s="205" t="s">
        <v>1823</v>
      </c>
      <c r="R26" s="205" t="s">
        <v>1824</v>
      </c>
    </row>
    <row r="27" customFormat="false" ht="154.5" hidden="false" customHeight="true" outlineLevel="0" collapsed="false">
      <c r="A27" s="215" t="n">
        <v>24</v>
      </c>
      <c r="B27" s="216" t="s">
        <v>1825</v>
      </c>
      <c r="C27" s="102" t="s">
        <v>1826</v>
      </c>
      <c r="D27" s="101" t="s">
        <v>1827</v>
      </c>
      <c r="E27" s="101" t="n">
        <v>1961</v>
      </c>
      <c r="F27" s="116" t="s">
        <v>1828</v>
      </c>
      <c r="G27" s="116" t="s">
        <v>175</v>
      </c>
      <c r="H27" s="102" t="s">
        <v>1829</v>
      </c>
      <c r="I27" s="116" t="s">
        <v>446</v>
      </c>
      <c r="J27" s="221" t="s">
        <v>1830</v>
      </c>
      <c r="K27" s="230" t="s">
        <v>1831</v>
      </c>
      <c r="L27" s="231" t="s">
        <v>1633</v>
      </c>
      <c r="M27" s="215" t="s">
        <v>17</v>
      </c>
      <c r="N27" s="215" t="s">
        <v>1633</v>
      </c>
      <c r="O27" s="215" t="s">
        <v>17</v>
      </c>
      <c r="P27" s="205" t="s">
        <v>1832</v>
      </c>
      <c r="Q27" s="205" t="s">
        <v>1833</v>
      </c>
      <c r="R27" s="205" t="s">
        <v>739</v>
      </c>
      <c r="S27" s="232" t="s">
        <v>1834</v>
      </c>
    </row>
    <row r="28" customFormat="false" ht="127.5" hidden="false" customHeight="true" outlineLevel="0" collapsed="false">
      <c r="A28" s="215" t="n">
        <v>25</v>
      </c>
      <c r="B28" s="216" t="s">
        <v>1835</v>
      </c>
      <c r="C28" s="102" t="s">
        <v>1836</v>
      </c>
      <c r="D28" s="101" t="s">
        <v>1837</v>
      </c>
      <c r="E28" s="101" t="n">
        <v>1935</v>
      </c>
      <c r="F28" s="116" t="s">
        <v>1838</v>
      </c>
      <c r="G28" s="116" t="s">
        <v>175</v>
      </c>
      <c r="H28" s="102" t="s">
        <v>1649</v>
      </c>
      <c r="I28" s="102" t="s">
        <v>1839</v>
      </c>
      <c r="J28" s="221" t="s">
        <v>1840</v>
      </c>
      <c r="K28" s="230" t="s">
        <v>1841</v>
      </c>
      <c r="L28" s="231" t="s">
        <v>1633</v>
      </c>
      <c r="M28" s="215" t="s">
        <v>17</v>
      </c>
      <c r="N28" s="215" t="s">
        <v>1633</v>
      </c>
      <c r="O28" s="215" t="s">
        <v>17</v>
      </c>
      <c r="P28" s="205" t="s">
        <v>739</v>
      </c>
      <c r="Q28" s="205" t="s">
        <v>1842</v>
      </c>
      <c r="R28" s="205" t="s">
        <v>739</v>
      </c>
    </row>
    <row r="29" customFormat="false" ht="61.5" hidden="false" customHeight="true" outlineLevel="0" collapsed="false">
      <c r="A29" s="215" t="n">
        <v>26</v>
      </c>
      <c r="B29" s="216" t="s">
        <v>555</v>
      </c>
      <c r="C29" s="102" t="s">
        <v>1843</v>
      </c>
      <c r="D29" s="101" t="s">
        <v>830</v>
      </c>
      <c r="E29" s="101" t="n">
        <v>1868</v>
      </c>
      <c r="F29" s="116" t="s">
        <v>1844</v>
      </c>
      <c r="G29" s="116" t="s">
        <v>175</v>
      </c>
      <c r="H29" s="102" t="s">
        <v>1845</v>
      </c>
      <c r="I29" s="102" t="s">
        <v>1693</v>
      </c>
      <c r="J29" s="221" t="s">
        <v>1846</v>
      </c>
      <c r="K29" s="230" t="s">
        <v>1847</v>
      </c>
      <c r="L29" s="231" t="s">
        <v>1633</v>
      </c>
      <c r="M29" s="215" t="s">
        <v>17</v>
      </c>
      <c r="N29" s="215" t="s">
        <v>1633</v>
      </c>
      <c r="O29" s="215" t="s">
        <v>17</v>
      </c>
      <c r="P29" s="205" t="s">
        <v>739</v>
      </c>
      <c r="Q29" s="205" t="s">
        <v>1848</v>
      </c>
      <c r="R29" s="205" t="s">
        <v>1849</v>
      </c>
    </row>
    <row r="30" s="84" customFormat="true" ht="103.5" hidden="false" customHeight="true" outlineLevel="0" collapsed="false"/>
    <row r="31" s="84" customFormat="true" ht="31.5" hidden="false" customHeight="true" outlineLevel="0" collapsed="false"/>
    <row r="32" s="84" customFormat="true" ht="31.5" hidden="false" customHeight="true" outlineLevel="0" collapsed="false"/>
    <row r="33" s="84" customFormat="true" ht="31.5" hidden="false" customHeight="true" outlineLevel="0" collapsed="false"/>
    <row r="34" s="84" customFormat="true" ht="67.5" hidden="false" customHeight="true" outlineLevel="0" collapsed="false"/>
    <row r="35" s="84" customFormat="true" ht="67.5" hidden="false" customHeight="true" outlineLevel="0" collapsed="false"/>
    <row r="36" customFormat="false" ht="67.5" hidden="false" customHeight="true" outlineLevel="0" collapsed="false">
      <c r="A36" s="233"/>
      <c r="B36" s="234"/>
      <c r="C36" s="234"/>
      <c r="D36" s="234"/>
      <c r="E36" s="234"/>
      <c r="F36" s="234"/>
      <c r="G36" s="234"/>
      <c r="H36" s="235"/>
      <c r="I36" s="235"/>
      <c r="J36" s="235"/>
      <c r="K36" s="234"/>
      <c r="L36" s="234"/>
      <c r="M36" s="234"/>
      <c r="N36" s="234"/>
      <c r="O36" s="234"/>
      <c r="P36" s="234"/>
      <c r="Q36" s="234"/>
    </row>
    <row r="37" customFormat="false" ht="67.5" hidden="false" customHeight="true" outlineLevel="0" collapsed="false">
      <c r="A37" s="233"/>
      <c r="B37" s="234"/>
      <c r="C37" s="233"/>
      <c r="D37" s="233"/>
      <c r="E37" s="233"/>
      <c r="F37" s="233"/>
      <c r="G37" s="233"/>
      <c r="H37" s="236"/>
      <c r="I37" s="236"/>
      <c r="J37" s="236"/>
      <c r="K37" s="234"/>
      <c r="L37" s="234"/>
      <c r="M37" s="233"/>
      <c r="N37" s="233"/>
      <c r="O37" s="233"/>
      <c r="P37" s="233"/>
      <c r="Q37" s="233"/>
    </row>
    <row r="38" customFormat="false" ht="67.5" hidden="false" customHeight="true" outlineLevel="0" collapsed="false">
      <c r="A38" s="233"/>
      <c r="B38" s="234"/>
      <c r="C38" s="233"/>
      <c r="D38" s="233"/>
      <c r="E38" s="233"/>
      <c r="F38" s="233"/>
      <c r="G38" s="233"/>
      <c r="H38" s="236"/>
      <c r="I38" s="236"/>
      <c r="J38" s="236"/>
      <c r="K38" s="234"/>
      <c r="L38" s="234"/>
      <c r="M38" s="233"/>
      <c r="N38" s="233"/>
      <c r="O38" s="233"/>
      <c r="P38" s="233"/>
      <c r="Q38" s="233"/>
    </row>
    <row r="39" customFormat="false" ht="67.5" hidden="false" customHeight="true" outlineLevel="0" collapsed="false">
      <c r="A39" s="233"/>
      <c r="B39" s="233"/>
      <c r="C39" s="233"/>
      <c r="D39" s="233"/>
      <c r="E39" s="233"/>
      <c r="F39" s="233"/>
      <c r="G39" s="233"/>
      <c r="H39" s="236"/>
      <c r="I39" s="236"/>
      <c r="J39" s="236"/>
      <c r="K39" s="234"/>
      <c r="L39" s="233"/>
      <c r="M39" s="233"/>
      <c r="N39" s="233"/>
      <c r="O39" s="233"/>
      <c r="P39" s="233"/>
      <c r="Q39" s="233"/>
    </row>
    <row r="40" s="84" customFormat="true" ht="13.5" hidden="false" customHeight="true" outlineLevel="0" collapsed="false">
      <c r="A40" s="87"/>
    </row>
    <row r="41" s="84" customFormat="true" ht="13.5" hidden="false" customHeight="true" outlineLevel="0" collapsed="false">
      <c r="A41" s="87"/>
    </row>
    <row r="42" s="84" customFormat="true" ht="13.5" hidden="false" customHeight="true" outlineLevel="0" collapsed="false">
      <c r="A42" s="87"/>
    </row>
    <row r="43" s="84" customFormat="true" ht="13.5" hidden="false" customHeight="true" outlineLevel="0" collapsed="false"/>
    <row r="44" s="84" customFormat="true" ht="13.5" hidden="false" customHeight="true" outlineLevel="0" collapsed="false"/>
    <row r="45" s="84" customFormat="true" ht="13.5" hidden="false" customHeight="true" outlineLevel="0" collapsed="false"/>
    <row r="46" s="84" customFormat="true" ht="13.5" hidden="false" customHeight="true" outlineLevel="0" collapsed="false"/>
    <row r="47" s="84" customFormat="true" ht="13.5" hidden="false" customHeight="true" outlineLevel="0" collapsed="false"/>
    <row r="48" s="84" customFormat="true" ht="13.5" hidden="false" customHeight="true" outlineLevel="0" collapsed="false"/>
    <row r="49" s="84" customFormat="true" ht="13.5" hidden="false" customHeight="true" outlineLevel="0" collapsed="false">
      <c r="A49" s="87"/>
    </row>
    <row r="50" s="84" customFormat="true" ht="13.5" hidden="false" customHeight="true" outlineLevel="0" collapsed="false"/>
    <row r="51" s="84" customFormat="true" ht="45" hidden="false" customHeight="true" outlineLevel="0" collapsed="false"/>
    <row r="52" s="84" customFormat="true" ht="12" hidden="false" customHeight="true" outlineLevel="0" collapsed="false"/>
    <row r="53" s="84" customFormat="true" ht="12" hidden="false" customHeight="true" outlineLevel="0" collapsed="false"/>
    <row r="54" s="84" customFormat="true" ht="12" hidden="false" customHeight="true" outlineLevel="0" collapsed="false"/>
    <row r="55" s="84" customFormat="true" ht="12" hidden="false" customHeight="true" outlineLevel="0" collapsed="false"/>
    <row r="56" customFormat="false" ht="93" hidden="false" customHeight="true" outlineLevel="0" collapsed="false">
      <c r="A56" s="237"/>
      <c r="B56" s="233"/>
      <c r="C56" s="238"/>
      <c r="D56" s="239"/>
      <c r="E56" s="240"/>
      <c r="F56" s="238"/>
      <c r="G56" s="238"/>
      <c r="H56" s="241"/>
      <c r="I56" s="241"/>
      <c r="J56" s="241"/>
      <c r="K56" s="234"/>
      <c r="L56" s="233"/>
      <c r="M56" s="233"/>
      <c r="N56" s="240"/>
      <c r="O56" s="240"/>
      <c r="P56" s="240"/>
      <c r="Q56" s="240"/>
    </row>
    <row r="57" s="84" customFormat="true" ht="12" hidden="false" customHeight="true" outlineLevel="0" collapsed="false"/>
    <row r="58" s="84" customFormat="true" ht="12" hidden="false" customHeight="true" outlineLevel="0" collapsed="false"/>
    <row r="59" s="84" customFormat="true" ht="12" hidden="false" customHeight="true" outlineLevel="0" collapsed="false"/>
    <row r="60" s="84" customFormat="true" ht="12" hidden="false" customHeight="true" outlineLevel="0" collapsed="false"/>
    <row r="61" s="84" customFormat="true" ht="12" hidden="false" customHeight="true" outlineLevel="0" collapsed="false"/>
    <row r="62" s="84" customFormat="true" ht="12" hidden="false" customHeight="true" outlineLevel="0" collapsed="false"/>
    <row r="63" s="84" customFormat="true" ht="12" hidden="false" customHeight="true" outlineLevel="0" collapsed="false"/>
    <row r="64" s="84" customFormat="true" ht="12" hidden="false" customHeight="true" outlineLevel="0" collapsed="false"/>
    <row r="65" s="84" customFormat="true" ht="12" hidden="false" customHeight="true" outlineLevel="0" collapsed="false"/>
    <row r="66" s="84" customFormat="true" ht="12" hidden="false" customHeight="true" outlineLevel="0" collapsed="false"/>
    <row r="67" s="84" customFormat="true" ht="12" hidden="false" customHeight="true" outlineLevel="0" collapsed="false"/>
  </sheetData>
  <autoFilter ref="A3:T3"/>
  <mergeCells count="1">
    <mergeCell ref="G2:I2"/>
  </mergeCells>
  <hyperlinks>
    <hyperlink ref="K4" r:id="rId1" display="https://www.centene.com/why-were-different/corporate-sustainability/empowering-health/innovation-thought-leadership.html&#10;&#10;&#10;&#10;&#10;https://investors.centene.com/2026-04-28-CENTENE-CORPORATION-REPORTS-FIRST-QUARTER-2026-RESULTS&#10;&#10;https://www.investing.com/news/company-news/centene-2026-guidance-slides-40-eps-growth-target-despite-revenue-headwinds-93CH-4491279&#10;&#10;https://www.prnewswire.com/news-releases/centene-appoints-lauren-m-tyler-to-board-of-directors-302806827.html&#10;"/>
    <hyperlink ref="K5" r:id="rId2" display="Humana Reports First Quarter 2026 Financial Results; Affirms Full Year 2026 Adjusted Financial Guidance | Humana Inc.&#10;&#10;https://news.humana.com/news/articles/humana-redefines-the-member-experience-with-agent-assist-built-with-google-cloud&#10;&#10;https://humana.gcs-web.com/news-releases (Q1 2026 results; Illinois Medicaid award; Gentiva divestment; $1.0bn notes; board election)&#10;&#10;&#10;&#10;&#10;&#10;&#10;"/>
    <hyperlink ref="K6" r:id="rId3" display="Progressive investors hear about AI strategies, successes | Repairer Driven News&#10;&#10;https://www.fool.com/investing/2026/05/29/progressives-telematics-edge-is-quietly-reshaping/&#10;&#10;https://progressive.mediaroom.com/2026-01-20-progressive-insurance-R-introduces-pet-insurance-for-cats-and-dogs&#10;&#10;https://investors.progressive.com/financials/financial-news-releases/news-details/2026/Progressive-Announces-Plans-For-CFO-Transition/default.aspx"/>
    <hyperlink ref="K7" r:id="rId4" display="State Farm Advances AI Vision Through OpenAI Collaboration&#10;&#10;&#10;https://www.liveinsurancenews.com/state-farm-is-rewriting-the-deal/8573293/&#10;&#10;https://newsroom.statefarm.com/state-farm-responds-to-widespread-winter-catastrophe/&#10;&#10;https://www.insurancejournal.com/company/statefarm/"/>
    <hyperlink ref="K8" r:id="rId5" display="Berkshire Q1 2026: $1.72B Insurance Gain as Abel Maps GEICO's Five-Year Tech Rebuild | actuary.info&#10;https://www.geico.com/about/pressreleases/2026/&#10;&#10;https://www.geico.com/about/pressreleases/2026/20260326/&#10;https://www.carriermanagement.com/news/2026/05/04/287521.htm#&#10;https://www.clarkhill.com/news-events/news/geico-ai-settlement-insurance-underwriting-compliance/"/>
    <hyperlink ref="K9" r:id="rId6" display="https://www.tokiomarinehd.com/en/newsroom/release/&#10;&#10;&#10;https://www.tokiomarinehd.com/en/newsroom/release/o1ckc9000001n1lb-att/250616_AI_governance_e.pdf&#10;&#10;https://www.tokiomarinehd.com/en/newsroom/release/ikr22500000008w0-att/20250925_OpenAI_e.pdf&#10;&#10;https://www.tokiomarinehighland.com/blog/tokio-marine-highland-releases-2026-tmh-horizons-report/&#10;https://www.insurancebusinessmag.com/us/news/breaking-news/tokio-marine-america-ceo-eyes-capital-surge-as-growth-engine-566725.aspx&#10;&#10;&#10;https://www.reinsurancene.ws/tokio-marine-to-enhance-specialty-offerings-in-us-agricultural-sector-with-cih-acquisition/&#10;&#10;https://finimize.com/content/tokio-marine-wants-more-than-north-america (Berkshire partnership; 2036 targets)&#10;&#10;https://simplywall.st/stocks/us/insurance/otc-tkom.y/tokio-marine-holdings (CIH completion 2 Feb 2026; ¥200bn buyback)"/>
    <hyperlink ref="K10" r:id="rId7" display="Travelers Investor Relations | Travelers Advances AI Strategy with Award-Winning Insurance-Specific Large Language Model&#10;&#10;https://investor.travelers.com/newsroom/press-releases/news-details/2026/Travelers-Partners-with-Anthropic-to-Expand-AI-Enabled-Engineering-and-Analytics-Capabilities/default.aspx&#10;&#10;https://agencychecklists.com/2026/01/26/travelers-deepens-ai-strategy-as-innovation-2-0-takes-shape-79336/"/>
    <hyperlink ref="C14" r:id="rId8" display="One Rockefeller Plaza, Suite 2120, New York, USA "/>
    <hyperlink ref="K17" r:id="rId9" display="https://www.insurancebusinessmag.com/us/news/catastrophe/two-insurers-report-spike-in-march-storm-losses-569026.aspx&#10;&#10;https://newsroom.amfam.com/american-family-completes-main-street-america-insurance-bonds-renewal-rights-transaction/&#10;&#10;&#10;https://www.insurancejournal.com/company/amfam/ (FY2025 underwriting profit)&#10;&#10;https://newsroom.amfam.com/ (Ward's Top 50; Summerfest partnership extension)"/>
    <hyperlink ref="K18" r:id="rId10" display="https://markets.financialcontent.com/wral/article/bizwire-2026-3-16-lincoln-financial-unveils-new-fixed-indexed-annuity-income-solutions-with-category-first-legacy-planning&#10;&#10;https://www.lincolnfinancial.com/public/aboutus/newsroom/pressreleases/Lincoln-appoints-Gotham-Majumdar&#10;&#10;https://www.lincolnfinancial.com/public/aboutus/newsroom/pressreleases/executive-leadership-transitions"/>
    <hyperlink ref="K19" r:id="rId11" display="https://ir.oldrepublic.com/news/news-details/2026/OLD-REPUBLIC-ANNOUNCES-SENIOR-MANAGEMENT-CHANGES-AT-BITCO-INSURANCE-COMPANIES/default.aspx&#10;&#10;https://ir.oldrepublic.com/news/news-details/2026/OLD-REPUBLIC-FORMS-NEW-PROPERTY-INSURANCE-COMPANY/default.aspx&#10;&#10;https://ir.oldrepublic.com/news/news-details/2026/LODESTAR-LAUNCHES-AS-INDEPENDENT-BRAND-FOR-OLD-REPUBLICS-THIRD-PARTY-ADMINISTRATOR-BUSINESS/default.aspx&#10;&#10;https://ir.oldrepublic.com/news/news-details/2026/OLD-REPUBLIC-REFRESHES-BRAND-TO-HIGHLIGHT-SPECIALTY-EXPERTISE-AND-COLLECTIVE-STRENGTH/default.aspx"/>
    <hyperlink ref="K20" r:id="rId12" display="https://finance.yahoo.com/markets/stocks/articles/faf-q1-deep-dive-commercial-081323035.html&#10;&#10;https://finance.yahoo.com/markets/stocks/articles/faf-q1-deep-dive-commercial-081323035.html&#10;&#10;https://marketchameleon.com/Overview/FAF/PressReleases/"/>
    <hyperlink ref="K21" r:id="rId13" display="https://markets.financialcontent.com/dowtheoryletters/article/stockstory-2026-1-27-wrb-q4-deep-dive-management-focuses-on-technology-distribution-and-underwriting-discipline&#10;&#10;https://markets.financialcontent.com/dowtheoryletters/article/stockstory-2026-1-27-wrb-q4-deep-dive-management-focuses-on-technology-distribution-and-underwriting-discipline&#10;&#10;&#10;https://www.stocktitan.net/sec-filings/WRB/schedule-13d-a-berkley-w-r-corp-amended-major-shareholder-report-4164e282c0e1.html (MSI 13D/A — 14.9%)&#10;&#10;https://www.insurancebusinessmag.com/us/news/breaking-news/mitsui-sumitomo-takes-12-5-stake-in-w-r--berkley-559207.aspx&#10;&#10;https://fintool.com/news/mitsui-sumitomo-wrb-69m-stake-buildup (Q4 2025 results; expense ratio guidance)"/>
    <hyperlink ref="K22" r:id="rId14" display="https://newsroom.thrivent.com/Q-A-on-Thrivents-2026-Annual-Total-Payout&#10;&#10;https://newsroom.thrivent.com/2026-02-05-Thrivent-Launches-Three-New-Retail-Separately-Managed-Accounts-SMAs&#10;&#10;https://www.prnewswire.com/news-releases/thrivent-continues-major-growth-push-with-plans-to-add-600-more-financial-advisors-in-2026-302708534.html&#10;&#10;https://newsroom.thrivent.com/2026-05-06-Thrivent-Maintains-AA-Credit-Rating-with-Stable-Outlook-From-S-P-Global&#10;&#10;https://newsroom.thrivent.com/2026-06-15-Thrivent-Launches-Two-International-Equity-ETFs,-Expanding-Its-ETF-Product-Suite&#10;&#10;https://newsroom.thrivent.com/2026-07-13-Packers,-Thrivent-Announce-Multi-Year-Partnership-Centered-on-Fan-Engagement-and-Community-Impact"/>
    <hyperlink ref="K23" r:id="rId15" display="https://ir.equitableholdings.com/news-and-events/investor-releases/news-details/2026/Equitable-Holdings-Announces-Additional-1-Billion-Share-Repurchase-Authorization-and-Declares-Common-and-Preferred-Stock-Dividends/default.aspx&#10;&#10;https://investors.corebridgefinancial.com/news/news-details/2026/Corebridge-Financial-and-Equitable-Holdings-Announce-Transformational-Merger/default.aspx&#10;&#10;https://www.marketscreener.com/news/equitable-launches-403-b-pooled-employer-plan-to-support-nonprofits-ce7e50dbd080fe21&#10;&#10;&#10;https://www.sec.gov/Archives/edgar/data/0001889539/000119312526279656/d115497ddefm14a.htm (joint proxy statement/prospectus)&#10;&#10;https://www.sec.gov/Archives/edgar/data/1889539/000114036126011261/ef20068723_425.htm (structure, leadership, Houston HQ, timing)&#10;&#10;https://www.sec.gov/Archives/edgar/data/0001889539/000188953926000116/crbg-20260331.htm (Corebridge Q1 2026 10-Q — exchange ratios)"/>
    <hyperlink ref="K24" r:id="rId16" display="https://news.northwesternmutual.com/2025-10-28-Northwestern-Mutual-Announces-Historic-9-2-Billion-Dividend-Payout-in-2026-A-Powerful-Demonstration-of-Companys-Enduring-Commitment-to-Policyowners&#10;&#10;https://www.prnewswire.com/news-releases/northwestern-mutual-announces-150-million-venture-capital-commitment-to-accelerate-fintech-innovation-302754777.html&#10;&#10;https://news.northwesternmutual.com/investing-in-milwaukee"/>
    <hyperlink ref="K25" r:id="rId17" display="https://www.mutualofomaha.com/careers/life-at-mutual/careers-blog/video/exploring-ai-at-mutual-of-omaha&#10;&#10;https://www.businesswire.com/news/home/20260224556643/en/Mutual-of-Omaha-Continues-Expansion-of-API-Offerings-to-Streamline-Benefits-Administration-for-Brokers-and-Employers&#10;&#10;https://ebs.publicnow.com/view/5292601E48DFC70E085A0BBD9D8B8899516B5420&#10;&#10;https://www.publicnow.com/view/F3B8B1FB4C5682B72AE217D1851169E3EADFA88E"/>
    <hyperlink ref="K26" r:id="rId18" display="https://investors.cinfin.com/2026-04-27-Cincinnati-Financial-Reports-First-Quarter-2026-Results&#10;&#10;https://investors.cinfin.com/2026-06-19-Cincinnati-Financial-Corporation-Expands-Board-With-Appointment-of-Independent-Director&#10;&#10;https://investors.cinfin.com/2026-06-16-The-Cincinnati-Insurance-Company-Chief-Information-Officer-Announces-Retirement"/>
    <hyperlink ref="K27" r:id="rId19" display="https://investors.jackson.com/news/news-details/2026/Jackson-Financial-Inc--and-TPG-Inc--Announce-Launch-of-Long-Term-Strategic-Partnership/default.aspx&#10;&#10;https://investors.jackson.com/news/news-details/2026/Jackson-Introduces-Dow-Jones-Industrial-Average-Index-Option-Flexible-Premiums-Six-Year-Rate-Guarantee-in-Latest-Registered-Index-Linked-Annuity-Launch/default.aspx"/>
    <hyperlink ref="K28" r:id="rId20" display="https://www.publicnow.com/view/BAD5E3E6229A69F9D68A4DF36BF2B3B8EB08F9F9&#10;&#10;https://www.trustage.com/newsroom/2026-press-releases/collateral-protection-insurance-auto-tracked-product&#10;&#10;https://www.trustage.com/newsroom/2026-press-releases/happy-money-offering-payment-guard-advantage&#10;&#10;https://www.trustage.com/newsroom/2026-press-releases/polly-expands-trustage-partnership"/>
    <hyperlink ref="K29" r:id="rId21" display="https://secure.businesswire.com/news/home/20260128893102/en/Pacific-Life-and-Selerix-Launch-Digital-Evidence-of-Insurability-Integration&#10;&#10;https://www.pacificlife.com/press-releases/stories/pacific-life-polls-industry-leaders-in-2026-underwriting-outlook-survey.html&#10;&#10;https://www.pacificlifere.com/news/Pacific-Life-Re-Awarded-4bn-Longevity-Reinsurance-Transaction-with-Achmea-Pension-and-Life-Insurance.html&#10;&#10;https://www.pacificlifere.com/news/Pacific-Life-Re-Announces-Third-Block-Reinsurance-Deal-with-Tokio-Marine-and-Nichido-Life.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7" activePane="bottomLeft" state="frozen"/>
      <selection pane="topLeft" activeCell="A1" activeCellId="0" sqref="A1"/>
      <selection pane="bottomLeft" activeCell="A8" activeCellId="0" sqref="A8"/>
    </sheetView>
  </sheetViews>
  <sheetFormatPr defaultColWidth="8.71875" defaultRowHeight="13.5" zeroHeight="false" outlineLevelRow="0" outlineLevelCol="0"/>
  <cols>
    <col collapsed="false" customWidth="false" hidden="false" outlineLevel="0" max="1" min="1" style="242" width="8.72"/>
    <col collapsed="false" customWidth="true" hidden="false" outlineLevel="0" max="2" min="2" style="242" width="42.18"/>
    <col collapsed="false" customWidth="true" hidden="false" outlineLevel="0" max="3" min="3" style="242" width="14.18"/>
    <col collapsed="false" customWidth="true" hidden="false" outlineLevel="0" max="4" min="4" style="242" width="17.54"/>
    <col collapsed="false" customWidth="true" hidden="false" outlineLevel="0" max="5" min="5" style="242" width="15.54"/>
    <col collapsed="false" customWidth="true" hidden="false" outlineLevel="0" max="6" min="6" style="242" width="13.45"/>
    <col collapsed="false" customWidth="true" hidden="false" outlineLevel="0" max="7" min="7" style="242" width="20.27"/>
    <col collapsed="false" customWidth="true" hidden="false" outlineLevel="0" max="8" min="8" style="242" width="79.27"/>
    <col collapsed="false" customWidth="true" hidden="false" outlineLevel="0" max="9" min="9" style="242" width="45.18"/>
    <col collapsed="false" customWidth="true" hidden="false" outlineLevel="0" max="11" min="10" style="242" width="28.18"/>
    <col collapsed="false" customWidth="true" hidden="true" outlineLevel="0" max="12" min="12" style="242" width="28.18"/>
    <col collapsed="false" customWidth="true" hidden="false" outlineLevel="0" max="13" min="13" style="242" width="19.18"/>
    <col collapsed="false" customWidth="true" hidden="false" outlineLevel="0" max="14" min="14" style="242" width="17.45"/>
    <col collapsed="false" customWidth="true" hidden="false" outlineLevel="0" max="15" min="15" style="242" width="23.82"/>
    <col collapsed="false" customWidth="true" hidden="false" outlineLevel="0" max="16" min="16" style="242" width="46.45"/>
    <col collapsed="false" customWidth="false" hidden="false" outlineLevel="0" max="16384" min="17" style="242" width="8.72"/>
  </cols>
  <sheetData>
    <row r="1" customFormat="false" ht="13.5" hidden="false" customHeight="true" outlineLevel="0" collapsed="false">
      <c r="A1" s="243" t="s">
        <v>1850</v>
      </c>
      <c r="G1" s="244"/>
    </row>
    <row r="3" customFormat="false" ht="13.5" hidden="false" customHeight="true" outlineLevel="0" collapsed="false">
      <c r="A3" s="245" t="s">
        <v>6</v>
      </c>
      <c r="B3" s="245" t="s">
        <v>7</v>
      </c>
      <c r="C3" s="245" t="s">
        <v>441</v>
      </c>
      <c r="D3" s="245" t="s">
        <v>165</v>
      </c>
      <c r="E3" s="245" t="s">
        <v>166</v>
      </c>
      <c r="F3" s="245" t="s">
        <v>167</v>
      </c>
      <c r="G3" s="245" t="s">
        <v>168</v>
      </c>
      <c r="H3" s="245" t="s">
        <v>170</v>
      </c>
      <c r="I3" s="246" t="s">
        <v>331</v>
      </c>
      <c r="J3" s="246" t="s">
        <v>1851</v>
      </c>
      <c r="K3" s="247" t="s">
        <v>1852</v>
      </c>
      <c r="L3" s="247" t="s">
        <v>1853</v>
      </c>
      <c r="M3" s="247" t="s">
        <v>716</v>
      </c>
      <c r="N3" s="247" t="s">
        <v>1854</v>
      </c>
      <c r="O3" s="247" t="s">
        <v>164</v>
      </c>
      <c r="P3" s="247" t="s">
        <v>1855</v>
      </c>
    </row>
    <row r="4" customFormat="false" ht="139.5" hidden="false" customHeight="true" outlineLevel="0" collapsed="false">
      <c r="A4" s="248" t="n">
        <v>1</v>
      </c>
      <c r="B4" s="249" t="s">
        <v>1856</v>
      </c>
      <c r="C4" s="250" t="s">
        <v>1857</v>
      </c>
      <c r="D4" s="249" t="s">
        <v>1858</v>
      </c>
      <c r="E4" s="251" t="s">
        <v>175</v>
      </c>
      <c r="F4" s="251" t="s">
        <v>176</v>
      </c>
      <c r="G4" s="249" t="s">
        <v>1363</v>
      </c>
      <c r="H4" s="249" t="s">
        <v>1859</v>
      </c>
      <c r="I4" s="252" t="s">
        <v>1860</v>
      </c>
      <c r="J4" s="253" t="n">
        <v>164265.27</v>
      </c>
      <c r="K4" s="254" t="s">
        <v>1861</v>
      </c>
      <c r="L4" s="253" t="s">
        <v>1862</v>
      </c>
      <c r="M4" s="249" t="s">
        <v>1863</v>
      </c>
      <c r="N4" s="250" t="s">
        <v>1864</v>
      </c>
      <c r="O4" s="250" t="s">
        <v>1865</v>
      </c>
      <c r="P4" s="255" t="s">
        <v>1866</v>
      </c>
    </row>
    <row r="5" customFormat="false" ht="168" hidden="false" customHeight="true" outlineLevel="0" collapsed="false">
      <c r="A5" s="248" t="n">
        <v>2</v>
      </c>
      <c r="B5" s="249" t="s">
        <v>1867</v>
      </c>
      <c r="C5" s="249" t="s">
        <v>1868</v>
      </c>
      <c r="D5" s="249" t="s">
        <v>1869</v>
      </c>
      <c r="E5" s="251" t="s">
        <v>175</v>
      </c>
      <c r="F5" s="251" t="s">
        <v>1870</v>
      </c>
      <c r="G5" s="249" t="s">
        <v>1363</v>
      </c>
      <c r="H5" s="249" t="s">
        <v>1871</v>
      </c>
      <c r="I5" s="252" t="s">
        <v>1872</v>
      </c>
      <c r="J5" s="253" t="n">
        <v>43618</v>
      </c>
      <c r="K5" s="252" t="s">
        <v>1873</v>
      </c>
      <c r="L5" s="253" t="s">
        <v>1874</v>
      </c>
      <c r="M5" s="250" t="s">
        <v>1875</v>
      </c>
      <c r="N5" s="250" t="s">
        <v>1876</v>
      </c>
      <c r="O5" s="250" t="s">
        <v>1877</v>
      </c>
      <c r="P5" s="255" t="s">
        <v>1878</v>
      </c>
    </row>
    <row r="6" customFormat="false" ht="223.5" hidden="false" customHeight="true" outlineLevel="0" collapsed="false">
      <c r="A6" s="248" t="n">
        <v>3</v>
      </c>
      <c r="B6" s="249" t="s">
        <v>1879</v>
      </c>
      <c r="C6" s="249" t="s">
        <v>1880</v>
      </c>
      <c r="D6" s="249" t="s">
        <v>1881</v>
      </c>
      <c r="E6" s="251" t="s">
        <v>175</v>
      </c>
      <c r="F6" s="251" t="s">
        <v>176</v>
      </c>
      <c r="G6" s="249" t="s">
        <v>1882</v>
      </c>
      <c r="H6" s="249" t="s">
        <v>1883</v>
      </c>
      <c r="I6" s="252" t="s">
        <v>1884</v>
      </c>
      <c r="J6" s="253" t="n">
        <v>41153.95</v>
      </c>
      <c r="K6" s="254" t="s">
        <v>1885</v>
      </c>
      <c r="L6" s="253" t="s">
        <v>1886</v>
      </c>
      <c r="M6" s="250" t="s">
        <v>1887</v>
      </c>
      <c r="N6" s="250" t="s">
        <v>1888</v>
      </c>
      <c r="O6" s="250" t="s">
        <v>1889</v>
      </c>
      <c r="P6" s="255" t="s">
        <v>1890</v>
      </c>
    </row>
    <row r="7" customFormat="false" ht="168" hidden="false" customHeight="true" outlineLevel="0" collapsed="false">
      <c r="A7" s="248" t="n">
        <v>4</v>
      </c>
      <c r="B7" s="249" t="s">
        <v>1891</v>
      </c>
      <c r="C7" s="249" t="s">
        <v>1892</v>
      </c>
      <c r="D7" s="249" t="s">
        <v>1893</v>
      </c>
      <c r="E7" s="251" t="s">
        <v>175</v>
      </c>
      <c r="F7" s="251" t="s">
        <v>203</v>
      </c>
      <c r="G7" s="249" t="s">
        <v>1894</v>
      </c>
      <c r="H7" s="249" t="s">
        <v>1895</v>
      </c>
      <c r="I7" s="252" t="s">
        <v>1896</v>
      </c>
      <c r="J7" s="256" t="s">
        <v>1897</v>
      </c>
      <c r="K7" s="254" t="s">
        <v>1898</v>
      </c>
      <c r="L7" s="253" t="s">
        <v>1899</v>
      </c>
      <c r="M7" s="250" t="s">
        <v>17</v>
      </c>
      <c r="N7" s="250" t="s">
        <v>1900</v>
      </c>
      <c r="O7" s="250" t="s">
        <v>1901</v>
      </c>
      <c r="P7" s="255" t="s">
        <v>1902</v>
      </c>
    </row>
    <row r="8" customFormat="false" ht="105.75" hidden="false" customHeight="true" outlineLevel="0" collapsed="false">
      <c r="A8" s="248" t="n">
        <v>5</v>
      </c>
      <c r="B8" s="249" t="s">
        <v>1903</v>
      </c>
      <c r="C8" s="249" t="s">
        <v>1904</v>
      </c>
      <c r="D8" s="249" t="s">
        <v>1905</v>
      </c>
      <c r="E8" s="251" t="s">
        <v>175</v>
      </c>
      <c r="F8" s="251" t="s">
        <v>1906</v>
      </c>
      <c r="G8" s="249" t="s">
        <v>1363</v>
      </c>
      <c r="H8" s="249" t="s">
        <v>1907</v>
      </c>
      <c r="I8" s="252" t="s">
        <v>1908</v>
      </c>
      <c r="J8" s="256" t="s">
        <v>1909</v>
      </c>
      <c r="K8" s="254" t="s">
        <v>1910</v>
      </c>
      <c r="L8" s="253" t="s">
        <v>1862</v>
      </c>
      <c r="M8" s="250" t="s">
        <v>1911</v>
      </c>
      <c r="N8" s="250" t="s">
        <v>1911</v>
      </c>
      <c r="O8" s="250" t="s">
        <v>1911</v>
      </c>
      <c r="P8" s="255" t="s">
        <v>1912</v>
      </c>
    </row>
    <row r="9" customFormat="false" ht="13.5" hidden="false" customHeight="true" outlineLevel="0" collapsed="false">
      <c r="A9" s="257"/>
    </row>
  </sheetData>
  <autoFilter ref="A3:P3"/>
  <hyperlinks>
    <hyperlink ref="F4" r:id="rId1" display="Pratik Shah"/>
    <hyperlink ref="I4" r:id="rId2" display="https://www.liciuk.com&#10;&#10;https://www.thehindu.com/business/lic-new-india-assurance-gic-continue-to-remain-domestic-systemically-important-insurers-irdai/article70816432.ece"/>
    <hyperlink ref="K4" r:id="rId3" display="https://eyindia.sharepoint.com/:b:/r/sites/InsuranceResearch/Shared%20Documents/Insurance%20Research/Top%2020%20UK/Indian%20Insurers%20operating%20in%20UK/LIC_AR%202024-25.pdf?csf=1&amp;web=1&amp;e=Jcp2ak"/>
    <hyperlink ref="F5" r:id="rId4" display="Gaurav Taneja"/>
    <hyperlink ref="I5" r:id="rId5" display="https://www.newindia.co.uk/solvency-financial-condition-reports/"/>
    <hyperlink ref="K5" r:id="rId6" display="https://eyindia.sharepoint.com/:b:/r/sites/InsuranceResearch/Shared%20Documents/Insurance%20Research/Top%2020%20UK/Indian%20Insurers%20operating%20in%20UK/New%20India%20Final%20Annual%20Report24-25.pdf?csf=1&amp;web=1&amp;e=xFzKpg"/>
    <hyperlink ref="I6" r:id="rId7" display="https://www.reinsurancene.ws/indias-gic-re-planning-to-launch-uk-based-subsidiary/&#10;&#10;https://www.reinsurancene.ws/lloyds-approves-transfer-of-gic-res-syndicate-1947-management-to-asta/&#10;&#10;https://www.gicre.in/en/business-en/overseas-offices&#10;&#10;https://assets.lloyds.com/media/fc47484e-d884-4326-b7d8-32d88f59e7d4/1947%20GIC%20Syndicate%20-%201947%20-%20Q4%202024%20Syndicate%20Accounts%20Submission%20%28Mar%206,%202025%29-ixbrl-r1.html"/>
    <hyperlink ref="K6" r:id="rId8" display="https://eyindia.sharepoint.com/:b:/r/sites/InsuranceResearch/Shared%20Documents/Insurance%20Research/Top%2020%20UK/Indian%20Insurers%20operating%20in%20UK/GIC_Annual_Report_2024-25.pdf?csf=1&amp;web=1&amp;e=ikOStm"/>
    <hyperlink ref="F7" r:id="rId9" display="Aman Dutta"/>
    <hyperlink ref="I7" r:id="rId10" display="https://www.tcs.com/who-we-are/newsroom/press-release/tcs-strengthens-partnership-aviva-uk-enhance-life-pensions-customer-experience&#10;&#10;https://business-news-today.com/tcs-completes-3-8-million-policy-migration-for-scottish-widows-in-uks-largest-insurance-platform-overhaul/&#10;&#10;https://www.unitetheunion.org/news-events/news/2026/march/diligenta-workers-win-pay-rise-following-successful-strike-action"/>
    <hyperlink ref="K7" r:id="rId11" display="https://eyindia.sharepoint.com/:b:/r/sites/InsuranceResearch/Shared%20Documents/Insurance%20Research/Top%2020%20UK/Indian%20Insurers%20operating%20in%20UK/Diligenta%20Annual%20Report-2024-25.pdf?csf=1&amp;web=1&amp;e=HkOQUW"/>
    <hyperlink ref="I8" r:id="rId12" display="https://www.hcltech.com/sites/default/files/documents/resources/pdf-landing-page/files/2025/07/07/18-HCL-Insurance-BPO-Services-Limited.pdf&#10;&#10;https://www.financialexpress.com/business/industry-hcl-tech-expands-ai-partnership-with-us-based-insurer-the-standard-3875770/"/>
    <hyperlink ref="K8" r:id="rId13" display="https://eyindia.sharepoint.com/:b:/r/sites/InsuranceResearch/Shared%20Documents/Insurance%20Research/Top%2020%20UK/Indian%20Insurers%20operating%20in%20UK/HCL-Insurance-Annual%20Report%202025.pdf?csf=1&amp;web=1&amp;e=oP6dRJ"/>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8"/>
  <sheetViews>
    <sheetView showFormulas="false" showGridLines="true" showRowColHeaders="true" showZeros="true" rightToLeft="false" tabSelected="false" showOutlineSymbols="true" defaultGridColor="true" view="normal" topLeftCell="A2" colorId="64" zoomScale="80" zoomScaleNormal="80" zoomScalePageLayoutView="100" workbookViewId="0">
      <pane xSplit="0" ySplit="3" topLeftCell="A11" activePane="bottomLeft" state="frozen"/>
      <selection pane="topLeft" activeCell="A2" activeCellId="0" sqref="A2"/>
      <selection pane="bottomLeft" activeCell="E8" activeCellId="0" sqref="E8"/>
    </sheetView>
  </sheetViews>
  <sheetFormatPr defaultColWidth="8.8203125" defaultRowHeight="12" zeroHeight="false" outlineLevelRow="0" outlineLevelCol="0"/>
  <cols>
    <col collapsed="false" customWidth="true" hidden="false" outlineLevel="0" max="1" min="1" style="258" width="5.54"/>
    <col collapsed="false" customWidth="true" hidden="false" outlineLevel="0" max="2" min="2" style="258" width="33.82"/>
    <col collapsed="false" customWidth="true" hidden="false" outlineLevel="0" max="3" min="3" style="258" width="8.45"/>
    <col collapsed="false" customWidth="true" hidden="false" outlineLevel="0" max="4" min="4" style="258" width="10.45"/>
    <col collapsed="false" customWidth="true" hidden="false" outlineLevel="0" max="5" min="5" style="258" width="24.82"/>
    <col collapsed="false" customWidth="true" hidden="false" outlineLevel="0" max="6" min="6" style="258" width="13.54"/>
    <col collapsed="false" customWidth="true" hidden="false" outlineLevel="0" max="7" min="7" style="258" width="23"/>
    <col collapsed="false" customWidth="true" hidden="false" outlineLevel="0" max="8" min="8" style="258" width="33.54"/>
    <col collapsed="false" customWidth="true" hidden="false" outlineLevel="0" max="9" min="9" style="258" width="70.54"/>
    <col collapsed="false" customWidth="true" hidden="false" outlineLevel="0" max="10" min="10" style="258" width="67.54"/>
    <col collapsed="false" customWidth="true" hidden="false" outlineLevel="0" max="11" min="11" style="258" width="26.73"/>
    <col collapsed="false" customWidth="true" hidden="false" outlineLevel="0" max="12" min="12" style="258" width="19.82"/>
    <col collapsed="false" customWidth="true" hidden="true" outlineLevel="0" max="13" min="13" style="258" width="38"/>
    <col collapsed="false" customWidth="true" hidden="true" outlineLevel="0" max="14" min="14" style="258" width="25.45"/>
    <col collapsed="false" customWidth="true" hidden="true" outlineLevel="0" max="15" min="15" style="258" width="26.82"/>
    <col collapsed="false" customWidth="true" hidden="false" outlineLevel="0" max="16" min="16" style="258" width="21.18"/>
    <col collapsed="false" customWidth="true" hidden="false" outlineLevel="0" max="17" min="17" style="258" width="18.18"/>
    <col collapsed="false" customWidth="true" hidden="false" outlineLevel="0" max="18" min="18" style="258" width="22"/>
    <col collapsed="false" customWidth="false" hidden="false" outlineLevel="0" max="16384" min="19" style="242" width="8.82"/>
  </cols>
  <sheetData>
    <row r="1" s="242" customFormat="true" ht="13.5" hidden="false" customHeight="true" outlineLevel="0" collapsed="false">
      <c r="A1" s="259" t="s">
        <v>1913</v>
      </c>
      <c r="B1" s="244"/>
      <c r="C1" s="244"/>
      <c r="D1" s="244"/>
      <c r="E1" s="244"/>
      <c r="F1" s="260"/>
      <c r="G1" s="244"/>
      <c r="H1" s="260"/>
    </row>
    <row r="2" s="242" customFormat="true" ht="13.5" hidden="false" customHeight="true" outlineLevel="0" collapsed="false">
      <c r="A2" s="261" t="s">
        <v>1913</v>
      </c>
      <c r="B2" s="261"/>
      <c r="C2" s="261"/>
      <c r="D2" s="261"/>
      <c r="E2" s="261"/>
      <c r="F2" s="260"/>
      <c r="G2" s="244"/>
      <c r="H2" s="244"/>
    </row>
    <row r="3" s="242" customFormat="true" ht="13.5" hidden="false" customHeight="true" outlineLevel="0" collapsed="false">
      <c r="A3" s="262"/>
      <c r="B3" s="244"/>
      <c r="C3" s="244"/>
      <c r="D3" s="244"/>
      <c r="E3" s="244"/>
      <c r="F3" s="214" t="s">
        <v>1620</v>
      </c>
      <c r="G3" s="214"/>
      <c r="H3" s="214"/>
    </row>
    <row r="4" s="265" customFormat="true" ht="27.75" hidden="false" customHeight="true" outlineLevel="0" collapsed="false">
      <c r="A4" s="263" t="s">
        <v>6</v>
      </c>
      <c r="B4" s="263" t="s">
        <v>7</v>
      </c>
      <c r="C4" s="263" t="s">
        <v>1914</v>
      </c>
      <c r="D4" s="263" t="s">
        <v>576</v>
      </c>
      <c r="E4" s="263" t="s">
        <v>165</v>
      </c>
      <c r="F4" s="263" t="s">
        <v>166</v>
      </c>
      <c r="G4" s="263" t="s">
        <v>167</v>
      </c>
      <c r="H4" s="263" t="s">
        <v>168</v>
      </c>
      <c r="I4" s="263" t="s">
        <v>1915</v>
      </c>
      <c r="J4" s="263" t="s">
        <v>331</v>
      </c>
      <c r="K4" s="263" t="s">
        <v>1916</v>
      </c>
      <c r="L4" s="263" t="s">
        <v>1917</v>
      </c>
      <c r="M4" s="264" t="s">
        <v>1918</v>
      </c>
      <c r="N4" s="264" t="s">
        <v>1919</v>
      </c>
      <c r="O4" s="264" t="s">
        <v>1920</v>
      </c>
      <c r="P4" s="264" t="s">
        <v>1854</v>
      </c>
      <c r="Q4" s="264" t="s">
        <v>164</v>
      </c>
      <c r="R4" s="264" t="s">
        <v>716</v>
      </c>
    </row>
    <row r="5" s="269" customFormat="true" ht="162.75" hidden="false" customHeight="true" outlineLevel="0" collapsed="false">
      <c r="A5" s="266" t="n">
        <v>1</v>
      </c>
      <c r="B5" s="267" t="s">
        <v>1921</v>
      </c>
      <c r="C5" s="266" t="s">
        <v>15</v>
      </c>
      <c r="D5" s="266" t="s">
        <v>1922</v>
      </c>
      <c r="E5" s="266" t="s">
        <v>1923</v>
      </c>
      <c r="F5" s="266" t="s">
        <v>175</v>
      </c>
      <c r="G5" s="266" t="s">
        <v>279</v>
      </c>
      <c r="H5" s="267" t="s">
        <v>870</v>
      </c>
      <c r="I5" s="106" t="s">
        <v>1924</v>
      </c>
      <c r="J5" s="110" t="s">
        <v>1925</v>
      </c>
      <c r="K5" s="266" t="n">
        <v>102903</v>
      </c>
      <c r="L5" s="266" t="n">
        <v>12484</v>
      </c>
      <c r="M5" s="268" t="s">
        <v>1926</v>
      </c>
      <c r="N5" s="266" t="n">
        <v>46</v>
      </c>
      <c r="O5" s="106"/>
      <c r="P5" s="266" t="s">
        <v>1927</v>
      </c>
      <c r="Q5" s="266" t="s">
        <v>1928</v>
      </c>
      <c r="R5" s="266" t="s">
        <v>1929</v>
      </c>
    </row>
    <row r="6" s="269" customFormat="true" ht="195.75" hidden="false" customHeight="true" outlineLevel="0" collapsed="false">
      <c r="A6" s="266" t="n">
        <v>2</v>
      </c>
      <c r="B6" s="267" t="s">
        <v>1930</v>
      </c>
      <c r="C6" s="266" t="s">
        <v>15</v>
      </c>
      <c r="D6" s="266" t="s">
        <v>1922</v>
      </c>
      <c r="E6" s="266" t="s">
        <v>1931</v>
      </c>
      <c r="F6" s="266" t="s">
        <v>190</v>
      </c>
      <c r="G6" s="266" t="s">
        <v>1932</v>
      </c>
      <c r="H6" s="267" t="s">
        <v>1933</v>
      </c>
      <c r="I6" s="106" t="s">
        <v>1934</v>
      </c>
      <c r="J6" s="110" t="s">
        <v>1935</v>
      </c>
      <c r="K6" s="266" t="n">
        <v>41981</v>
      </c>
      <c r="L6" s="266" t="n">
        <v>9006</v>
      </c>
      <c r="M6" s="268" t="s">
        <v>1936</v>
      </c>
      <c r="N6" s="266" t="n">
        <v>18</v>
      </c>
      <c r="O6" s="266"/>
      <c r="P6" s="266" t="s">
        <v>1937</v>
      </c>
      <c r="Q6" s="266" t="s">
        <v>1938</v>
      </c>
      <c r="R6" s="266" t="s">
        <v>1939</v>
      </c>
    </row>
    <row r="7" customFormat="false" ht="139.5" hidden="false" customHeight="true" outlineLevel="0" collapsed="false">
      <c r="A7" s="266" t="n">
        <v>3</v>
      </c>
      <c r="B7" s="267" t="s">
        <v>1940</v>
      </c>
      <c r="C7" s="266" t="s">
        <v>1941</v>
      </c>
      <c r="D7" s="266" t="s">
        <v>1942</v>
      </c>
      <c r="E7" s="266" t="s">
        <v>1943</v>
      </c>
      <c r="F7" s="266" t="s">
        <v>1175</v>
      </c>
      <c r="G7" s="266" t="s">
        <v>17</v>
      </c>
      <c r="H7" s="267" t="s">
        <v>17</v>
      </c>
      <c r="I7" s="106" t="s">
        <v>1944</v>
      </c>
      <c r="J7" s="110" t="s">
        <v>1945</v>
      </c>
      <c r="K7" s="266" t="n">
        <v>49520</v>
      </c>
      <c r="L7" s="266" t="n">
        <v>1766</v>
      </c>
      <c r="M7" s="268" t="s">
        <v>1946</v>
      </c>
      <c r="N7" s="266" t="n">
        <v>90</v>
      </c>
      <c r="O7" s="266"/>
      <c r="P7" s="266" t="s">
        <v>1947</v>
      </c>
      <c r="Q7" s="266" t="s">
        <v>1928</v>
      </c>
      <c r="R7" s="266" t="s">
        <v>1948</v>
      </c>
    </row>
    <row r="8" customFormat="false" ht="195.75" hidden="false" customHeight="true" outlineLevel="0" collapsed="false">
      <c r="A8" s="266" t="n">
        <v>4</v>
      </c>
      <c r="B8" s="267" t="s">
        <v>1949</v>
      </c>
      <c r="C8" s="266" t="s">
        <v>108</v>
      </c>
      <c r="D8" s="266" t="s">
        <v>1922</v>
      </c>
      <c r="E8" s="266" t="s">
        <v>1950</v>
      </c>
      <c r="F8" s="266" t="s">
        <v>175</v>
      </c>
      <c r="G8" s="266" t="s">
        <v>1951</v>
      </c>
      <c r="H8" s="267" t="s">
        <v>1363</v>
      </c>
      <c r="I8" s="106" t="s">
        <v>1952</v>
      </c>
      <c r="J8" s="110" t="s">
        <v>1953</v>
      </c>
      <c r="K8" s="266" t="n">
        <v>9745</v>
      </c>
      <c r="L8" s="266" t="n">
        <v>2568</v>
      </c>
      <c r="M8" s="268" t="s">
        <v>1954</v>
      </c>
      <c r="N8" s="266" t="n">
        <v>11</v>
      </c>
      <c r="O8" s="266"/>
      <c r="P8" s="266" t="s">
        <v>1955</v>
      </c>
      <c r="Q8" s="266" t="s">
        <v>1956</v>
      </c>
      <c r="R8" s="266" t="s">
        <v>1957</v>
      </c>
    </row>
    <row r="9" customFormat="false" ht="168" hidden="false" customHeight="true" outlineLevel="0" collapsed="false">
      <c r="A9" s="266" t="n">
        <v>5</v>
      </c>
      <c r="B9" s="267" t="s">
        <v>1958</v>
      </c>
      <c r="C9" s="266" t="s">
        <v>1959</v>
      </c>
      <c r="D9" s="266" t="s">
        <v>1922</v>
      </c>
      <c r="E9" s="266" t="s">
        <v>1960</v>
      </c>
      <c r="F9" s="266" t="s">
        <v>190</v>
      </c>
      <c r="G9" s="266" t="s">
        <v>1961</v>
      </c>
      <c r="H9" s="267" t="s">
        <v>1962</v>
      </c>
      <c r="I9" s="106" t="s">
        <v>1963</v>
      </c>
      <c r="J9" s="110" t="s">
        <v>1964</v>
      </c>
      <c r="K9" s="266" t="n">
        <v>27250</v>
      </c>
      <c r="L9" s="266" t="n">
        <v>4868</v>
      </c>
      <c r="M9" s="268" t="s">
        <v>1965</v>
      </c>
      <c r="N9" s="266" t="n">
        <v>20</v>
      </c>
      <c r="O9" s="266"/>
      <c r="P9" s="266" t="s">
        <v>1966</v>
      </c>
      <c r="Q9" s="266" t="s">
        <v>1967</v>
      </c>
      <c r="R9" s="266" t="s">
        <v>1968</v>
      </c>
    </row>
    <row r="10" customFormat="false" ht="210" hidden="false" customHeight="true" outlineLevel="0" collapsed="false">
      <c r="A10" s="266" t="n">
        <v>6</v>
      </c>
      <c r="B10" s="267" t="s">
        <v>1969</v>
      </c>
      <c r="C10" s="266" t="s">
        <v>452</v>
      </c>
      <c r="D10" s="266" t="s">
        <v>1922</v>
      </c>
      <c r="E10" s="266" t="s">
        <v>1970</v>
      </c>
      <c r="F10" s="266" t="s">
        <v>175</v>
      </c>
      <c r="G10" s="266" t="s">
        <v>279</v>
      </c>
      <c r="H10" s="267" t="s">
        <v>870</v>
      </c>
      <c r="I10" s="106" t="s">
        <v>1971</v>
      </c>
      <c r="J10" s="110" t="s">
        <v>1972</v>
      </c>
      <c r="K10" s="266" t="n">
        <v>37953</v>
      </c>
      <c r="L10" s="266" t="n">
        <v>4727</v>
      </c>
      <c r="M10" s="268" t="s">
        <v>1973</v>
      </c>
      <c r="N10" s="266" t="n">
        <v>21</v>
      </c>
      <c r="O10" s="266"/>
      <c r="P10" s="266" t="s">
        <v>1974</v>
      </c>
      <c r="Q10" s="266" t="s">
        <v>1975</v>
      </c>
      <c r="R10" s="266" t="s">
        <v>1976</v>
      </c>
    </row>
    <row r="11" customFormat="false" ht="168" hidden="false" customHeight="true" outlineLevel="0" collapsed="false">
      <c r="A11" s="266" t="n">
        <v>7</v>
      </c>
      <c r="B11" s="267" t="s">
        <v>1977</v>
      </c>
      <c r="C11" s="266" t="s">
        <v>15</v>
      </c>
      <c r="D11" s="266" t="s">
        <v>1922</v>
      </c>
      <c r="E11" s="266" t="s">
        <v>1978</v>
      </c>
      <c r="F11" s="266" t="s">
        <v>190</v>
      </c>
      <c r="G11" s="266" t="s">
        <v>1979</v>
      </c>
      <c r="H11" s="267" t="s">
        <v>1980</v>
      </c>
      <c r="I11" s="106" t="s">
        <v>1981</v>
      </c>
      <c r="J11" s="110" t="s">
        <v>1982</v>
      </c>
      <c r="K11" s="266" t="n">
        <v>37891</v>
      </c>
      <c r="L11" s="266" t="n">
        <v>3900</v>
      </c>
      <c r="M11" s="268" t="s">
        <v>1983</v>
      </c>
      <c r="N11" s="266" t="n">
        <v>32</v>
      </c>
      <c r="O11" s="266"/>
      <c r="P11" s="266" t="s">
        <v>1984</v>
      </c>
      <c r="Q11" s="266" t="s">
        <v>1985</v>
      </c>
      <c r="R11" s="266" t="s">
        <v>1986</v>
      </c>
    </row>
    <row r="12" customFormat="false" ht="69.75" hidden="false" customHeight="true" outlineLevel="0" collapsed="false">
      <c r="A12" s="266" t="n">
        <v>8</v>
      </c>
      <c r="B12" s="267" t="s">
        <v>1987</v>
      </c>
      <c r="C12" s="266" t="s">
        <v>15</v>
      </c>
      <c r="D12" s="266" t="s">
        <v>1922</v>
      </c>
      <c r="E12" s="266" t="s">
        <v>1988</v>
      </c>
      <c r="F12" s="266" t="s">
        <v>175</v>
      </c>
      <c r="G12" s="266" t="s">
        <v>17</v>
      </c>
      <c r="H12" s="267" t="s">
        <v>1989</v>
      </c>
      <c r="I12" s="106" t="s">
        <v>1990</v>
      </c>
      <c r="J12" s="110" t="s">
        <v>1991</v>
      </c>
      <c r="K12" s="266" t="n">
        <v>86</v>
      </c>
      <c r="L12" s="266" t="n">
        <v>-245</v>
      </c>
      <c r="M12" s="268" t="s">
        <v>1992</v>
      </c>
      <c r="N12" s="266" t="n">
        <v>15</v>
      </c>
      <c r="O12" s="266"/>
      <c r="P12" s="266" t="s">
        <v>1993</v>
      </c>
      <c r="Q12" s="266" t="s">
        <v>1994</v>
      </c>
      <c r="R12" s="266" t="s">
        <v>1995</v>
      </c>
    </row>
    <row r="13" s="269" customFormat="true" ht="210" hidden="false" customHeight="true" outlineLevel="0" collapsed="false">
      <c r="A13" s="266" t="n">
        <v>9</v>
      </c>
      <c r="B13" s="267" t="s">
        <v>1996</v>
      </c>
      <c r="C13" s="266" t="s">
        <v>1997</v>
      </c>
      <c r="D13" s="266" t="s">
        <v>1922</v>
      </c>
      <c r="E13" s="266" t="s">
        <v>1998</v>
      </c>
      <c r="F13" s="266" t="s">
        <v>190</v>
      </c>
      <c r="G13" s="266" t="s">
        <v>1999</v>
      </c>
      <c r="H13" s="267" t="s">
        <v>2000</v>
      </c>
      <c r="I13" s="106" t="s">
        <v>2001</v>
      </c>
      <c r="J13" s="110" t="s">
        <v>2002</v>
      </c>
      <c r="K13" s="266" t="n">
        <v>420</v>
      </c>
      <c r="L13" s="266" t="s">
        <v>2003</v>
      </c>
      <c r="M13" s="268" t="s">
        <v>2004</v>
      </c>
      <c r="N13" s="266" t="n">
        <v>269</v>
      </c>
      <c r="O13" s="266"/>
      <c r="P13" s="266" t="s">
        <v>2005</v>
      </c>
      <c r="Q13" s="266" t="s">
        <v>2006</v>
      </c>
      <c r="R13" s="266" t="s">
        <v>2007</v>
      </c>
    </row>
    <row r="14" customFormat="false" ht="69.75" hidden="false" customHeight="true" outlineLevel="0" collapsed="false">
      <c r="A14" s="266" t="n">
        <v>10</v>
      </c>
      <c r="B14" s="267" t="s">
        <v>2008</v>
      </c>
      <c r="C14" s="266" t="s">
        <v>1997</v>
      </c>
      <c r="D14" s="266" t="s">
        <v>1922</v>
      </c>
      <c r="E14" s="266" t="s">
        <v>2009</v>
      </c>
      <c r="F14" s="266" t="s">
        <v>175</v>
      </c>
      <c r="G14" s="266" t="s">
        <v>2010</v>
      </c>
      <c r="H14" s="267" t="s">
        <v>2011</v>
      </c>
      <c r="I14" s="106" t="s">
        <v>2012</v>
      </c>
      <c r="J14" s="110" t="s">
        <v>2013</v>
      </c>
      <c r="K14" s="266" t="s">
        <v>2014</v>
      </c>
      <c r="L14" s="266" t="s">
        <v>2015</v>
      </c>
      <c r="M14" s="268" t="s">
        <v>2016</v>
      </c>
      <c r="N14" s="266" t="n">
        <v>37</v>
      </c>
      <c r="O14" s="266"/>
      <c r="P14" s="266" t="s">
        <v>2017</v>
      </c>
      <c r="Q14" s="266" t="s">
        <v>2018</v>
      </c>
      <c r="R14" s="266" t="s">
        <v>2019</v>
      </c>
    </row>
    <row r="15" customFormat="false" ht="181.5" hidden="false" customHeight="true" outlineLevel="0" collapsed="false">
      <c r="A15" s="266" t="n">
        <v>11</v>
      </c>
      <c r="B15" s="267" t="s">
        <v>2020</v>
      </c>
      <c r="C15" s="266" t="s">
        <v>1997</v>
      </c>
      <c r="D15" s="266" t="s">
        <v>1922</v>
      </c>
      <c r="E15" s="266" t="s">
        <v>2021</v>
      </c>
      <c r="F15" s="266" t="s">
        <v>175</v>
      </c>
      <c r="G15" s="266" t="s">
        <v>2022</v>
      </c>
      <c r="H15" s="267" t="s">
        <v>2023</v>
      </c>
      <c r="I15" s="106" t="s">
        <v>2024</v>
      </c>
      <c r="J15" s="110" t="s">
        <v>2025</v>
      </c>
      <c r="K15" s="266" t="n">
        <v>531</v>
      </c>
      <c r="L15" s="266" t="s">
        <v>2003</v>
      </c>
      <c r="M15" s="268" t="s">
        <v>2026</v>
      </c>
      <c r="N15" s="266" t="n">
        <v>163</v>
      </c>
      <c r="O15" s="266" t="s">
        <v>2027</v>
      </c>
      <c r="P15" s="266" t="s">
        <v>2028</v>
      </c>
      <c r="Q15" s="266" t="s">
        <v>2029</v>
      </c>
      <c r="R15" s="266" t="s">
        <v>2030</v>
      </c>
    </row>
    <row r="16" customFormat="false" ht="210" hidden="false" customHeight="true" outlineLevel="0" collapsed="false">
      <c r="A16" s="266" t="n">
        <v>12</v>
      </c>
      <c r="B16" s="267" t="s">
        <v>2031</v>
      </c>
      <c r="C16" s="266" t="s">
        <v>452</v>
      </c>
      <c r="D16" s="266" t="s">
        <v>1922</v>
      </c>
      <c r="E16" s="266" t="s">
        <v>2032</v>
      </c>
      <c r="F16" s="266" t="s">
        <v>175</v>
      </c>
      <c r="G16" s="266" t="s">
        <v>279</v>
      </c>
      <c r="H16" s="267" t="s">
        <v>2033</v>
      </c>
      <c r="I16" s="106" t="s">
        <v>2034</v>
      </c>
      <c r="J16" s="110" t="s">
        <v>2035</v>
      </c>
      <c r="K16" s="266" t="n">
        <v>26900</v>
      </c>
      <c r="L16" s="266" t="n">
        <v>2100</v>
      </c>
      <c r="M16" s="268" t="s">
        <v>2036</v>
      </c>
      <c r="N16" s="266" t="s">
        <v>2003</v>
      </c>
      <c r="O16" s="266" t="s">
        <v>2037</v>
      </c>
      <c r="P16" s="266" t="s">
        <v>2038</v>
      </c>
      <c r="Q16" s="266" t="s">
        <v>2039</v>
      </c>
      <c r="R16" s="266" t="s">
        <v>2040</v>
      </c>
    </row>
    <row r="17" customFormat="false" ht="111.75" hidden="false" customHeight="true" outlineLevel="0" collapsed="false">
      <c r="A17" s="266" t="n">
        <v>13</v>
      </c>
      <c r="B17" s="267" t="s">
        <v>2041</v>
      </c>
      <c r="C17" s="266" t="s">
        <v>1941</v>
      </c>
      <c r="D17" s="266" t="s">
        <v>2042</v>
      </c>
      <c r="E17" s="266" t="s">
        <v>2043</v>
      </c>
      <c r="F17" s="266" t="s">
        <v>1175</v>
      </c>
      <c r="G17" s="266" t="s">
        <v>17</v>
      </c>
      <c r="H17" s="267" t="s">
        <v>17</v>
      </c>
      <c r="I17" s="106" t="s">
        <v>2044</v>
      </c>
      <c r="J17" s="110" t="s">
        <v>2045</v>
      </c>
      <c r="K17" s="270" t="n">
        <v>115425</v>
      </c>
      <c r="L17" s="270" t="n">
        <v>9797</v>
      </c>
      <c r="M17" s="268" t="s">
        <v>2046</v>
      </c>
      <c r="N17" s="266" t="s">
        <v>2003</v>
      </c>
      <c r="O17" s="266" t="s">
        <v>2047</v>
      </c>
      <c r="P17" s="266" t="s">
        <v>2048</v>
      </c>
      <c r="Q17" s="266" t="s">
        <v>2049</v>
      </c>
      <c r="R17" s="266" t="s">
        <v>2049</v>
      </c>
    </row>
    <row r="18" customFormat="false" ht="97.5" hidden="false" customHeight="true" outlineLevel="0" collapsed="false">
      <c r="A18" s="266" t="n">
        <v>14</v>
      </c>
      <c r="B18" s="267" t="s">
        <v>2050</v>
      </c>
      <c r="C18" s="266" t="s">
        <v>1959</v>
      </c>
      <c r="D18" s="266" t="s">
        <v>2042</v>
      </c>
      <c r="E18" s="266" t="s">
        <v>2051</v>
      </c>
      <c r="F18" s="266" t="s">
        <v>175</v>
      </c>
      <c r="G18" s="266" t="s">
        <v>2052</v>
      </c>
      <c r="H18" s="267" t="s">
        <v>2053</v>
      </c>
      <c r="I18" s="106" t="s">
        <v>2054</v>
      </c>
      <c r="J18" s="110" t="s">
        <v>2055</v>
      </c>
      <c r="K18" s="266" t="n">
        <v>15226</v>
      </c>
      <c r="L18" s="266" t="n">
        <v>1026</v>
      </c>
      <c r="M18" s="268" t="s">
        <v>2056</v>
      </c>
      <c r="N18" s="266" t="s">
        <v>2003</v>
      </c>
      <c r="O18" s="266"/>
      <c r="P18" s="266" t="s">
        <v>2057</v>
      </c>
      <c r="Q18" s="266" t="s">
        <v>2058</v>
      </c>
      <c r="R18" s="266" t="s">
        <v>2059</v>
      </c>
    </row>
    <row r="19" customFormat="false" ht="111.75" hidden="false" customHeight="true" outlineLevel="0" collapsed="false">
      <c r="A19" s="266" t="n">
        <v>15</v>
      </c>
      <c r="B19" s="267" t="s">
        <v>2060</v>
      </c>
      <c r="C19" s="266" t="s">
        <v>1959</v>
      </c>
      <c r="D19" s="266" t="s">
        <v>2042</v>
      </c>
      <c r="E19" s="266" t="s">
        <v>2061</v>
      </c>
      <c r="F19" s="266" t="s">
        <v>190</v>
      </c>
      <c r="G19" s="266" t="s">
        <v>2062</v>
      </c>
      <c r="H19" s="267" t="s">
        <v>2063</v>
      </c>
      <c r="I19" s="106" t="s">
        <v>2064</v>
      </c>
      <c r="J19" s="110" t="s">
        <v>2065</v>
      </c>
      <c r="K19" s="266" t="n">
        <v>21900</v>
      </c>
      <c r="L19" s="266" t="n">
        <v>1700</v>
      </c>
      <c r="M19" s="268" t="s">
        <v>2066</v>
      </c>
      <c r="N19" s="266" t="s">
        <v>2003</v>
      </c>
      <c r="O19" s="266" t="s">
        <v>2067</v>
      </c>
      <c r="P19" s="266" t="s">
        <v>2068</v>
      </c>
      <c r="Q19" s="266" t="s">
        <v>2069</v>
      </c>
      <c r="R19" s="266" t="s">
        <v>2069</v>
      </c>
    </row>
    <row r="20" customFormat="false" ht="126" hidden="false" customHeight="true" outlineLevel="0" collapsed="false">
      <c r="A20" s="266" t="n">
        <v>16</v>
      </c>
      <c r="B20" s="267" t="s">
        <v>2070</v>
      </c>
      <c r="C20" s="266" t="s">
        <v>452</v>
      </c>
      <c r="D20" s="266" t="s">
        <v>2042</v>
      </c>
      <c r="E20" s="266" t="s">
        <v>2071</v>
      </c>
      <c r="F20" s="266" t="s">
        <v>1175</v>
      </c>
      <c r="G20" s="266" t="s">
        <v>17</v>
      </c>
      <c r="H20" s="267" t="s">
        <v>17</v>
      </c>
      <c r="I20" s="106" t="s">
        <v>2072</v>
      </c>
      <c r="J20" s="110" t="s">
        <v>2073</v>
      </c>
      <c r="K20" s="266" t="s">
        <v>2074</v>
      </c>
      <c r="L20" s="266" t="s">
        <v>2003</v>
      </c>
      <c r="M20" s="110" t="s">
        <v>2075</v>
      </c>
      <c r="N20" s="266" t="s">
        <v>2003</v>
      </c>
      <c r="O20" s="266" t="s">
        <v>2076</v>
      </c>
      <c r="P20" s="266" t="s">
        <v>2077</v>
      </c>
      <c r="Q20" s="266" t="s">
        <v>2078</v>
      </c>
      <c r="R20" s="266" t="s">
        <v>2078</v>
      </c>
    </row>
    <row r="21" customFormat="false" ht="111.75" hidden="false" customHeight="true" outlineLevel="0" collapsed="false">
      <c r="A21" s="266" t="n">
        <v>17</v>
      </c>
      <c r="B21" s="267" t="s">
        <v>2079</v>
      </c>
      <c r="C21" s="266" t="s">
        <v>15</v>
      </c>
      <c r="D21" s="266" t="s">
        <v>2042</v>
      </c>
      <c r="E21" s="266" t="s">
        <v>2080</v>
      </c>
      <c r="F21" s="266" t="s">
        <v>1175</v>
      </c>
      <c r="G21" s="266" t="s">
        <v>17</v>
      </c>
      <c r="H21" s="267" t="s">
        <v>17</v>
      </c>
      <c r="I21" s="106" t="s">
        <v>2081</v>
      </c>
      <c r="J21" s="110" t="s">
        <v>2082</v>
      </c>
      <c r="K21" s="266" t="s">
        <v>2083</v>
      </c>
      <c r="L21" s="266" t="s">
        <v>2084</v>
      </c>
      <c r="M21" s="268" t="s">
        <v>2085</v>
      </c>
      <c r="N21" s="266" t="s">
        <v>2003</v>
      </c>
      <c r="O21" s="266"/>
      <c r="P21" s="266" t="s">
        <v>2086</v>
      </c>
      <c r="Q21" s="266" t="s">
        <v>2087</v>
      </c>
      <c r="R21" s="266" t="s">
        <v>1994</v>
      </c>
    </row>
    <row r="22" customFormat="false" ht="111.75" hidden="false" customHeight="true" outlineLevel="0" collapsed="false">
      <c r="A22" s="266" t="n">
        <v>18</v>
      </c>
      <c r="B22" s="267" t="s">
        <v>2088</v>
      </c>
      <c r="C22" s="266" t="s">
        <v>452</v>
      </c>
      <c r="D22" s="266" t="s">
        <v>2042</v>
      </c>
      <c r="E22" s="266" t="s">
        <v>2089</v>
      </c>
      <c r="F22" s="266" t="s">
        <v>1175</v>
      </c>
      <c r="G22" s="266" t="s">
        <v>17</v>
      </c>
      <c r="H22" s="267" t="s">
        <v>17</v>
      </c>
      <c r="I22" s="106" t="s">
        <v>2090</v>
      </c>
      <c r="J22" s="110" t="s">
        <v>2091</v>
      </c>
      <c r="K22" s="266" t="s">
        <v>2092</v>
      </c>
      <c r="L22" s="266" t="s">
        <v>2093</v>
      </c>
      <c r="M22" s="271" t="s">
        <v>2094</v>
      </c>
      <c r="N22" s="266" t="s">
        <v>2003</v>
      </c>
      <c r="O22" s="266" t="s">
        <v>2095</v>
      </c>
      <c r="P22" s="266" t="s">
        <v>2096</v>
      </c>
      <c r="Q22" s="266" t="s">
        <v>2097</v>
      </c>
      <c r="R22" s="266" t="s">
        <v>1994</v>
      </c>
    </row>
    <row r="23" customFormat="false" ht="168" hidden="false" customHeight="true" outlineLevel="0" collapsed="false">
      <c r="A23" s="266" t="n">
        <v>19</v>
      </c>
      <c r="B23" s="267" t="s">
        <v>2098</v>
      </c>
      <c r="C23" s="266" t="s">
        <v>15</v>
      </c>
      <c r="D23" s="266" t="s">
        <v>1922</v>
      </c>
      <c r="E23" s="266" t="s">
        <v>2099</v>
      </c>
      <c r="F23" s="266" t="s">
        <v>175</v>
      </c>
      <c r="G23" s="266" t="s">
        <v>2100</v>
      </c>
      <c r="H23" s="267" t="s">
        <v>1363</v>
      </c>
      <c r="I23" s="106" t="s">
        <v>2101</v>
      </c>
      <c r="J23" s="110" t="s">
        <v>2102</v>
      </c>
      <c r="K23" s="272" t="s">
        <v>2103</v>
      </c>
      <c r="L23" s="272" t="s">
        <v>2104</v>
      </c>
      <c r="M23" s="268" t="s">
        <v>2105</v>
      </c>
      <c r="N23" s="266" t="n">
        <v>9</v>
      </c>
      <c r="O23" s="266" t="s">
        <v>2106</v>
      </c>
      <c r="P23" s="266" t="s">
        <v>2107</v>
      </c>
      <c r="Q23" s="266" t="s">
        <v>2108</v>
      </c>
      <c r="R23" s="266" t="s">
        <v>2109</v>
      </c>
    </row>
    <row r="24" customFormat="false" ht="210" hidden="false" customHeight="true" outlineLevel="0" collapsed="false">
      <c r="A24" s="266" t="n">
        <v>20</v>
      </c>
      <c r="B24" s="267" t="s">
        <v>2110</v>
      </c>
      <c r="C24" s="266" t="s">
        <v>15</v>
      </c>
      <c r="D24" s="266" t="s">
        <v>1922</v>
      </c>
      <c r="E24" s="266" t="s">
        <v>2111</v>
      </c>
      <c r="F24" s="266" t="s">
        <v>175</v>
      </c>
      <c r="G24" s="266" t="s">
        <v>1961</v>
      </c>
      <c r="H24" s="267" t="s">
        <v>2112</v>
      </c>
      <c r="I24" s="106" t="s">
        <v>2113</v>
      </c>
      <c r="J24" s="110" t="s">
        <v>2114</v>
      </c>
      <c r="K24" s="266" t="s">
        <v>2115</v>
      </c>
      <c r="L24" s="266" t="s">
        <v>2116</v>
      </c>
      <c r="M24" s="268" t="s">
        <v>2117</v>
      </c>
      <c r="N24" s="266" t="n">
        <v>47</v>
      </c>
      <c r="O24" s="266" t="s">
        <v>2118</v>
      </c>
      <c r="P24" s="266" t="s">
        <v>1966</v>
      </c>
      <c r="Q24" s="266" t="s">
        <v>1967</v>
      </c>
      <c r="R24" s="266" t="s">
        <v>1968</v>
      </c>
    </row>
    <row r="25" customFormat="false" ht="13.5" hidden="false" customHeight="true" outlineLevel="0" collapsed="false">
      <c r="A25" s="188" t="s">
        <v>2119</v>
      </c>
      <c r="B25" s="273"/>
      <c r="C25" s="273"/>
      <c r="D25" s="273"/>
      <c r="E25" s="273"/>
      <c r="F25" s="273"/>
      <c r="G25" s="273"/>
      <c r="H25" s="274"/>
      <c r="I25" s="175"/>
      <c r="J25" s="118"/>
      <c r="K25" s="273"/>
      <c r="L25" s="273"/>
      <c r="M25" s="275"/>
      <c r="N25" s="273"/>
      <c r="O25" s="273"/>
      <c r="P25" s="273"/>
      <c r="Q25" s="273"/>
      <c r="R25" s="273"/>
    </row>
    <row r="26" customFormat="false" ht="13.5" hidden="false" customHeight="true" outlineLevel="0" collapsed="false">
      <c r="A26" s="273"/>
      <c r="B26" s="274"/>
      <c r="C26" s="273"/>
      <c r="D26" s="273"/>
      <c r="E26" s="273"/>
      <c r="F26" s="273"/>
      <c r="G26" s="273"/>
      <c r="H26" s="274"/>
      <c r="I26" s="175"/>
      <c r="J26" s="118"/>
      <c r="K26" s="273"/>
      <c r="L26" s="273"/>
      <c r="M26" s="275"/>
      <c r="N26" s="273"/>
      <c r="O26" s="273"/>
      <c r="P26" s="273"/>
      <c r="Q26" s="273"/>
      <c r="R26" s="273"/>
    </row>
    <row r="27" customFormat="false" ht="126" hidden="false" customHeight="true" outlineLevel="0" collapsed="false">
      <c r="A27" s="266" t="n">
        <v>21</v>
      </c>
      <c r="B27" s="266" t="s">
        <v>2120</v>
      </c>
      <c r="C27" s="266" t="s">
        <v>452</v>
      </c>
      <c r="D27" s="266" t="s">
        <v>2042</v>
      </c>
      <c r="E27" s="266" t="s">
        <v>2043</v>
      </c>
      <c r="F27" s="266" t="s">
        <v>202</v>
      </c>
      <c r="G27" s="266" t="s">
        <v>2121</v>
      </c>
      <c r="H27" s="267" t="s">
        <v>2112</v>
      </c>
      <c r="I27" s="106" t="s">
        <v>2122</v>
      </c>
      <c r="J27" s="110" t="s">
        <v>2123</v>
      </c>
      <c r="K27" s="266" t="n">
        <v>576</v>
      </c>
      <c r="L27" s="266" t="s">
        <v>2003</v>
      </c>
      <c r="M27" s="268" t="s">
        <v>2124</v>
      </c>
      <c r="N27" s="266" t="n">
        <v>39</v>
      </c>
      <c r="O27" s="266" t="s">
        <v>2125</v>
      </c>
      <c r="P27" s="266" t="s">
        <v>2048</v>
      </c>
      <c r="Q27" s="266" t="s">
        <v>2049</v>
      </c>
      <c r="R27" s="266" t="s">
        <v>2126</v>
      </c>
    </row>
    <row r="28" customFormat="false" ht="111.75" hidden="false" customHeight="true" outlineLevel="0" collapsed="false">
      <c r="A28" s="266" t="n">
        <f aca="false">A27+1</f>
        <v>22</v>
      </c>
      <c r="B28" s="266" t="s">
        <v>2127</v>
      </c>
      <c r="C28" s="266" t="s">
        <v>17</v>
      </c>
      <c r="D28" s="266" t="s">
        <v>17</v>
      </c>
      <c r="E28" s="266" t="s">
        <v>2128</v>
      </c>
      <c r="F28" s="106" t="s">
        <v>1175</v>
      </c>
      <c r="G28" s="266" t="s">
        <v>17</v>
      </c>
      <c r="H28" s="267" t="s">
        <v>17</v>
      </c>
      <c r="I28" s="106" t="s">
        <v>2129</v>
      </c>
      <c r="J28" s="110" t="s">
        <v>2130</v>
      </c>
      <c r="K28" s="266" t="n">
        <v>22000</v>
      </c>
      <c r="L28" s="266" t="n">
        <v>6800</v>
      </c>
      <c r="M28" s="268" t="s">
        <v>2131</v>
      </c>
      <c r="N28" s="266" t="s">
        <v>2003</v>
      </c>
      <c r="O28" s="266"/>
      <c r="P28" s="266" t="s">
        <v>2132</v>
      </c>
      <c r="Q28" s="266" t="s">
        <v>2133</v>
      </c>
      <c r="R28" s="266" t="s">
        <v>1994</v>
      </c>
    </row>
    <row r="29" customFormat="false" ht="97.5" hidden="false" customHeight="true" outlineLevel="0" collapsed="false">
      <c r="A29" s="266" t="n">
        <f aca="false">A28+1</f>
        <v>23</v>
      </c>
      <c r="B29" s="266" t="s">
        <v>2134</v>
      </c>
      <c r="C29" s="266" t="s">
        <v>2135</v>
      </c>
      <c r="D29" s="266" t="s">
        <v>2042</v>
      </c>
      <c r="E29" s="266" t="s">
        <v>2136</v>
      </c>
      <c r="F29" s="266" t="s">
        <v>175</v>
      </c>
      <c r="G29" s="266" t="s">
        <v>17</v>
      </c>
      <c r="H29" s="267" t="s">
        <v>2011</v>
      </c>
      <c r="I29" s="106" t="s">
        <v>2137</v>
      </c>
      <c r="J29" s="110" t="s">
        <v>2138</v>
      </c>
      <c r="K29" s="266" t="s">
        <v>2139</v>
      </c>
      <c r="L29" s="266" t="n">
        <v>960</v>
      </c>
      <c r="M29" s="268" t="s">
        <v>2140</v>
      </c>
      <c r="N29" s="266" t="s">
        <v>2003</v>
      </c>
      <c r="O29" s="266" t="s">
        <v>2141</v>
      </c>
      <c r="P29" s="266" t="s">
        <v>1994</v>
      </c>
      <c r="Q29" s="266" t="s">
        <v>2142</v>
      </c>
      <c r="R29" s="266" t="s">
        <v>2143</v>
      </c>
    </row>
    <row r="30" customFormat="false" ht="111.75" hidden="false" customHeight="true" outlineLevel="0" collapsed="false">
      <c r="A30" s="266" t="n">
        <f aca="false">A29+1</f>
        <v>24</v>
      </c>
      <c r="B30" s="266" t="s">
        <v>2144</v>
      </c>
      <c r="C30" s="266" t="s">
        <v>2145</v>
      </c>
      <c r="D30" s="266" t="s">
        <v>2146</v>
      </c>
      <c r="E30" s="266" t="s">
        <v>2147</v>
      </c>
      <c r="F30" s="266" t="s">
        <v>175</v>
      </c>
      <c r="G30" s="266" t="s">
        <v>279</v>
      </c>
      <c r="H30" s="267" t="s">
        <v>2033</v>
      </c>
      <c r="I30" s="106" t="s">
        <v>2148</v>
      </c>
      <c r="J30" s="110" t="s">
        <v>2149</v>
      </c>
      <c r="K30" s="276" t="n">
        <v>98283</v>
      </c>
      <c r="L30" s="276" t="n">
        <v>10645</v>
      </c>
      <c r="M30" s="268" t="s">
        <v>2150</v>
      </c>
      <c r="N30" s="266" t="n">
        <v>54</v>
      </c>
      <c r="O30" s="266"/>
      <c r="P30" s="266" t="s">
        <v>2151</v>
      </c>
      <c r="Q30" s="266" t="s">
        <v>2152</v>
      </c>
      <c r="R30" s="266" t="s">
        <v>2153</v>
      </c>
    </row>
    <row r="31" customFormat="false" ht="97.5" hidden="false" customHeight="true" outlineLevel="0" collapsed="false">
      <c r="A31" s="266" t="n">
        <f aca="false">A30+1</f>
        <v>25</v>
      </c>
      <c r="B31" s="266" t="s">
        <v>2154</v>
      </c>
      <c r="C31" s="266" t="s">
        <v>15</v>
      </c>
      <c r="D31" s="266" t="s">
        <v>1942</v>
      </c>
      <c r="E31" s="266" t="s">
        <v>2155</v>
      </c>
      <c r="F31" s="266" t="s">
        <v>190</v>
      </c>
      <c r="G31" s="266" t="s">
        <v>2156</v>
      </c>
      <c r="H31" s="267" t="s">
        <v>2157</v>
      </c>
      <c r="I31" s="106" t="s">
        <v>2158</v>
      </c>
      <c r="J31" s="110" t="s">
        <v>2159</v>
      </c>
      <c r="K31" s="266" t="n">
        <v>11080</v>
      </c>
      <c r="L31" s="266" t="n">
        <v>4119</v>
      </c>
      <c r="M31" s="268" t="s">
        <v>2160</v>
      </c>
      <c r="N31" s="266" t="n">
        <v>249</v>
      </c>
      <c r="O31" s="266"/>
      <c r="P31" s="266" t="s">
        <v>2161</v>
      </c>
      <c r="Q31" s="266" t="s">
        <v>2161</v>
      </c>
      <c r="R31" s="266" t="s">
        <v>2162</v>
      </c>
    </row>
    <row r="32" customFormat="false" ht="84" hidden="false" customHeight="true" outlineLevel="0" collapsed="false">
      <c r="A32" s="266" t="n">
        <f aca="false">A31+1</f>
        <v>26</v>
      </c>
      <c r="B32" s="266" t="s">
        <v>2163</v>
      </c>
      <c r="C32" s="266" t="s">
        <v>2145</v>
      </c>
      <c r="D32" s="266" t="s">
        <v>2164</v>
      </c>
      <c r="E32" s="266" t="s">
        <v>2165</v>
      </c>
      <c r="F32" s="106" t="s">
        <v>1175</v>
      </c>
      <c r="G32" s="266" t="s">
        <v>17</v>
      </c>
      <c r="H32" s="267" t="s">
        <v>17</v>
      </c>
      <c r="I32" s="106" t="s">
        <v>2166</v>
      </c>
      <c r="J32" s="110" t="s">
        <v>2167</v>
      </c>
      <c r="K32" s="277" t="n">
        <v>136518</v>
      </c>
      <c r="L32" s="277" t="n">
        <v>20555</v>
      </c>
      <c r="M32" s="268" t="s">
        <v>2168</v>
      </c>
      <c r="N32" s="266" t="s">
        <v>2003</v>
      </c>
      <c r="O32" s="266"/>
      <c r="P32" s="266" t="s">
        <v>2165</v>
      </c>
      <c r="Q32" s="266" t="s">
        <v>2169</v>
      </c>
      <c r="R32" s="266" t="s">
        <v>2170</v>
      </c>
    </row>
    <row r="33" customFormat="false" ht="69.75" hidden="false" customHeight="true" outlineLevel="0" collapsed="false">
      <c r="A33" s="266" t="n">
        <f aca="false">A32+1</f>
        <v>27</v>
      </c>
      <c r="B33" s="266" t="s">
        <v>2171</v>
      </c>
      <c r="C33" s="266" t="s">
        <v>68</v>
      </c>
      <c r="D33" s="266" t="s">
        <v>2172</v>
      </c>
      <c r="E33" s="266" t="s">
        <v>2173</v>
      </c>
      <c r="F33" s="266" t="s">
        <v>175</v>
      </c>
      <c r="G33" s="266" t="s">
        <v>279</v>
      </c>
      <c r="H33" s="267" t="s">
        <v>2033</v>
      </c>
      <c r="I33" s="106" t="s">
        <v>2174</v>
      </c>
      <c r="J33" s="110" t="s">
        <v>2175</v>
      </c>
      <c r="K33" s="270" t="n">
        <v>19602</v>
      </c>
      <c r="L33" s="270" t="n">
        <v>9352</v>
      </c>
      <c r="M33" s="268" t="s">
        <v>2176</v>
      </c>
      <c r="N33" s="266" t="n">
        <v>18</v>
      </c>
      <c r="O33" s="266"/>
      <c r="P33" s="266" t="s">
        <v>2177</v>
      </c>
      <c r="Q33" s="266" t="s">
        <v>2178</v>
      </c>
      <c r="R33" s="266" t="s">
        <v>2040</v>
      </c>
    </row>
    <row r="34" customFormat="false" ht="69.75" hidden="false" customHeight="true" outlineLevel="0" collapsed="false">
      <c r="A34" s="266" t="n">
        <f aca="false">A33+1</f>
        <v>28</v>
      </c>
      <c r="B34" s="266" t="s">
        <v>2179</v>
      </c>
      <c r="C34" s="266" t="s">
        <v>2145</v>
      </c>
      <c r="D34" s="266" t="s">
        <v>2180</v>
      </c>
      <c r="E34" s="266" t="s">
        <v>2181</v>
      </c>
      <c r="F34" s="266" t="s">
        <v>175</v>
      </c>
      <c r="G34" s="266" t="s">
        <v>2182</v>
      </c>
      <c r="H34" s="267" t="s">
        <v>2011</v>
      </c>
      <c r="I34" s="106" t="s">
        <v>2183</v>
      </c>
      <c r="J34" s="110" t="s">
        <v>2184</v>
      </c>
      <c r="K34" s="278" t="n">
        <v>17069</v>
      </c>
      <c r="L34" s="278" t="n">
        <v>3923</v>
      </c>
      <c r="M34" s="268" t="s">
        <v>2185</v>
      </c>
      <c r="N34" s="266" t="n">
        <v>1</v>
      </c>
      <c r="O34" s="266"/>
      <c r="P34" s="266" t="s">
        <v>2181</v>
      </c>
      <c r="Q34" s="266" t="s">
        <v>2186</v>
      </c>
      <c r="R34" s="266" t="s">
        <v>2187</v>
      </c>
    </row>
    <row r="35" customFormat="false" ht="13.5" hidden="false" customHeight="true" outlineLevel="0" collapsed="false">
      <c r="J35" s="279"/>
    </row>
    <row r="36" customFormat="false" ht="13.5" hidden="false" customHeight="true" outlineLevel="0" collapsed="false">
      <c r="J36" s="279"/>
    </row>
    <row r="37" customFormat="false" ht="13.5" hidden="false" customHeight="true" outlineLevel="0" collapsed="false">
      <c r="J37" s="279"/>
    </row>
    <row r="38" customFormat="false" ht="13.5" hidden="false" customHeight="true" outlineLevel="0" collapsed="false">
      <c r="J38" s="279"/>
    </row>
    <row r="39" customFormat="false" ht="13.5" hidden="false" customHeight="true" outlineLevel="0" collapsed="false">
      <c r="J39" s="279"/>
    </row>
    <row r="40" customFormat="false" ht="13.5" hidden="false" customHeight="true" outlineLevel="0" collapsed="false">
      <c r="J40" s="279"/>
    </row>
    <row r="41" customFormat="false" ht="13.5" hidden="false" customHeight="true" outlineLevel="0" collapsed="false">
      <c r="J41" s="279"/>
    </row>
    <row r="42" customFormat="false" ht="13.5" hidden="false" customHeight="true" outlineLevel="0" collapsed="false">
      <c r="J42" s="279"/>
    </row>
    <row r="43" customFormat="false" ht="13.5" hidden="false" customHeight="true" outlineLevel="0" collapsed="false">
      <c r="J43" s="279"/>
    </row>
    <row r="44" customFormat="false" ht="13.5" hidden="false" customHeight="true" outlineLevel="0" collapsed="false">
      <c r="J44" s="279"/>
    </row>
    <row r="45" customFormat="false" ht="13.5" hidden="false" customHeight="true" outlineLevel="0" collapsed="false">
      <c r="J45" s="279"/>
    </row>
    <row r="46" customFormat="false" ht="13.5" hidden="false" customHeight="true" outlineLevel="0" collapsed="false">
      <c r="J46" s="279"/>
    </row>
    <row r="47" customFormat="false" ht="13.5" hidden="false" customHeight="true" outlineLevel="0" collapsed="false">
      <c r="J47" s="279"/>
    </row>
    <row r="48" customFormat="false" ht="13.5" hidden="false" customHeight="true" outlineLevel="0" collapsed="false">
      <c r="J48" s="279"/>
    </row>
  </sheetData>
  <autoFilter ref="A4:R4"/>
  <mergeCells count="2">
    <mergeCell ref="A2:E2"/>
    <mergeCell ref="F3:H3"/>
  </mergeCells>
  <hyperlinks>
    <hyperlink ref="J5" r:id="rId1" display="https://thesharpdaily.com/the-sanlam-jubilee-deal/&#10;&#10;https://www.moneycontrol.com/news/business/markets/sanlam-invests-rs-105-crore-in-shriram-amc-to-become-co-promoter-shares-surge-up-to-10-percent-13048512.html&#10;&#10;https://timesofindia.indiatimes.com/business/india-business/sas-sanlam-to-hike-stake-in-shrirams-insurance-companies/articleshow/109075102.cms&#10;https://businessnewsweek.in/business/sanlam-enters-indian-asset-management-market-with-strategic-investment-in-shriram-amc/&#10;&#10;https://theinvestigatornews.com/2025/10/the-mega-merger-insurance-giants-sanlam-and-allianz-officially-unveils-launches-sanlamallianz-brand-in-uganda/&#10;&#10;https://senspdf.jse.co.za/documents/SENS_20260305_S518047.pdf&#10;&#10;https://www.marketscreener.com/news/sanlam-ltd-appoints-theo-mabaso-as-group-chief-ai-officer-ce7e5ed2d08df327&#10;&#10;https://www.sanlamonline.co.za/knowledge-hub/sanlam-2025-interim-results"/>
    <hyperlink ref="M5" r:id="rId2" display="https://eyindia.sharepoint.com/:b:/r/sites/InsuranceResearch/Shared%20Documents/Insurance%20Research/Top%2020%20Africa/Sanlam-AFS-2025-spreads.pdf?csf=1&amp;web=1&amp;e=QsxXiv"/>
    <hyperlink ref="J6" r:id="rId3" display="https://www.moonstone.co.za/old-mutual-earnings-rise-as-insurance-investments-and-africa-drive-results/&#10;&#10;https://www.oldmutual.com/investor-relations/2025-annual-results/&#10;&#10;https://www.comptrib.co.za/info-library/press-room/merger-alert-old-mutual-life-assurance-company-south-africa-ltd-and-guardrisk-life-ltd-rights-and-obligations-pertaining-to-life-insurance-annuity-policy&#10;&#10;https://www.oldmutual.co.za/news/old-mutual-harnesses-ai-to-transform-customer-experience-in-the-south-african-mass-market/&#10;&#10;https://www.financialafrik.com/en/2026/03/23/old-mutual-enters-the-south-african-banking-market/"/>
    <hyperlink ref="M6" r:id="rId4" display="https://eyindia.sharepoint.com/:b:/r/sites/InsuranceResearch/Shared%20Documents/Insurance%20Research/Top%2020%20Africa/OMLACSA_Financial_Statements_for_the_year_ended_31_December_2025.pdf?csf=1&amp;web=1&amp;e=WmoLoF"/>
    <hyperlink ref="J7" r:id="rId5" display="https://neweralive.na/sanlamallianz-expands-insurance-and-financial-services-across-africa/&#10;&#10;https://www.sanlam.com/pdf/media-releases/2025/sanlam-strategy-16102025.pdf&#10;&#10;https://disruptafrica.com/2025/06/19/global-continental-insurance-powerhouses-sanlam-and-allianz-merge-to-enhance-operations-in-nigeria/&#10;&#10;https://www.sanlamonline.co.za/knowledge-hub/sanlam-2025-interim-results"/>
    <hyperlink ref="M7" r:id="rId6" display="https://www.sanlam.com/downloads/integrated-report-and-annual-financial-statements/2025/Sanlam-AFS-2025-spreads.pdf"/>
    <hyperlink ref="J8" r:id="rId7" display="https://www.iol.co.za/business/2026-01-06-discovery-health-members-face-financial-shock-due-to-medical-aid-error&#10;&#10;https://www.fanews.co.za/article/company-news-results/1/discovery/1051/discovery-delivers-strong-interim-performance-as-the-shared-value-model-accelerates-growth-and-ai-unlocks-a-new-phase-of-hyper-personalised-engagement/43464&#10;&#10;https://www.fanews.co.za/article/company-news-results/1/discovery/1051/vitality-health-international-africa-changes-its-name-to-discovery-health-global-health-solutions/43423&#10;&#10;https://www.dailymaverick.co.za/article/2026-01-12-regulator-probe-public-uproar-spare-16506507-discovery-health-members-from-r125m/"/>
    <hyperlink ref="M8" r:id="rId8" display="https://eyindia.sharepoint.com/:b:/r/sites/InsuranceResearch/Shared%20Documents/Insurance%20Research/Top%2020%20Africa/discovery-health-afs-30-june-2025.pdf?csf=1&amp;web=1&amp;e=y3IFgO"/>
    <hyperlink ref="J9" r:id="rId9" display="https://www.listcorp.com/jse/mtm/momentum-metropolitan-holdings/news/operating-update-for-the-three-months-ended-30-september-2025-3279259.html&#10;&#10;https://www.momentumgroupltd.co.za/remote-assets/s3/clt_mmh_s3/docs/annual-res-2025/momentum-metropolitan-life-annual-financial-statements-f2025.pdf&#10;&#10;https://citywire.com/za/news/company/momentum/j74686&#10;&#10;https://www.metropolitan.co.za/press-releases/articles/Momentum-Group-delivers-record-earnings/"/>
    <hyperlink ref="M9" r:id="rId10" display="https://eyindia.sharepoint.com/:b:/r/sites/InsuranceResearch/Shared%20Documents/Insurance%20Research/Top%2020%20Africa/momentum-metropolitan-life-annual-financial-statements-f2025.pdf?csf=1&amp;web=1&amp;e=m4gdLR"/>
    <hyperlink ref="J10" r:id="rId11" display="https://www.santam.com/about-us/media-centre/investor-news/santam-delivers-strong-performance-for-2025-financial-year/&#10;&#10;https://www.insurancebusinessmag.com/uk/news/breaking-news/santam-posts-strong-2025-results-eyes-global-growth-567916.aspx&#10;&#10;https://www.fanews.co.za/article/surveys-reports-and-ratings/34/general/1195/santam-2025-insurance-barometer-highlights-ongoing-socioeconomic-infrastructure-and-climate-change-risks/41924&#10;&#10;https://www.sanlamonline.co.za/knowledge-hub/sanlam-2025-interim-results&#10;&#10;https://www.fanews.co.za/article/company-news-results/1/santam/1048/santam-group-granted-licence-to-establish-operations-in-india-s-global-finance-hub/43390"/>
    <hyperlink ref="M10" r:id="rId12" display="https://eyindia.sharepoint.com/:b:/r/sites/InsuranceResearch/Shared%20Documents/Insurance%20Research/Top%2020%20Africa/Santam%20Limited%202025-financial-statements.pdf?csf=1&amp;web=1&amp;e=0Wv0T3"/>
    <hyperlink ref="J11" r:id="rId13" display="https://africanfinancials.com/document/ke-lbty-2025-ab-00/&#10;&#10;https://tradingroom.co.ke/liberty-kenya-reports-profit-decline-in-fy-2025/&#10;&#10;https://www.libertyholdings.co.za/results-and-reports&#10;&#10;https://www.msn.com/en-za/news/other/liberty-reunites-7-000-beneficiaries-with-r130m-using-innovative-tracing-methods/ar-AA1QLDYs"/>
    <hyperlink ref="M11" r:id="rId14" display="https://eyindia.sharepoint.com/:b:/r/sites/InsuranceResearch/Shared%20Documents/Insurance%20Research/Top%2020%20Africa/31122025-liberty-group-limited-afs-2025.pdf?csf=1&amp;web=1&amp;e=zhJ1bE"/>
    <hyperlink ref="J12" r:id="rId15" display="https://dailyinvestor.com/finance/93584/south-africas-best-known-insurance-company-shooting-the-lights-out/"/>
    <hyperlink ref="M12" r:id="rId16" display="https://eyindia.sharepoint.com/:b:/r/sites/InsuranceResearch/Shared%20Documents/Insurance%20Research/Top%2020%20Africa/RMH-Audited-financial-Statements-2025.pdf?csf=1&amp;web=1&amp;e=rvckya"/>
    <hyperlink ref="J13" r:id="rId17" display="https://www.munichre.com/en/company/media-relations/media-information-and-corporate-news/business-news/2025/business-news-2025-09-15.html&#10;&#10;https://www.reinsurancene.ws/walter-voigts-von-forster-named-ceo-of-munich-re-africa-branch/&#10;&#10;https://www.resbank.co.za/en/home/publications/prudential-authority&#10;&#10;https://www.insurancebusinessmag.com/reinsurance/news/breaking-news/walter-voigtsvon-forster-appointed-ceo-of-munich-re-africa-549806.aspx&#10;&#10;https://www.fanews.co.za/article/company-news-results/1/general/1056/itoo-special-risks-launches-africa-s-first-ai-performance-insurance-in-partnership-with-munich-re/43563"/>
    <hyperlink ref="M13" r:id="rId18" display="https://eyindia.sharepoint.com/:b:/r/sites/InsuranceResearch/Shared%20Documents/Insurance%20Research/Top%2020%20Africa/MunichRe-Group-Annual-Report-2025-en.pdf?csf=1&amp;web=1&amp;e=8RwMZe"/>
    <hyperlink ref="J14" r:id="rId19" display="https://www.businessinsurance.com/africa-res-profits-climb-20/&#10;&#10;https://punchng.com/africa-re-posts-644-30m-h1-gross-written-premium/&#10;&#10;https://apanews.net/africa-re-posts-22-5m-profit-for-q1-of-2025/"/>
    <hyperlink ref="M14" r:id="rId20" display="https://www.africa-re.com/uploads/content/download_translation/download/e2594192-5ff9-4cd7-b60d-fcd713e723d5.pdf"/>
    <hyperlink ref="J15" r:id="rId21" display="https://www.hannover-re.com/en/news/2026/hannover-re-increases-earnings-and-dividend-reinforces-sustained-profitability-significantly/&#10;&#10;https://www.ainvest.com/news/hannover-ck-se-strategic-resilience-shareholder-climate-driven-reinsurance-landscape-2510/&#10;&#10;https://www.linkedin.com/feed/update/urn:li:activity:7397634922552766464/"/>
    <hyperlink ref="M15" r:id="rId22" display="https://assets.hannover-re.com/asset/533267266226/document_vm5644i6q91ol8khnekpbcrt3s/2025_GBKonzern_e.pdf?content-disposition=inline"/>
    <hyperlink ref="J16" r:id="rId23" display="https://techcabal.com/2025/06/10/sanlam-and-allianz-merge-nigerian-operations/?utm.com&#10;&#10;https://www.newscase.com/allianz-reshapes-emea-leadership-to-drive-commercial-growth/&#10;&#10;https://theafricanmirror.africa/business/new-investments-and-tie-ups-as-insurers-target-rising-incomes-in-africa/"/>
    <hyperlink ref="M16" r:id="rId24" display="https://www.allianz.com/en/investor_relations/results-reports/financial-statements.html"/>
    <hyperlink ref="J17" r:id="rId25" display="https://www.moroccoworldnews.com/2026/03/282141/axa-makes-casablanca-hub-of-new-atlantic-africa-insurance-region/&#10;&#10;https://businessfinanceint.com/lassureur-axa-centralise-la-gouvernance-de-ses-marches-en-afrique/&#10;&#10;https://news.frontierafricareports.com/article/axa-makes-casablanca-hub-of-new-atlantic-africa-insurance-region"/>
    <hyperlink ref="M17" r:id="rId26" display="https://www.atlas-mag.net/en/articles/axa-2025-results"/>
    <hyperlink ref="J18" r:id="rId27" display="Morocco’s Wafa Assurance Launches Takeover Bid for Egypt’s Delta Insurance - Ecofin Agency&#10;&#10;https://serrarigroup.com/wafa-assurances-317-million-delta-insurance-bid-sparks-concerns-for-kenyas-insurance-sector/"/>
    <hyperlink ref="M18" r:id="rId28" display="https://www.atlas-mag.net/en/articles/wafa-assurance-2025-results"/>
    <hyperlink ref="J19" r:id="rId29" display="https://www.linkedin.com/posts/morocco-world-news_morocco-um6p-rma-activity-7449749364429737984-kOjk&#10;&#10;https://en.7news.ma/moroccan-banks-overtake-brokers-in-insurance-sales-for-the-first-time/"/>
    <hyperlink ref="M19" r:id="rId30" display="file:///C:/Users/GY357SQ/Downloads/rapport_annuel_rma_2023.pdf"/>
    <hyperlink ref="J20" r:id="rId31" display="https://www.meinsurancereview.com/Magazine/ReadMagazineArticle?aid=60089&#10;&#10;https://www.meinsurancereview.com/Magazine/ReadMagazineArticle?aid=39646"/>
    <hyperlink ref="M20" r:id="rId32" display="https://www.atlas-mag.net/en/articles/ranking-moroccan-insurers-according-2024-turnover-0"/>
    <hyperlink ref="J21" r:id="rId33" display="https://www.moroccoworldnews.com/2026/03/282609/sanlam-maroc-to-absorb-allianz-maroc-in-insurance-mega-merger/&#10;&#10;https://www.financialafrik.com/en/2026/02/12/sanlam-morocco-announces-an-increase-in-profit-and-a-decrease-in-revenue-in-2025/&#10;&#10;https://www.billionaires.africa/2025/12/29/sanlam-partly-owned-by-patrice-motsepe-invests-2-2-million-in-moroccan-startup/"/>
    <hyperlink ref="M21" r:id="rId34" display="https://www.financialafrik.com/en/2026/02/12/sanlam-morocco-announces-an-increase-in-profit-and-a-decrease-in-revenue-in-2025/"/>
    <hyperlink ref="J22" r:id="rId35" display="https://thegulfobserver.com/atlantasanad-assurance-launches-moroccos-first-ai-powered-insurance-assistant-assia/&#10;&#10;https://thedigitalbanker.com/credit-du-maroc-atlantasanad-team-up-to-expand-insurance-and-savings-offerings/"/>
    <hyperlink ref="J23" r:id="rId36" display="https://www.fanews.co.za/article/company-news-results/1/hollard/1301/hollard-international-deepens-its-africa-expansion-strategy-as-the-insurer-acquires-absa-s-life-insurance-businesses-in-mozambique-and-botswana/41584&#10;&#10;https://www.fanews.co.za/article/company-news-results/1/hollard/1301/hollard-unveils-a-new-brand-repositioning-strategy-as-hollard-international-expands-into-the-continent/40056&#10;&#10;https://www.fanews.co.za/article/company-news-results/1/hollard/1301/hollard-and-specialist-partner-itoo-special-risks-poised-to-offer-world-class-green-transition-in-africa/42503"/>
    <hyperlink ref="M23" r:id="rId37" display="https://www.hollard.com.au/media/jxyfchit/hic-financial-statement-20250630.pdf"/>
    <hyperlink ref="J24" r:id="rId38" display="https://www.metropolitan.co.za/press-releases/articles/ASK-AFRICA-Orange-Index-Awards/&#10;&#10;https://www.metropolitan.co.za/press-releases/articles/Momentum-Group-delivers-record-earnings/&#10;&#10;https://www.metropolitan.co.za/press-releases/articles/Momentum-Group-delivers-record-earnings/&#10;&#10;https://cio-sa.co.za/articles/metropolitan-life-cio-irwhan-rakiep-nominated-for-2025-cio-awards/&#10;https://www.metropolitan.co.za/news/articles/Farmers-weekly-Article/"/>
    <hyperlink ref="M24" r:id="rId39" display="file:///C:/Users/GY357SQ/Downloads/momentum-group-f2025-annual-financial-statements.pdf"/>
    <hyperlink ref="J27" r:id="rId40" display="https://www.moroccoworldnews.com/2026/03/282141/axa-makes-casablanca-hub-of-new-atlantic-africa-insurance-region/&#10;&#10;https://www.african-markets.com/en/stock-markets/bvc/stellantis-finalizes-acquisition-of-axa-credit-majority-stake-from-axa-assurance-maroc"/>
    <hyperlink ref="M27" r:id="rId41" display="https://www-axa-com.cdn.prismic.io/www-axa-com/ab1gEB5fn6DF3CqE_axa_urd2025_accessible_va.pdf"/>
    <hyperlink ref="J28" r:id="rId42" display="https://www.businessinsurance.com/egypts-largest-insurers-posts-record-profit/&#10;&#10;https://www.dailynewsegypt.com/2025/08/31/stm-investment-misr-insurance-sign-protocol-to-provide-comprehensive-project-coverage/&#10;&#10;https://www.fitchratings.com/research/insurance/fitch-affirms-misr-insurance-company-national-ifs-rating-at-aaa-egy-12-11-2025"/>
    <hyperlink ref="M28" r:id="rId43" display="https://www.businessinsurance.com/egypts-largest-insurers-posts-record-profit/"/>
    <hyperlink ref="J29" r:id="rId44" display="https://www.archyde.com/moroccan-climate-insurance-success-story-mamdas-role-in-agricultural-risk-management/&#10;&#10;https://www.fma.org.ma/wp-content/uploads/2025/06/juin-2025-en.pdf"/>
    <hyperlink ref="M29" r:id="rId45" display="https://www.mamda-mcma.ma/qui-sommes-nous/chiffres-cles"/>
    <hyperlink ref="J30" r:id="rId46" display="https://www.insurancebusinessmag.com/reinsurance/news/breaking-news/continental-reinsurance-restructures-with-new-holdings-and-nigeria-leaders-537209.aspx&#10;&#10;https://www.continental-re.com/investor-relations/&#10;&#10;https://secure.businesswire.com/news/home/20251204551323/en/AM-Best-Affirms-Credit-Ratings-of-Continental-Reinsurance-Plc"/>
    <hyperlink ref="M30" r:id="rId47" display="https://www.continental-re.com/wp-content/uploads/2025/07/CReFinStmts-31122024b.pdf"/>
    <hyperlink ref="J31" r:id="rId48" location="google_vignette" display="https://www.graphic.com.gh/news/general-news/ghana-news-prudential-life-settles-ghc100-000-medical-bills.html#google_vignette&#10;&#10;https://thebftonline.com/2026/04/01/prudential-africa-ceo-working-visit-to-ghana-sets-pace-for-business-excellence-and-agency-expansion/"/>
    <hyperlink ref="M31" r:id="rId49" display="https://eyindia.sharepoint.com/:b:/r/sites/InsuranceResearch/Shared%20Documents/Insurance%20Research/Top%2020%20Africa/prudential-plc-ar-2025.pdf?csf=1&amp;web=1&amp;e=vOjeNU"/>
    <hyperlink ref="J32" r:id="rId50" display="https://clone.businessday.ng/cica-re-pushes-expansion-open-north-african-regional-office-soon/&#10;&#10;https://markets.financialcontent.com/stocks/article/bizwire-2025-4-2-am-best-affirms-credit-ratings-of-compagnie-commune-de-rassurance-des-etats-membres-de-la-cima"/>
    <hyperlink ref="M32" r:id="rId51" display="https://cica-re.com/-Rapports-Annuels-.html"/>
    <hyperlink ref="J33" r:id="rId52" display="https://www.thefreelibrary.com/How+will+the+SanlamAllianz+merger+transform+Africa%27s+insurance...-a0823368203&#10;&#10; https://www.allianz.com/en/mediacenter/news/articles/251119-a-strategic-partnership-driving-africas-long-term-prosperity.html"/>
    <hyperlink ref="M33" r:id="rId53" display="https://www.allianz.com/content/dam/onemarketing/azcom/Allianz_com/investor-relations/en/results-reports/annual-report/ar-2025/en-allianz-se-annual-report-2025.pdf"/>
    <hyperlink ref="J34" r:id="rId54" display="https://www.financialafrik.com/en/2026/03/31/kenya-re-records-a-26-9-decline-in-net-profits-in-2025/&#10;&#10;https://www.businessdailyafrica.com/bd/corporate/companies/kenya-re-eyes-50pc-growth-in-life-business-on-new-unit-4943324"/>
    <hyperlink ref="M34" r:id="rId55" display="https://www.nse.co.ke/wp-content/uploads/Kenya-Re-Insurance-Corporation-Ltd-Audited-Financial-Statements-for-the-Period-Ended-31-Dec-2025.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6"/>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4" activeCellId="0" sqref="A4"/>
    </sheetView>
  </sheetViews>
  <sheetFormatPr defaultColWidth="8.71875" defaultRowHeight="12" zeroHeight="false" outlineLevelRow="0" outlineLevelCol="0"/>
  <cols>
    <col collapsed="false" customWidth="true" hidden="false" outlineLevel="0" max="1" min="1" style="280" width="8.54"/>
    <col collapsed="false" customWidth="true" hidden="false" outlineLevel="0" max="2" min="2" style="280" width="28.82"/>
    <col collapsed="false" customWidth="true" hidden="false" outlineLevel="0" max="5" min="3" style="280" width="19.45"/>
    <col collapsed="false" customWidth="true" hidden="false" outlineLevel="0" max="6" min="6" style="281" width="14.54"/>
    <col collapsed="false" customWidth="true" hidden="false" outlineLevel="0" max="7" min="7" style="280" width="24"/>
    <col collapsed="false" customWidth="true" hidden="false" outlineLevel="0" max="8" min="8" style="280" width="80.27"/>
    <col collapsed="false" customWidth="true" hidden="false" outlineLevel="0" max="9" min="9" style="280" width="53.82"/>
    <col collapsed="false" customWidth="true" hidden="false" outlineLevel="0" max="10" min="10" style="282" width="41.54"/>
    <col collapsed="false" customWidth="true" hidden="false" outlineLevel="0" max="11" min="11" style="280" width="26.18"/>
    <col collapsed="false" customWidth="true" hidden="true" outlineLevel="0" max="12" min="12" style="280" width="23.82"/>
    <col collapsed="false" customWidth="true" hidden="true" outlineLevel="0" max="13" min="13" style="280" width="45.45"/>
    <col collapsed="false" customWidth="true" hidden="false" outlineLevel="0" max="14" min="14" style="280" width="23.82"/>
    <col collapsed="false" customWidth="true" hidden="false" outlineLevel="0" max="15" min="15" style="280" width="13.45"/>
    <col collapsed="false" customWidth="true" hidden="false" outlineLevel="0" max="16" min="16" style="280" width="13.73"/>
    <col collapsed="false" customWidth="true" hidden="true" outlineLevel="0" max="17" min="17" style="280" width="23.73"/>
    <col collapsed="false" customWidth="false" hidden="false" outlineLevel="0" max="16384" min="18" style="280" width="8.72"/>
  </cols>
  <sheetData>
    <row r="1" customFormat="false" ht="13.5" hidden="false" customHeight="true" outlineLevel="0" collapsed="false">
      <c r="A1" s="283" t="s">
        <v>2188</v>
      </c>
      <c r="E1" s="284"/>
    </row>
    <row r="2" customFormat="false" ht="13.5" hidden="false" customHeight="true" outlineLevel="0" collapsed="false">
      <c r="E2" s="284"/>
    </row>
    <row r="3" s="280" customFormat="true" ht="12" hidden="false" customHeight="true" outlineLevel="0" collapsed="false">
      <c r="E3" s="285" t="s">
        <v>1620</v>
      </c>
      <c r="F3" s="285"/>
      <c r="G3" s="285"/>
      <c r="I3" s="282"/>
    </row>
    <row r="4" customFormat="false" ht="13.5" hidden="false" customHeight="true" outlineLevel="0" collapsed="false">
      <c r="A4" s="286" t="s">
        <v>6</v>
      </c>
      <c r="B4" s="286" t="s">
        <v>7</v>
      </c>
      <c r="C4" s="286" t="s">
        <v>441</v>
      </c>
      <c r="D4" s="286" t="s">
        <v>165</v>
      </c>
      <c r="E4" s="286" t="s">
        <v>166</v>
      </c>
      <c r="F4" s="286" t="s">
        <v>167</v>
      </c>
      <c r="G4" s="286" t="s">
        <v>168</v>
      </c>
      <c r="H4" s="286" t="s">
        <v>170</v>
      </c>
      <c r="I4" s="286" t="s">
        <v>331</v>
      </c>
      <c r="J4" s="286" t="s">
        <v>2189</v>
      </c>
      <c r="K4" s="286" t="s">
        <v>2190</v>
      </c>
      <c r="L4" s="287" t="s">
        <v>1852</v>
      </c>
      <c r="M4" s="287" t="s">
        <v>1853</v>
      </c>
      <c r="N4" s="287" t="s">
        <v>716</v>
      </c>
      <c r="O4" s="287" t="s">
        <v>1854</v>
      </c>
      <c r="P4" s="287" t="s">
        <v>164</v>
      </c>
      <c r="Q4" s="288" t="s">
        <v>2191</v>
      </c>
    </row>
    <row r="5" customFormat="false" ht="223.5" hidden="false" customHeight="true" outlineLevel="0" collapsed="false">
      <c r="A5" s="101" t="n">
        <v>1</v>
      </c>
      <c r="B5" s="205" t="s">
        <v>2192</v>
      </c>
      <c r="C5" s="205" t="s">
        <v>452</v>
      </c>
      <c r="D5" s="221" t="s">
        <v>2193</v>
      </c>
      <c r="E5" s="116" t="s">
        <v>175</v>
      </c>
      <c r="F5" s="205" t="s">
        <v>2194</v>
      </c>
      <c r="G5" s="221" t="s">
        <v>1839</v>
      </c>
      <c r="H5" s="221" t="s">
        <v>2195</v>
      </c>
      <c r="I5" s="230" t="s">
        <v>2196</v>
      </c>
      <c r="J5" s="101" t="s">
        <v>1676</v>
      </c>
      <c r="K5" s="289" t="n">
        <v>4979</v>
      </c>
      <c r="L5" s="290" t="s">
        <v>2197</v>
      </c>
      <c r="M5" s="205" t="s">
        <v>2198</v>
      </c>
      <c r="N5" s="205" t="s">
        <v>2199</v>
      </c>
      <c r="O5" s="205" t="s">
        <v>2200</v>
      </c>
      <c r="P5" s="221" t="s">
        <v>2201</v>
      </c>
      <c r="Q5" s="291" t="s">
        <v>17</v>
      </c>
    </row>
    <row r="6" customFormat="false" ht="378" hidden="false" customHeight="true" outlineLevel="0" collapsed="false">
      <c r="A6" s="101" t="n">
        <f aca="false">A5+1</f>
        <v>2</v>
      </c>
      <c r="B6" s="205" t="s">
        <v>2202</v>
      </c>
      <c r="C6" s="205" t="s">
        <v>452</v>
      </c>
      <c r="D6" s="221" t="s">
        <v>2203</v>
      </c>
      <c r="E6" s="116" t="s">
        <v>175</v>
      </c>
      <c r="F6" s="205" t="s">
        <v>2204</v>
      </c>
      <c r="G6" s="221" t="s">
        <v>1839</v>
      </c>
      <c r="H6" s="221" t="s">
        <v>2205</v>
      </c>
      <c r="I6" s="230" t="s">
        <v>2206</v>
      </c>
      <c r="J6" s="101" t="s">
        <v>1633</v>
      </c>
      <c r="K6" s="289" t="n">
        <v>1512.2</v>
      </c>
      <c r="L6" s="290" t="s">
        <v>2207</v>
      </c>
      <c r="M6" s="289" t="s">
        <v>2208</v>
      </c>
      <c r="N6" s="205" t="s">
        <v>2209</v>
      </c>
      <c r="O6" s="205" t="s">
        <v>2210</v>
      </c>
      <c r="P6" s="221" t="s">
        <v>2211</v>
      </c>
      <c r="Q6" s="291" t="s">
        <v>17</v>
      </c>
    </row>
    <row r="7" customFormat="false" ht="279.75" hidden="false" customHeight="true" outlineLevel="0" collapsed="false">
      <c r="A7" s="101" t="n">
        <f aca="false">A6+1</f>
        <v>3</v>
      </c>
      <c r="B7" s="205" t="s">
        <v>2212</v>
      </c>
      <c r="C7" s="205" t="s">
        <v>452</v>
      </c>
      <c r="D7" s="221" t="s">
        <v>2213</v>
      </c>
      <c r="E7" s="116" t="s">
        <v>202</v>
      </c>
      <c r="F7" s="205" t="s">
        <v>2214</v>
      </c>
      <c r="G7" s="221" t="s">
        <v>2215</v>
      </c>
      <c r="H7" s="221" t="s">
        <v>2216</v>
      </c>
      <c r="I7" s="230" t="s">
        <v>2217</v>
      </c>
      <c r="J7" s="101" t="s">
        <v>1676</v>
      </c>
      <c r="K7" s="289" t="n">
        <v>2285.7</v>
      </c>
      <c r="L7" s="290" t="s">
        <v>2218</v>
      </c>
      <c r="M7" s="289" t="s">
        <v>2219</v>
      </c>
      <c r="N7" s="205" t="s">
        <v>2220</v>
      </c>
      <c r="O7" s="205" t="s">
        <v>2221</v>
      </c>
      <c r="P7" s="221" t="s">
        <v>2222</v>
      </c>
      <c r="Q7" s="291" t="s">
        <v>17</v>
      </c>
    </row>
    <row r="8" customFormat="false" ht="252" hidden="false" customHeight="true" outlineLevel="0" collapsed="false">
      <c r="A8" s="101" t="n">
        <f aca="false">A7+1</f>
        <v>4</v>
      </c>
      <c r="B8" s="205" t="s">
        <v>2223</v>
      </c>
      <c r="C8" s="205" t="s">
        <v>452</v>
      </c>
      <c r="D8" s="221" t="s">
        <v>2224</v>
      </c>
      <c r="E8" s="116" t="s">
        <v>202</v>
      </c>
      <c r="F8" s="205" t="s">
        <v>457</v>
      </c>
      <c r="G8" s="221" t="s">
        <v>2225</v>
      </c>
      <c r="H8" s="221" t="s">
        <v>2226</v>
      </c>
      <c r="I8" s="230" t="s">
        <v>2227</v>
      </c>
      <c r="J8" s="101" t="s">
        <v>1634</v>
      </c>
      <c r="K8" s="289" t="n">
        <v>2993.1</v>
      </c>
      <c r="L8" s="290" t="s">
        <v>2228</v>
      </c>
      <c r="M8" s="289" t="s">
        <v>2229</v>
      </c>
      <c r="N8" s="205" t="s">
        <v>2230</v>
      </c>
      <c r="O8" s="205" t="s">
        <v>2231</v>
      </c>
      <c r="P8" s="221" t="s">
        <v>2232</v>
      </c>
      <c r="Q8" s="291" t="s">
        <v>17</v>
      </c>
    </row>
    <row r="9" customFormat="false" ht="378" hidden="false" customHeight="true" outlineLevel="0" collapsed="false">
      <c r="A9" s="101" t="n">
        <f aca="false">A8+1</f>
        <v>5</v>
      </c>
      <c r="B9" s="205" t="s">
        <v>2233</v>
      </c>
      <c r="C9" s="205" t="s">
        <v>448</v>
      </c>
      <c r="D9" s="221" t="s">
        <v>2234</v>
      </c>
      <c r="E9" s="116" t="s">
        <v>482</v>
      </c>
      <c r="F9" s="205" t="s">
        <v>427</v>
      </c>
      <c r="G9" s="221" t="s">
        <v>2235</v>
      </c>
      <c r="H9" s="221" t="s">
        <v>2236</v>
      </c>
      <c r="I9" s="230" t="s">
        <v>2237</v>
      </c>
      <c r="J9" s="101" t="s">
        <v>1676</v>
      </c>
      <c r="K9" s="289" t="n">
        <v>9787</v>
      </c>
      <c r="L9" s="290" t="s">
        <v>2238</v>
      </c>
      <c r="M9" s="289" t="s">
        <v>1862</v>
      </c>
      <c r="N9" s="205" t="s">
        <v>2239</v>
      </c>
      <c r="O9" s="205" t="s">
        <v>2240</v>
      </c>
      <c r="P9" s="221" t="s">
        <v>2241</v>
      </c>
      <c r="Q9" s="291" t="s">
        <v>17</v>
      </c>
    </row>
    <row r="10" customFormat="false" ht="181.5" hidden="false" customHeight="true" outlineLevel="0" collapsed="false">
      <c r="A10" s="101" t="n">
        <f aca="false">A9+1</f>
        <v>6</v>
      </c>
      <c r="B10" s="205" t="s">
        <v>2242</v>
      </c>
      <c r="C10" s="205" t="s">
        <v>452</v>
      </c>
      <c r="D10" s="221" t="s">
        <v>2243</v>
      </c>
      <c r="E10" s="116" t="s">
        <v>482</v>
      </c>
      <c r="F10" s="205" t="s">
        <v>2121</v>
      </c>
      <c r="G10" s="221" t="s">
        <v>2244</v>
      </c>
      <c r="H10" s="221" t="s">
        <v>2245</v>
      </c>
      <c r="I10" s="230" t="s">
        <v>2246</v>
      </c>
      <c r="J10" s="101" t="s">
        <v>1676</v>
      </c>
      <c r="K10" s="292" t="s">
        <v>2247</v>
      </c>
      <c r="L10" s="290" t="s">
        <v>2248</v>
      </c>
      <c r="M10" s="289" t="s">
        <v>2249</v>
      </c>
      <c r="N10" s="205" t="s">
        <v>2250</v>
      </c>
      <c r="O10" s="205" t="s">
        <v>2251</v>
      </c>
      <c r="P10" s="221" t="s">
        <v>2252</v>
      </c>
      <c r="Q10" s="227" t="s">
        <v>2253</v>
      </c>
    </row>
    <row r="11" customFormat="false" ht="294" hidden="false" customHeight="true" outlineLevel="0" collapsed="false">
      <c r="A11" s="101" t="n">
        <f aca="false">A10+1</f>
        <v>7</v>
      </c>
      <c r="B11" s="205" t="s">
        <v>2254</v>
      </c>
      <c r="C11" s="205" t="s">
        <v>108</v>
      </c>
      <c r="D11" s="221" t="s">
        <v>2255</v>
      </c>
      <c r="E11" s="116" t="s">
        <v>175</v>
      </c>
      <c r="F11" s="205" t="s">
        <v>2256</v>
      </c>
      <c r="G11" s="221" t="s">
        <v>2257</v>
      </c>
      <c r="H11" s="221" t="s">
        <v>2258</v>
      </c>
      <c r="I11" s="230" t="s">
        <v>2259</v>
      </c>
      <c r="J11" s="101" t="s">
        <v>1633</v>
      </c>
      <c r="K11" s="289" t="n">
        <v>5756</v>
      </c>
      <c r="L11" s="290" t="s">
        <v>2260</v>
      </c>
      <c r="M11" s="289" t="s">
        <v>1862</v>
      </c>
      <c r="N11" s="205" t="s">
        <v>2261</v>
      </c>
      <c r="O11" s="205" t="s">
        <v>2262</v>
      </c>
      <c r="P11" s="221" t="s">
        <v>2263</v>
      </c>
      <c r="Q11" s="227" t="s">
        <v>2253</v>
      </c>
    </row>
    <row r="12" customFormat="false" ht="409.5" hidden="false" customHeight="true" outlineLevel="0" collapsed="false">
      <c r="A12" s="101" t="n">
        <f aca="false">A11+1</f>
        <v>8</v>
      </c>
      <c r="B12" s="205" t="s">
        <v>2264</v>
      </c>
      <c r="C12" s="205" t="s">
        <v>1959</v>
      </c>
      <c r="D12" s="221" t="s">
        <v>2265</v>
      </c>
      <c r="E12" s="116" t="s">
        <v>175</v>
      </c>
      <c r="F12" s="205" t="s">
        <v>254</v>
      </c>
      <c r="G12" s="221" t="s">
        <v>1657</v>
      </c>
      <c r="H12" s="221" t="s">
        <v>2266</v>
      </c>
      <c r="I12" s="230" t="s">
        <v>2267</v>
      </c>
      <c r="J12" s="101" t="s">
        <v>1676</v>
      </c>
      <c r="K12" s="289" t="n">
        <v>9222</v>
      </c>
      <c r="L12" s="290" t="s">
        <v>2268</v>
      </c>
      <c r="M12" s="289" t="s">
        <v>2269</v>
      </c>
      <c r="N12" s="205" t="s">
        <v>2270</v>
      </c>
      <c r="O12" s="205" t="s">
        <v>2271</v>
      </c>
      <c r="P12" s="293" t="s">
        <v>2272</v>
      </c>
      <c r="Q12" s="227" t="s">
        <v>2273</v>
      </c>
    </row>
    <row r="13" customFormat="false" ht="210" hidden="false" customHeight="true" outlineLevel="0" collapsed="false">
      <c r="A13" s="101" t="n">
        <f aca="false">A12+1</f>
        <v>9</v>
      </c>
      <c r="B13" s="221" t="s">
        <v>2274</v>
      </c>
      <c r="C13" s="205" t="s">
        <v>2275</v>
      </c>
      <c r="D13" s="221" t="s">
        <v>2276</v>
      </c>
      <c r="E13" s="116" t="s">
        <v>175</v>
      </c>
      <c r="F13" s="205" t="s">
        <v>254</v>
      </c>
      <c r="G13" s="221" t="s">
        <v>1657</v>
      </c>
      <c r="H13" s="294" t="s">
        <v>2277</v>
      </c>
      <c r="I13" s="230" t="s">
        <v>2278</v>
      </c>
      <c r="J13" s="101" t="s">
        <v>1633</v>
      </c>
      <c r="K13" s="289" t="n">
        <v>737</v>
      </c>
      <c r="L13" s="290" t="s">
        <v>2279</v>
      </c>
      <c r="M13" s="289" t="s">
        <v>2280</v>
      </c>
      <c r="N13" s="205" t="s">
        <v>2281</v>
      </c>
      <c r="O13" s="205" t="s">
        <v>2282</v>
      </c>
      <c r="P13" s="221" t="s">
        <v>2283</v>
      </c>
      <c r="Q13" s="291" t="s">
        <v>2284</v>
      </c>
    </row>
    <row r="14" customFormat="false" ht="223.5" hidden="false" customHeight="true" outlineLevel="0" collapsed="false">
      <c r="A14" s="101" t="n">
        <f aca="false">A13+1</f>
        <v>10</v>
      </c>
      <c r="B14" s="205" t="s">
        <v>2285</v>
      </c>
      <c r="C14" s="205" t="s">
        <v>448</v>
      </c>
      <c r="D14" s="221" t="s">
        <v>2286</v>
      </c>
      <c r="E14" s="116" t="s">
        <v>175</v>
      </c>
      <c r="F14" s="205" t="s">
        <v>2287</v>
      </c>
      <c r="G14" s="221" t="s">
        <v>446</v>
      </c>
      <c r="H14" s="294" t="s">
        <v>2288</v>
      </c>
      <c r="I14" s="230" t="s">
        <v>2289</v>
      </c>
      <c r="J14" s="101" t="s">
        <v>1633</v>
      </c>
      <c r="K14" s="289" t="n">
        <v>2459</v>
      </c>
      <c r="L14" s="230" t="s">
        <v>2290</v>
      </c>
      <c r="M14" s="289" t="s">
        <v>2198</v>
      </c>
      <c r="N14" s="205" t="s">
        <v>2291</v>
      </c>
      <c r="O14" s="205" t="s">
        <v>2292</v>
      </c>
      <c r="P14" s="221" t="s">
        <v>2293</v>
      </c>
      <c r="Q14" s="291" t="s">
        <v>2284</v>
      </c>
    </row>
    <row r="15" customFormat="false" ht="139.5" hidden="false" customHeight="true" outlineLevel="0" collapsed="false">
      <c r="A15" s="101" t="n">
        <f aca="false">A14+1</f>
        <v>11</v>
      </c>
      <c r="B15" s="221" t="s">
        <v>2294</v>
      </c>
      <c r="C15" s="205" t="s">
        <v>15</v>
      </c>
      <c r="D15" s="221" t="s">
        <v>2295</v>
      </c>
      <c r="E15" s="116" t="s">
        <v>175</v>
      </c>
      <c r="F15" s="205" t="s">
        <v>254</v>
      </c>
      <c r="G15" s="221" t="s">
        <v>1657</v>
      </c>
      <c r="H15" s="221" t="s">
        <v>2296</v>
      </c>
      <c r="I15" s="230" t="s">
        <v>2297</v>
      </c>
      <c r="J15" s="101" t="s">
        <v>1676</v>
      </c>
      <c r="K15" s="289" t="n">
        <v>5139</v>
      </c>
      <c r="L15" s="230" t="s">
        <v>2298</v>
      </c>
      <c r="M15" s="289" t="s">
        <v>2299</v>
      </c>
      <c r="N15" s="205" t="s">
        <v>2300</v>
      </c>
      <c r="O15" s="205" t="s">
        <v>2301</v>
      </c>
      <c r="P15" s="221" t="s">
        <v>2302</v>
      </c>
      <c r="Q15" s="291" t="s">
        <v>2284</v>
      </c>
    </row>
    <row r="16" customFormat="false" ht="237.75" hidden="false" customHeight="true" outlineLevel="0" collapsed="false">
      <c r="A16" s="101" t="n">
        <f aca="false">A15+1</f>
        <v>12</v>
      </c>
      <c r="B16" s="205" t="s">
        <v>2303</v>
      </c>
      <c r="C16" s="205" t="s">
        <v>2304</v>
      </c>
      <c r="D16" s="221" t="s">
        <v>1145</v>
      </c>
      <c r="E16" s="116" t="s">
        <v>482</v>
      </c>
      <c r="F16" s="205" t="s">
        <v>2305</v>
      </c>
      <c r="G16" s="221"/>
      <c r="H16" s="294" t="s">
        <v>2306</v>
      </c>
      <c r="I16" s="230" t="s">
        <v>2307</v>
      </c>
      <c r="J16" s="101" t="s">
        <v>1676</v>
      </c>
      <c r="K16" s="292" t="s">
        <v>2308</v>
      </c>
      <c r="L16" s="230" t="s">
        <v>2309</v>
      </c>
      <c r="M16" s="289" t="s">
        <v>2310</v>
      </c>
      <c r="N16" s="205" t="s">
        <v>17</v>
      </c>
      <c r="O16" s="205" t="s">
        <v>2311</v>
      </c>
      <c r="P16" s="221" t="s">
        <v>2312</v>
      </c>
      <c r="Q16" s="291" t="s">
        <v>17</v>
      </c>
    </row>
    <row r="17" customFormat="false" ht="409.5" hidden="false" customHeight="true" outlineLevel="0" collapsed="false">
      <c r="A17" s="101" t="n">
        <f aca="false">A16+1</f>
        <v>13</v>
      </c>
      <c r="B17" s="221" t="s">
        <v>2313</v>
      </c>
      <c r="C17" s="205" t="s">
        <v>452</v>
      </c>
      <c r="D17" s="221" t="s">
        <v>2314</v>
      </c>
      <c r="E17" s="116" t="s">
        <v>190</v>
      </c>
      <c r="F17" s="205" t="s">
        <v>2315</v>
      </c>
      <c r="G17" s="221" t="s">
        <v>2316</v>
      </c>
      <c r="H17" s="294" t="s">
        <v>2317</v>
      </c>
      <c r="I17" s="230" t="s">
        <v>2318</v>
      </c>
      <c r="J17" s="101" t="s">
        <v>1633</v>
      </c>
      <c r="K17" s="289" t="n">
        <v>3916</v>
      </c>
      <c r="L17" s="290" t="s">
        <v>2319</v>
      </c>
      <c r="M17" s="289" t="s">
        <v>2320</v>
      </c>
      <c r="N17" s="205" t="s">
        <v>2321</v>
      </c>
      <c r="O17" s="205" t="s">
        <v>2322</v>
      </c>
      <c r="P17" s="221" t="s">
        <v>2323</v>
      </c>
      <c r="Q17" s="291" t="s">
        <v>17</v>
      </c>
    </row>
    <row r="18" customFormat="false" ht="409.5" hidden="false" customHeight="true" outlineLevel="0" collapsed="false">
      <c r="A18" s="101" t="n">
        <f aca="false">A17+1</f>
        <v>14</v>
      </c>
      <c r="B18" s="205" t="s">
        <v>2324</v>
      </c>
      <c r="C18" s="205" t="s">
        <v>1959</v>
      </c>
      <c r="D18" s="221" t="s">
        <v>2325</v>
      </c>
      <c r="E18" s="116" t="s">
        <v>482</v>
      </c>
      <c r="F18" s="205" t="s">
        <v>297</v>
      </c>
      <c r="G18" s="221" t="s">
        <v>2316</v>
      </c>
      <c r="H18" s="294" t="s">
        <v>2326</v>
      </c>
      <c r="I18" s="230" t="s">
        <v>2327</v>
      </c>
      <c r="J18" s="101" t="s">
        <v>1633</v>
      </c>
      <c r="K18" s="289" t="n">
        <f aca="false">3879+973</f>
        <v>4852</v>
      </c>
      <c r="L18" s="230" t="s">
        <v>2328</v>
      </c>
      <c r="M18" s="289" t="s">
        <v>2329</v>
      </c>
      <c r="N18" s="205" t="s">
        <v>2330</v>
      </c>
      <c r="O18" s="205" t="s">
        <v>2331</v>
      </c>
      <c r="P18" s="221" t="s">
        <v>2332</v>
      </c>
      <c r="Q18" s="291" t="s">
        <v>2284</v>
      </c>
    </row>
    <row r="19" customFormat="false" ht="252" hidden="false" customHeight="true" outlineLevel="0" collapsed="false">
      <c r="A19" s="101" t="n">
        <f aca="false">A18+1</f>
        <v>15</v>
      </c>
      <c r="B19" s="205" t="s">
        <v>2333</v>
      </c>
      <c r="C19" s="205" t="s">
        <v>15</v>
      </c>
      <c r="D19" s="221" t="s">
        <v>2334</v>
      </c>
      <c r="E19" s="116" t="s">
        <v>175</v>
      </c>
      <c r="F19" s="205" t="s">
        <v>2335</v>
      </c>
      <c r="G19" s="221" t="s">
        <v>446</v>
      </c>
      <c r="H19" s="294" t="s">
        <v>2336</v>
      </c>
      <c r="I19" s="230" t="s">
        <v>2337</v>
      </c>
      <c r="J19" s="101" t="s">
        <v>1633</v>
      </c>
      <c r="K19" s="292" t="s">
        <v>2338</v>
      </c>
      <c r="L19" s="230" t="s">
        <v>2339</v>
      </c>
      <c r="M19" s="289" t="s">
        <v>2340</v>
      </c>
      <c r="N19" s="205" t="s">
        <v>2341</v>
      </c>
      <c r="O19" s="205" t="s">
        <v>2342</v>
      </c>
      <c r="P19" s="221" t="s">
        <v>2343</v>
      </c>
      <c r="Q19" s="291" t="s">
        <v>2284</v>
      </c>
    </row>
    <row r="20" customFormat="false" ht="111.75" hidden="false" customHeight="true" outlineLevel="0" collapsed="false">
      <c r="A20" s="101" t="n">
        <f aca="false">A19+1</f>
        <v>16</v>
      </c>
      <c r="B20" s="205" t="s">
        <v>2344</v>
      </c>
      <c r="C20" s="205" t="s">
        <v>452</v>
      </c>
      <c r="D20" s="221" t="s">
        <v>2345</v>
      </c>
      <c r="E20" s="116" t="s">
        <v>175</v>
      </c>
      <c r="F20" s="205" t="s">
        <v>2346</v>
      </c>
      <c r="G20" s="221" t="s">
        <v>1839</v>
      </c>
      <c r="H20" s="221" t="s">
        <v>2347</v>
      </c>
      <c r="I20" s="230" t="s">
        <v>2348</v>
      </c>
      <c r="J20" s="101" t="s">
        <v>1633</v>
      </c>
      <c r="K20" s="289" t="n">
        <v>2000</v>
      </c>
      <c r="L20" s="230" t="s">
        <v>2349</v>
      </c>
      <c r="M20" s="289" t="s">
        <v>2329</v>
      </c>
      <c r="N20" s="205" t="s">
        <v>17</v>
      </c>
      <c r="O20" s="205" t="s">
        <v>2350</v>
      </c>
      <c r="P20" s="221" t="s">
        <v>2351</v>
      </c>
      <c r="Q20" s="291" t="s">
        <v>2284</v>
      </c>
    </row>
    <row r="21" customFormat="false" ht="237.75" hidden="false" customHeight="true" outlineLevel="0" collapsed="false">
      <c r="A21" s="101" t="n">
        <f aca="false">A20+1</f>
        <v>17</v>
      </c>
      <c r="B21" s="205" t="s">
        <v>2352</v>
      </c>
      <c r="C21" s="205" t="s">
        <v>452</v>
      </c>
      <c r="D21" s="221" t="s">
        <v>2353</v>
      </c>
      <c r="E21" s="116" t="s">
        <v>175</v>
      </c>
      <c r="F21" s="205" t="s">
        <v>2335</v>
      </c>
      <c r="G21" s="221" t="s">
        <v>1839</v>
      </c>
      <c r="H21" s="294" t="s">
        <v>2354</v>
      </c>
      <c r="I21" s="230" t="s">
        <v>2355</v>
      </c>
      <c r="J21" s="101" t="s">
        <v>1633</v>
      </c>
      <c r="K21" s="289" t="n">
        <v>653.7</v>
      </c>
      <c r="L21" s="230" t="s">
        <v>2356</v>
      </c>
      <c r="M21" s="289" t="s">
        <v>2357</v>
      </c>
      <c r="N21" s="205" t="s">
        <v>2358</v>
      </c>
      <c r="O21" s="205" t="s">
        <v>2359</v>
      </c>
      <c r="P21" s="221" t="s">
        <v>2360</v>
      </c>
      <c r="Q21" s="291" t="s">
        <v>17</v>
      </c>
    </row>
    <row r="22" customFormat="false" ht="265.5" hidden="false" customHeight="true" outlineLevel="0" collapsed="false">
      <c r="A22" s="101" t="n">
        <f aca="false">A21+1</f>
        <v>18</v>
      </c>
      <c r="B22" s="205" t="s">
        <v>2361</v>
      </c>
      <c r="C22" s="205" t="s">
        <v>452</v>
      </c>
      <c r="D22" s="221" t="s">
        <v>2362</v>
      </c>
      <c r="E22" s="116" t="s">
        <v>175</v>
      </c>
      <c r="F22" s="205" t="s">
        <v>2363</v>
      </c>
      <c r="G22" s="221" t="s">
        <v>2364</v>
      </c>
      <c r="H22" s="221" t="s">
        <v>2365</v>
      </c>
      <c r="I22" s="230" t="s">
        <v>2366</v>
      </c>
      <c r="J22" s="101" t="s">
        <v>1633</v>
      </c>
      <c r="K22" s="295" t="s">
        <v>2367</v>
      </c>
      <c r="L22" s="230" t="s">
        <v>2368</v>
      </c>
      <c r="M22" s="289" t="s">
        <v>2329</v>
      </c>
      <c r="N22" s="205" t="s">
        <v>2369</v>
      </c>
      <c r="O22" s="205" t="s">
        <v>2370</v>
      </c>
      <c r="P22" s="221" t="s">
        <v>2371</v>
      </c>
      <c r="Q22" s="291" t="s">
        <v>2284</v>
      </c>
    </row>
    <row r="23" customFormat="false" ht="210" hidden="false" customHeight="true" outlineLevel="0" collapsed="false">
      <c r="A23" s="101" t="n">
        <f aca="false">A22+1</f>
        <v>19</v>
      </c>
      <c r="B23" s="205" t="s">
        <v>2372</v>
      </c>
      <c r="C23" s="205" t="s">
        <v>452</v>
      </c>
      <c r="D23" s="221" t="s">
        <v>2373</v>
      </c>
      <c r="E23" s="116" t="s">
        <v>175</v>
      </c>
      <c r="F23" s="205" t="s">
        <v>2374</v>
      </c>
      <c r="G23" s="221" t="s">
        <v>1363</v>
      </c>
      <c r="H23" s="221" t="s">
        <v>2375</v>
      </c>
      <c r="I23" s="230" t="s">
        <v>2376</v>
      </c>
      <c r="J23" s="101" t="s">
        <v>1633</v>
      </c>
      <c r="K23" s="289" t="n">
        <v>653.4</v>
      </c>
      <c r="L23" s="230" t="s">
        <v>2377</v>
      </c>
      <c r="M23" s="289" t="s">
        <v>2378</v>
      </c>
      <c r="N23" s="221" t="s">
        <v>2379</v>
      </c>
      <c r="O23" s="205" t="s">
        <v>2380</v>
      </c>
      <c r="P23" s="221" t="s">
        <v>2381</v>
      </c>
      <c r="Q23" s="291" t="s">
        <v>2284</v>
      </c>
    </row>
    <row r="24" customFormat="false" ht="336" hidden="false" customHeight="true" outlineLevel="0" collapsed="false">
      <c r="A24" s="101" t="n">
        <f aca="false">A23+1</f>
        <v>20</v>
      </c>
      <c r="B24" s="205" t="s">
        <v>2382</v>
      </c>
      <c r="C24" s="205" t="s">
        <v>452</v>
      </c>
      <c r="D24" s="221" t="s">
        <v>2383</v>
      </c>
      <c r="E24" s="116" t="s">
        <v>175</v>
      </c>
      <c r="F24" s="205" t="s">
        <v>2384</v>
      </c>
      <c r="G24" s="221" t="s">
        <v>1839</v>
      </c>
      <c r="H24" s="221" t="s">
        <v>2385</v>
      </c>
      <c r="I24" s="230" t="s">
        <v>2386</v>
      </c>
      <c r="J24" s="101" t="s">
        <v>1633</v>
      </c>
      <c r="K24" s="289" t="n">
        <v>694</v>
      </c>
      <c r="L24" s="230" t="s">
        <v>2387</v>
      </c>
      <c r="M24" s="289" t="s">
        <v>2388</v>
      </c>
      <c r="N24" s="205" t="s">
        <v>2389</v>
      </c>
      <c r="O24" s="205" t="s">
        <v>2390</v>
      </c>
      <c r="P24" s="221" t="s">
        <v>2391</v>
      </c>
      <c r="Q24" s="291" t="s">
        <v>2284</v>
      </c>
    </row>
    <row r="25" customFormat="false" ht="13.5" hidden="false" customHeight="true" outlineLevel="0" collapsed="false">
      <c r="A25" s="85"/>
      <c r="B25" s="84"/>
      <c r="C25" s="84"/>
      <c r="D25" s="87"/>
      <c r="E25" s="89"/>
      <c r="F25" s="84"/>
      <c r="G25" s="87"/>
      <c r="H25" s="87"/>
      <c r="I25" s="222"/>
      <c r="J25" s="85"/>
      <c r="K25" s="296"/>
      <c r="L25" s="222"/>
      <c r="M25" s="296"/>
      <c r="N25" s="84"/>
      <c r="O25" s="84"/>
      <c r="P25" s="84"/>
    </row>
    <row r="26" customFormat="false" ht="13.5" hidden="false" customHeight="true" outlineLevel="0" collapsed="false">
      <c r="A26" s="85"/>
      <c r="B26" s="84"/>
      <c r="C26" s="84"/>
      <c r="D26" s="87"/>
      <c r="E26" s="89"/>
      <c r="F26" s="84"/>
      <c r="G26" s="87"/>
      <c r="H26" s="87"/>
      <c r="I26" s="222"/>
      <c r="J26" s="85"/>
      <c r="K26" s="296"/>
      <c r="L26" s="222"/>
      <c r="M26" s="296"/>
      <c r="N26" s="84"/>
      <c r="O26" s="84"/>
      <c r="P26" s="84"/>
    </row>
    <row r="27" customFormat="false" ht="13.5" hidden="false" customHeight="true" outlineLevel="0" collapsed="false">
      <c r="A27" s="89" t="s">
        <v>2392</v>
      </c>
      <c r="B27" s="84"/>
      <c r="C27" s="84"/>
      <c r="D27" s="87"/>
      <c r="E27" s="89"/>
      <c r="F27" s="84"/>
      <c r="G27" s="87"/>
      <c r="H27" s="87"/>
      <c r="I27" s="222"/>
      <c r="J27" s="85"/>
      <c r="K27" s="296"/>
      <c r="L27" s="222"/>
      <c r="M27" s="296"/>
      <c r="N27" s="84"/>
      <c r="O27" s="84"/>
      <c r="P27" s="84"/>
    </row>
    <row r="28" customFormat="false" ht="181.5" hidden="false" customHeight="true" outlineLevel="0" collapsed="false">
      <c r="A28" s="101" t="n">
        <f aca="false">A24+1</f>
        <v>21</v>
      </c>
      <c r="B28" s="205" t="s">
        <v>2393</v>
      </c>
      <c r="C28" s="205" t="s">
        <v>15</v>
      </c>
      <c r="D28" s="221" t="s">
        <v>2394</v>
      </c>
      <c r="E28" s="116" t="s">
        <v>482</v>
      </c>
      <c r="F28" s="205" t="s">
        <v>2395</v>
      </c>
      <c r="G28" s="221" t="s">
        <v>2396</v>
      </c>
      <c r="H28" s="221" t="s">
        <v>2397</v>
      </c>
      <c r="I28" s="230" t="s">
        <v>2398</v>
      </c>
      <c r="J28" s="101" t="s">
        <v>1633</v>
      </c>
      <c r="K28" s="289" t="n">
        <v>465.8</v>
      </c>
      <c r="L28" s="290" t="s">
        <v>2399</v>
      </c>
      <c r="M28" s="289" t="s">
        <v>2400</v>
      </c>
      <c r="N28" s="205" t="s">
        <v>2401</v>
      </c>
      <c r="O28" s="205" t="s">
        <v>2402</v>
      </c>
      <c r="P28" s="205" t="s">
        <v>2403</v>
      </c>
      <c r="Q28" s="291" t="s">
        <v>17</v>
      </c>
    </row>
    <row r="29" customFormat="false" ht="168" hidden="false" customHeight="true" outlineLevel="0" collapsed="false">
      <c r="A29" s="101" t="n">
        <f aca="false">A28+1</f>
        <v>22</v>
      </c>
      <c r="B29" s="205" t="s">
        <v>2404</v>
      </c>
      <c r="C29" s="205" t="s">
        <v>452</v>
      </c>
      <c r="D29" s="221" t="s">
        <v>2405</v>
      </c>
      <c r="E29" s="116" t="s">
        <v>190</v>
      </c>
      <c r="F29" s="205" t="s">
        <v>2406</v>
      </c>
      <c r="G29" s="221" t="s">
        <v>2316</v>
      </c>
      <c r="H29" s="294" t="s">
        <v>2407</v>
      </c>
      <c r="I29" s="230" t="s">
        <v>2408</v>
      </c>
      <c r="J29" s="101" t="s">
        <v>1676</v>
      </c>
      <c r="K29" s="292" t="s">
        <v>2409</v>
      </c>
      <c r="L29" s="290" t="s">
        <v>2410</v>
      </c>
      <c r="M29" s="289" t="s">
        <v>2378</v>
      </c>
      <c r="N29" s="205" t="s">
        <v>2411</v>
      </c>
      <c r="O29" s="205" t="s">
        <v>2412</v>
      </c>
      <c r="P29" s="205" t="s">
        <v>2413</v>
      </c>
      <c r="Q29" s="291" t="s">
        <v>17</v>
      </c>
    </row>
    <row r="30" customFormat="false" ht="13.5" hidden="false" customHeight="true" outlineLevel="0" collapsed="false">
      <c r="A30" s="85"/>
      <c r="B30" s="84"/>
      <c r="C30" s="84"/>
      <c r="D30" s="87"/>
      <c r="E30" s="89"/>
      <c r="F30" s="84"/>
      <c r="G30" s="87"/>
      <c r="H30" s="87"/>
      <c r="I30" s="222"/>
      <c r="J30" s="85"/>
      <c r="K30" s="296"/>
      <c r="L30" s="297"/>
      <c r="M30" s="296"/>
      <c r="N30" s="84"/>
      <c r="O30" s="84"/>
      <c r="P30" s="84"/>
    </row>
    <row r="31" customFormat="false" ht="13.5" hidden="false" customHeight="true" outlineLevel="0" collapsed="false">
      <c r="A31" s="89" t="s">
        <v>2414</v>
      </c>
      <c r="B31" s="84"/>
      <c r="C31" s="84"/>
      <c r="D31" s="87"/>
      <c r="E31" s="89"/>
      <c r="F31" s="84"/>
      <c r="G31" s="87"/>
      <c r="H31" s="87"/>
      <c r="I31" s="222"/>
      <c r="J31" s="85"/>
      <c r="K31" s="296"/>
      <c r="L31" s="297"/>
      <c r="M31" s="296"/>
      <c r="N31" s="84"/>
      <c r="O31" s="84"/>
      <c r="P31" s="84"/>
    </row>
    <row r="32" customFormat="false" ht="13.5" hidden="false" customHeight="true" outlineLevel="0" collapsed="false">
      <c r="A32" s="298" t="s">
        <v>2415</v>
      </c>
      <c r="B32" s="84"/>
      <c r="C32" s="84"/>
      <c r="D32" s="87"/>
      <c r="E32" s="89"/>
      <c r="F32" s="84"/>
      <c r="G32" s="87"/>
      <c r="H32" s="87"/>
      <c r="I32" s="222"/>
      <c r="J32" s="85"/>
      <c r="K32" s="296"/>
      <c r="L32" s="297"/>
      <c r="M32" s="296"/>
      <c r="N32" s="84"/>
      <c r="O32" s="84"/>
      <c r="P32" s="84"/>
    </row>
    <row r="33" customFormat="false" ht="265.5" hidden="false" customHeight="true" outlineLevel="0" collapsed="false">
      <c r="A33" s="101" t="n">
        <f aca="false">A29+1</f>
        <v>23</v>
      </c>
      <c r="B33" s="205" t="s">
        <v>2416</v>
      </c>
      <c r="C33" s="205" t="s">
        <v>2417</v>
      </c>
      <c r="D33" s="221" t="s">
        <v>2418</v>
      </c>
      <c r="E33" s="116" t="s">
        <v>482</v>
      </c>
      <c r="F33" s="205" t="s">
        <v>2419</v>
      </c>
      <c r="G33" s="221" t="s">
        <v>2420</v>
      </c>
      <c r="H33" s="221" t="s">
        <v>2421</v>
      </c>
      <c r="I33" s="230" t="s">
        <v>2422</v>
      </c>
      <c r="J33" s="101" t="s">
        <v>1676</v>
      </c>
      <c r="K33" s="292" t="s">
        <v>2423</v>
      </c>
      <c r="L33" s="290" t="s">
        <v>2424</v>
      </c>
      <c r="M33" s="289" t="s">
        <v>2425</v>
      </c>
      <c r="N33" s="205" t="s">
        <v>17</v>
      </c>
      <c r="O33" s="205" t="s">
        <v>2426</v>
      </c>
      <c r="P33" s="205" t="s">
        <v>2427</v>
      </c>
      <c r="Q33" s="291" t="s">
        <v>463</v>
      </c>
    </row>
    <row r="34" customFormat="false" ht="195.75" hidden="false" customHeight="true" outlineLevel="0" collapsed="false">
      <c r="A34" s="101" t="n">
        <f aca="false">A33+1</f>
        <v>24</v>
      </c>
      <c r="B34" s="205" t="s">
        <v>2428</v>
      </c>
      <c r="C34" s="205" t="s">
        <v>2417</v>
      </c>
      <c r="D34" s="221" t="s">
        <v>2429</v>
      </c>
      <c r="E34" s="116" t="s">
        <v>175</v>
      </c>
      <c r="F34" s="205" t="s">
        <v>2430</v>
      </c>
      <c r="G34" s="221" t="s">
        <v>446</v>
      </c>
      <c r="H34" s="221" t="s">
        <v>2431</v>
      </c>
      <c r="I34" s="230" t="s">
        <v>2432</v>
      </c>
      <c r="J34" s="101" t="s">
        <v>1676</v>
      </c>
      <c r="K34" s="292" t="s">
        <v>2433</v>
      </c>
      <c r="L34" s="290" t="s">
        <v>2434</v>
      </c>
      <c r="M34" s="289" t="s">
        <v>2435</v>
      </c>
      <c r="N34" s="205" t="s">
        <v>17</v>
      </c>
      <c r="O34" s="205" t="s">
        <v>2436</v>
      </c>
      <c r="P34" s="205" t="s">
        <v>17</v>
      </c>
      <c r="Q34" s="291" t="s">
        <v>463</v>
      </c>
    </row>
    <row r="35" customFormat="false" ht="181.5" hidden="false" customHeight="true" outlineLevel="0" collapsed="false">
      <c r="A35" s="101" t="n">
        <f aca="false">A34+1</f>
        <v>25</v>
      </c>
      <c r="B35" s="205" t="s">
        <v>602</v>
      </c>
      <c r="C35" s="205" t="s">
        <v>2417</v>
      </c>
      <c r="D35" s="221" t="s">
        <v>2437</v>
      </c>
      <c r="E35" s="116" t="s">
        <v>190</v>
      </c>
      <c r="F35" s="205" t="s">
        <v>2438</v>
      </c>
      <c r="G35" s="221" t="s">
        <v>2439</v>
      </c>
      <c r="H35" s="221" t="s">
        <v>2440</v>
      </c>
      <c r="I35" s="230" t="s">
        <v>2441</v>
      </c>
      <c r="J35" s="101" t="s">
        <v>1633</v>
      </c>
      <c r="K35" s="289" t="n">
        <v>3010</v>
      </c>
      <c r="L35" s="230" t="s">
        <v>2442</v>
      </c>
      <c r="M35" s="289" t="s">
        <v>2329</v>
      </c>
      <c r="N35" s="205" t="s">
        <v>2443</v>
      </c>
      <c r="O35" s="205" t="s">
        <v>2444</v>
      </c>
      <c r="P35" s="205" t="s">
        <v>2445</v>
      </c>
      <c r="Q35" s="291" t="s">
        <v>2284</v>
      </c>
    </row>
    <row r="36" customFormat="false" ht="13.5" hidden="false" customHeight="true" outlineLevel="0" collapsed="false">
      <c r="A36" s="85"/>
      <c r="B36" s="84"/>
      <c r="C36" s="84"/>
      <c r="D36" s="87"/>
      <c r="E36" s="89"/>
      <c r="F36" s="84"/>
      <c r="G36" s="87"/>
      <c r="H36" s="87"/>
      <c r="I36" s="222"/>
      <c r="J36" s="85"/>
      <c r="K36" s="296"/>
      <c r="L36" s="297"/>
      <c r="M36" s="296"/>
      <c r="N36" s="84"/>
      <c r="O36" s="84"/>
      <c r="P36" s="84"/>
    </row>
    <row r="37" s="280" customFormat="true" ht="13.5" hidden="false" customHeight="true" outlineLevel="0" collapsed="false">
      <c r="A37" s="89" t="s">
        <v>2446</v>
      </c>
      <c r="E37" s="281"/>
      <c r="H37" s="282"/>
      <c r="I37" s="282"/>
    </row>
    <row r="38" s="280" customFormat="true" ht="13.5" hidden="false" customHeight="true" outlineLevel="0" collapsed="false">
      <c r="E38" s="281"/>
      <c r="H38" s="282"/>
      <c r="I38" s="282"/>
    </row>
    <row r="39" s="280" customFormat="true" ht="13.5" hidden="false" customHeight="true" outlineLevel="0" collapsed="false">
      <c r="H39" s="282"/>
    </row>
    <row r="40" customFormat="false" ht="139.5" hidden="false" customHeight="true" outlineLevel="0" collapsed="false">
      <c r="A40" s="299" t="n">
        <f aca="false">A41+1</f>
        <v>9</v>
      </c>
      <c r="B40" s="300" t="s">
        <v>2447</v>
      </c>
      <c r="C40" s="300" t="s">
        <v>452</v>
      </c>
      <c r="D40" s="223" t="s">
        <v>2448</v>
      </c>
      <c r="E40" s="301" t="s">
        <v>482</v>
      </c>
      <c r="F40" s="300" t="s">
        <v>427</v>
      </c>
      <c r="G40" s="223" t="s">
        <v>2316</v>
      </c>
      <c r="H40" s="223" t="s">
        <v>2449</v>
      </c>
      <c r="I40" s="302" t="s">
        <v>2450</v>
      </c>
      <c r="J40" s="299" t="s">
        <v>1676</v>
      </c>
      <c r="K40" s="303" t="n">
        <v>4567</v>
      </c>
      <c r="L40" s="304" t="s">
        <v>2451</v>
      </c>
      <c r="M40" s="303" t="s">
        <v>2452</v>
      </c>
      <c r="N40" s="300" t="s">
        <v>2453</v>
      </c>
      <c r="O40" s="300" t="s">
        <v>2453</v>
      </c>
      <c r="P40" s="300" t="s">
        <v>2454</v>
      </c>
      <c r="Q40" s="305" t="s">
        <v>17</v>
      </c>
    </row>
    <row r="41" customFormat="false" ht="139.5" hidden="false" customHeight="true" outlineLevel="0" collapsed="false">
      <c r="A41" s="299" t="n">
        <f aca="false">A11+1</f>
        <v>8</v>
      </c>
      <c r="B41" s="300" t="s">
        <v>2455</v>
      </c>
      <c r="C41" s="300" t="s">
        <v>452</v>
      </c>
      <c r="D41" s="223" t="s">
        <v>2456</v>
      </c>
      <c r="E41" s="301" t="s">
        <v>482</v>
      </c>
      <c r="F41" s="300" t="s">
        <v>427</v>
      </c>
      <c r="G41" s="223" t="s">
        <v>2316</v>
      </c>
      <c r="H41" s="223" t="s">
        <v>2457</v>
      </c>
      <c r="I41" s="302" t="s">
        <v>2458</v>
      </c>
      <c r="J41" s="299" t="s">
        <v>1633</v>
      </c>
      <c r="K41" s="303"/>
      <c r="L41" s="303"/>
      <c r="M41" s="303"/>
      <c r="N41" s="300" t="s">
        <v>17</v>
      </c>
      <c r="O41" s="300" t="s">
        <v>17</v>
      </c>
      <c r="P41" s="300" t="s">
        <v>17</v>
      </c>
      <c r="Q41" s="305" t="s">
        <v>17</v>
      </c>
    </row>
  </sheetData>
  <autoFilter ref="A4:Q4"/>
  <mergeCells count="1">
    <mergeCell ref="E3:G3"/>
  </mergeCells>
  <hyperlinks>
    <hyperlink ref="I5" r:id="rId1" display="https://www.finanznachrichten.de/nachrichten-2026-01/67412889-admiral-group-plc-chief-financial-officer-transition-399.htm&#10;&#10;https://www.londonstockexchange.com/news-article/ADM/admiral-group-plc-full-year-2025-results/17488674&#10;&#10;https://www.investegate.co.uk/announcement/gnw/admiral-group--adm/admiral-group-completes-acquisition-of-flock/9594345&#10;&#10;https://insurance-edge.net/2026/07/01/admiral-business-teams-up-with-anna-on-embedded/"/>
    <hyperlink ref="L5" r:id="rId2" display="https://eyindia.sharepoint.com/:b:/r/sites/InsuranceResearch/Shared%20Documents/Insurance%20Research/Top%2020%20UK/Admiral%202025%20Annual%20Report%20and%20Accounts.pdf?csf=1&amp;web=1&amp;e=tuKydq&#10;&#10;&#10;"/>
    <hyperlink ref="I6" r:id="rId3" location=":~:text=This%20is%20a%20key%20milestone%20in%20Ageas%20UK’s,strong%20presence%20in%20both%20motor%20and%20home%20insurance." display="https://www.ageas.co.uk/press-releases/2025/ageas-uk-completes-acquisition-of-esure/#:~:text=This%20is%20a%20key%20milestone%20in%20Ageas%20UK%E2%80%99s,strong%20presence%20in%20both%20motor%20and%20home%20insurance.&#10;&#10;https://www.ageas.co.uk/press-releases/2025/ageas-saga-launch-20-year-affinity-partnership-motor-live-home-to-follow/&#10;https://www.insurancebusinessmag.com/uk/news/mergers-acquisitions/ageas-finalises-1-3-billion-deal-for-esure-551389.aspx&#10;&#10;https://www.ageas.co.uk/press-releases/2026-press-releases/ageas-saga-partnership-milestone-home-insurance/&#10;&#10;https://www.ageas.co.uk/press-releases/2026-press-releases/ageas-uk-joins-forces-wrisk-embedded-motor-insurance/&#10;&#10;https://www.ageas.co.uk/press-releases/2026-press-releases/ageas-30-year-connells-partnership-digital-home-insurance-platform/&#10;&#10;https://www.ageas.co.uk/press-releases/2026-press-releases/ageas-strengthens-partnership-john-lewis-money-joining-motor-panel/"/>
    <hyperlink ref="L6" r:id="rId4" display="https://eyindia.sharepoint.com/:b:/r/sites/InsuranceResearch/Shared%20Documents/Insurance%20Research/Top%2020%20UK/Ageas%20Annual%20Report%202024.pdf?csf=1&amp;web=1&amp;e=aZR7jX"/>
    <hyperlink ref="I7" r:id="rId5" display="https://www.allianz.co.uk/news-and-insight/news/allianz-prevents-record-level-of-fraud.html&#10;&#10;https://www.allianz.co.uk/news-and-insight/news/allianz-accident-sickness-unemployment.html&#10;&#10;https://www.allianz.co.uk/news-and-insight/news/allianz-deliver-strong-full-year-2025-performance-in-the-uk.html&#10;&#10;https://www.allianz.co.uk/news-and-insight/news/allianz-and-lv-long-term-partnership.html&#10;&#10;https://www.allianz.co.uk/news-and-insight/news/allianz-and-asda-agree-insurance-partnership.html&#10;&#10;https://www.allianz.co.uk/news-and-insight/news/allianz-launches-slick-cover-car-insurance.html"/>
    <hyperlink ref="L7" r:id="rId6" display="https://eyindia.sharepoint.com/:b:/r/sites/InsuranceResearch/Shared%20Documents/Insurance%20Research/Top%2020%20UK/Allianz%20UK%20Annual%20Report%202025.pdf?csf=1&amp;web=1&amp;e=2qmzRa"/>
    <hyperlink ref="I8" r:id="rId7" display="McGill and Partners and AIG Launch Long-Term Strategic Collaboration in a Major Development for the Subscription Market | American International Group, Inc.&#10;&#10;https://aig.gcs-web.com/news-releases/news-release-details/aig-completes-acquisitions-strategic-minority-ownership-stakes?noback&#10;&#10;https://www.aig.co.uk/home/insight-page/aig-and-salford-city-fc"/>
    <hyperlink ref="L8" r:id="rId8" display="https://eyindia.sharepoint.com/:b:/r/sites/InsuranceResearch/Shared%20Documents/Insurance%20Research/Top%2020%20UK/AIG%20UK%202024%20Annual%20Report.pdf?csf=1&amp;web=1&amp;e=LTOpPb"/>
    <hyperlink ref="I9" r:id="rId9" display="https://www.directlinegroup.co.uk/en/index.html&#10;&#10;&#10;https://www.aviva.com/newsroom/news-releases/2026/04/aviva-completes-100m-full-scheme-buy-in-with-the-iveco-limited-pension-scheme/&#10;&#10;&#10;https://www.insurancebusinessmag.com/uk/news/breaking-news/aviva-confirms-new-leadership-team-after-direct-line-merger-541168.aspx&#10;&#10;https://infotechlead.com/cio/aviva-scales-ai-and-digital-transformation-to-reinvent-insurance-operations-and-customer-experience-94232&#10;&#10;https://www.marketscreener.com/news/aviva-agrees-to-purchase-remaining-26-stake-in-india-joint-venture-ce7f5ed9d189f025&#10;&#10;https://www.marketscreener.com/news/aviva-and-axis-launch-new-lloyda-s-consortium-to-power-uk-renewable-energy-growth-ce7f5ed8d181f022&#10;&#10;https://www.marketscreener.com/news/aviva-has-successfully-completed-its-350m-share-buyback-programme-ce7f5ed8d18bf122"/>
    <hyperlink ref="L9" r:id="rId10" display="https://eyindia.sharepoint.com/:b:/r/sites/InsuranceResearch/Shared%20Documents/Insurance%20Research/Top%2020%20UK/Aviva%20annual-report-and-accounts-2025.pdf?csf=1&amp;web=1&amp;e=3Y7s8q"/>
    <hyperlink ref="I10" r:id="rId11" display="https://insurance-edge.net/2026/03/25/axa-insurance-uk-will-unify-commercial-retail/&#10;&#10;&#10;https://www.axa.co.uk/newsroom/media-releases/2026/axa-insurance-uk-appoints-martin-milliner-as-chief-claims-transformation-officer/&#10;&#10;https://www.axa.co.uk/newsroom/media-releases/2026/free-sustainability-initiative-helps-smes-build-resilience-and-adapt-to-climate-change/"/>
    <hyperlink ref="L10" r:id="rId12" display="https://eyindia.sharepoint.com/:b:/r/sites/InsuranceResearch/Shared%20Documents/Insurance%20Research/Top%2020%20UK/AXA%20Annual%20Report%202025.pdf?csf=1&amp;web=1&amp;e=n88iIa"/>
    <hyperlink ref="I11" r:id="rId13" display="https://www.insurancebusinessmag.com/uk/news/life-insurance/bupa-seals-fouryear-spire-deal-as-pmi-demand-surges-571445.aspx&#10;&#10;https://www.bupa.com/news-and-press/press-releases/2026/bupa-group-full-year-financial-results-2025&#10;&#10;https://www.bupa.co.uk/business/news-and-information/sme-paperless&#10;&#10;https://www.prnewswire.co.uk/news-releases/bupa-and-yulife-launch-innovative-cash-plan-to-improve-workplace-health-302772167.html"/>
    <hyperlink ref="L11" r:id="rId14" display="https://eyindia.sharepoint.com/:b:/r/sites/InsuranceResearch/Shared%20Documents/Insurance%20Research/Top%2020%20UK/bupa-group-results-and-financial-statement-fy2025.pdf?csf=1&amp;web=1&amp;e=gNT1GQ"/>
    <hyperlink ref="I12" r:id="rId15" display="https://group.legalandgeneral.com/en/newsroom/press-releases/l-g-announces-collaboration-with-microsoft-to-drive-customer-focused-ai-transformation&#10;&#10;&#10;https://group.legalandgeneral.com/en/newsroom/press-releases/l-g-and-manulife-wealth-asset-management-announce-strategic-global-partnership&#10;&#10;https://group.legalandgeneral.com/en/newsroom/press-releases/l-g-liquidity-funds-now-live-on-ss-c-s-calastone-tokenised-distribution-network&#10;&#10;https://group.legalandgeneral.com/en/newsroom/press-releases/hyde-group-and-l-g-launch-partnership-to-deliver-more-affordable-homes&#10;&#10;https://group.legalandgeneral.com/newsroom/press-releases/2026/6/lg-expands-microsoft-collaboration-to-accelerate-ai-enablement-and-transform-customer-experience/&#10;&#10;https://group.legalandgeneral.com/newsroom/press-releases/2026/5/lg-paid-out-over-1.388bn-protection-claims-in-2025/"/>
    <hyperlink ref="L12" r:id="rId16" display="https://eyindia.sharepoint.com/:b:/r/sites/InsuranceResearch/Shared%20Documents/Insurance%20Research/Top%2020%20UK/Legal%20PLC%20annual-reports-and-accounts-2025.pdf?csf=1&amp;web=1&amp;e=lhamj4"/>
    <hyperlink ref="I13" r:id="rId17" display="https://www.lv.com/about-us/news/sharing-our-2025-financial-results?_gl=1*o2jo2n*_up*MQ..*_ga*MTM4MDcyOTQ5MS4xNzc2MTQzODE3*_ga_3MD00281LR*czE3NzYxNDM4MTckbzEkZzAkdDE3NzYxNDM4MTckajYwJGwwJGgw&#10;&#10;https://protectionreporter.co.uk/exclusive-lv-rebrand-for-personal-lines-business-classified-as-brand-risk-in-annual-report-and-financial-statements.html&#10;&#10;https://www.insurancebusinessmag.com/uk/news/breaking-news/lv-policyholders-to-move-to-allianz-insurance-plc-in-january-2027-579078.aspx"/>
    <hyperlink ref="L13" r:id="rId18" display="https://eyindia.sharepoint.com/:b:/r/sites/InsuranceResearch/Shared%20Documents/Insurance%20Research/Top%2020%20UK/Liver%20Annual%20Report%20-%202025.pdf?csf=1&amp;web=1&amp;e=pwKNvy"/>
    <hyperlink ref="I14" r:id="rId19" display="https://www.businesswire.com/news/home/20260126340964/en/NFU-Mutual-to-Further-Improve-Customer-Service-by-Moving-to-Guidewire-Cloud-Platform&#10;&#10;&#10;https://www.aviva.com/newsroom/news-releases/2025/11/aviva-signs-new-protection-distribution-agreement-with-nfu-mutual/&#10;&#10;https://www.nfumutual.co.uk/about-us/agm/&#10;&#10;https://soultonhall.co.uk/2026/transparency-and-timing-november-2026-trial-set-for-nfu-mutual-business-interruption-claims/"/>
    <hyperlink ref="L14" r:id="rId20" display="https://eyindia.sharepoint.com/:b:/r/sites/InsuranceResearch/Shared%20Documents/Insurance%20Research/Top%2020%20UK/NFU%20Mutual%20Fund%20Annual%20report%202024.pdf?csf=1&amp;web=1&amp;e=PztFjK"/>
    <hyperlink ref="I15" r:id="rId21" display="https://www.londonstockexchange.com/news-article/PHNX/change-of-company-name/17474860&#10;&#10;https://www.britbrief.co.uk/business/acquisitions/standard-life-buys-aegon-uk-in-2bn-pension-deal.html&#10;&#10;https://www.standardlifeplc.com/news-and-views/press-releases/article-page/buy-in-with-abbey-life"/>
    <hyperlink ref="L15" r:id="rId22" display="https://eyindia.sharepoint.com/:b:/r/sites/InsuranceResearch/Shared%20Documents/Insurance%20Research/Top%2020%20UK/Phieonox%20Annual%20Report%202024.pdf?csf=1&amp;web=1&amp;e=xj66AF"/>
    <hyperlink ref="I16" r:id="rId23" display="https://uk.advfn.com/stock-market/london/prudential-PRU/share-news/Prudential-PLC-Appointment-of-Chair-Designate/97610507&#10;&#10;https://www.prudentialplc.com/en/newsroom/company-news/2026/prudential-plc-2025-full-year-results/&#10;&#10;https://www.prudentialplc.com/en/newsroom/company-news/2026/Prudential-plc-repositions-its-India-operations-through--a-controlling-stake-in-Bharti-Life-Insurance/&#10;&#10;https://www.multibagg.ai/market-pulse/articles/prudential-bharti-life-icici-pru-cmr7myqw2poiuqs0j6arjaeqa&#10;&#10;https://www.directorstalkinterviews.com/prudential-expands-india-presence-with-bharti-life-acquisition/4121251722"/>
    <hyperlink ref="L16" r:id="rId24" display="https://eyindia.sharepoint.com/:b:/r/sites/InsuranceResearch/Shared%20Documents/Insurance%20Research/Top%2020%20UK/Prudential-plc-ar-2025.pdf?csf=1&amp;web=1&amp;e=yhMMFp"/>
    <hyperlink ref="I17" r:id="rId25" display="https://www.rsainsurance.co.uk/&#10;&#10;https://www.insuranceage.co.uk/people/7957330/c%C3%B4t%C3%A9-reunites-with-argentieri-as-rsa-recruits-cdo-from-allianz&#10;&#10;https://www.postonline.co.uk/news/7960053/intact-bringing-us-surety-play-to-uk-market&#10;&#10;https://www.insurancebusinessmag.com/uk/news/marine/geo-underwriting-intact-announce-marine-capacity-deal-571676.aspx&#10;&#10;https://www.intactinsurance.co.uk/news/press-releases/intact-insurance-launches-new-claims-charter&#10;&#10;https://www.intactinsurance.co.uk/news/press-releases/intact-insurance-extends-risk-consulting-service-for-commercial-lines-policyholders&#10;&#10;https://www.intactinsurance.co.uk/news/updates/six-etrade-products-rated-5-star-defaqto&#10;https://hrtoday.in/sameer-madan-joins-intact-india-as-chief-of-finance-technology-and-operations-for-india-gcc/"/>
    <hyperlink ref="L17" r:id="rId26" display="https://eyindia.sharepoint.com/:b:/r/sites/InsuranceResearch/Shared%20Documents/Insurance%20Research/Top%2020%20UK/RSA%20Insurance%20Annual%20Report%202025.pdf?csf=1&amp;web=1&amp;e=eOvlg3"/>
    <hyperlink ref="I18" r:id="rId27" display="https://healthcareandprotection.com/zurich-launches-cancer-assessment-tool-from-further-for-group-risk-schemes/&#10;&#10;https://www.insurancejournal.com/news/international/2026/03/02/860121.htm&#10;&#10;https://insurance-edge.net/2026/04/15/zurich-teams-up-with-empathy-on-bereavement-support/&#10;&#10;https://www.zurich.co.uk/media-centre/emergency-environmental-response-service-added-to-zurich-cover&#10;&#10;https://www.zurich.co.uk/media-centre/zurich-uk-enhances-sme-etrade-commercial-combined-offering&#10;&#10;https://www.zurich.co.uk/media-centre/zurich-retail-protection-claims-payments-up-2025&#10;&#10;https://www.insurancebusinessmag.com/us/news/breaking-news/european-commission-clears-zurichs-8-1-billion-acquisition-of-beazley-582095.aspx&#10;&#10;https://www.insurancejournal.com/news/international/2026/06/18/874150.htm&#10;"/>
    <hyperlink ref="L18" r:id="rId28" display="https://www.zurich.co.uk/media-centre/zurich-uk-reports-its-full-year-results-for-the-2024"/>
    <hyperlink ref="I19" r:id="rId29" display="https://www.hiscoxgroup.com/news/press-releases/2026/16-02-26&#10;&#10;https://www.londonstockexchange.com/news-article/HSX/full-year-results/17475217&#10;&#10;https://www.hiscoxgroup.com/news/press-releases&#10;&#10;https://www.tipranks.com/news/company-announcements/hiscox-continues-share-buyback-cancels-335000-plus-shares"/>
    <hyperlink ref="L19" r:id="rId30" display="https://eyindia.sharepoint.com/:b:/r/sites/InsuranceResearch/Shared%20Documents/Insurance%20Research/Top%2020%20UK/Hiscox_report_and_accounts_2025.pdf?csf=1&amp;web=1&amp;e=OJYNw3"/>
    <hyperlink ref="I20" r:id="rId31" display="https://www.rsmuk.com/insights/tax-voice/hmrc-loses-vat-battle-of-hastings-for-the-second-time&#10;&#10;https://www.hastingsgroup.uk/news-announcements/hastings-sustainability-report-2025"/>
    <hyperlink ref="L20" r:id="rId32" display="https://www.hastingsgroup.uk/news-announcements/hastings-group-reports-fourth-quarter-results-2025"/>
    <hyperlink ref="F21" r:id="rId33" display="Andy Blackmore"/>
    <hyperlink ref="I21" r:id="rId34" display="https://www.ecclesiastical.com/media-centre/crack-down-on-fraudsters/&#10;&#10;https://www.ecclesiastical.com/media-centre/ecclesiastical-tops-fairer-finance-home-insurance-table-for-22nd-time/&#10;&#10;https://www.insuranceage.co.uk/organisations/ecclesiastical&#10;&#10;https://www.tipranks.com/news/company-announcements/ecclesiastical-insurance-shareholders-back-articles-change-with-overwhelming-majority"/>
    <hyperlink ref="L21" r:id="rId35" display="https://eyindia.sharepoint.com/:b:/r/sites/InsuranceResearch/Shared%20Documents/Insurance%20Research/Top%2020%20UK/Ecclesiastical-annual-results-2025.pdf?csf=1&amp;web=1&amp;e=43TThX"/>
    <hyperlink ref="F22" r:id="rId36" display="Tim Piggott"/>
    <hyperlink ref="I22" r:id="rId37" display="https://convexin.com/wp-content/uploads/2026/02/Press-release-Convexs-new-ownership-structure-receives-regulatory-approval-060226.pdf&#10;&#10;https://www.spglobal.com/ratings/en/regulatory/article/-/view/sourceId/101654748&#10;&#10;https://www.artemis.bm/news/convex-targets-200m-of-retrocession-with-its-fourth-hypatia-catastrophe-bond/&#10;&#10;https://www.insurancejournal.com/news/international/2026/05/28/871600.htm&#10;&#10;https://convexin.com/wp-content/uploads/2026/06/Convex-MGA-release-030526.pdf"/>
    <hyperlink ref="L22" r:id="rId38" display="https://convexin.com/2026/02/20/record-profit-achieved-in-2025/"/>
    <hyperlink ref="I23" r:id="rId39" display="https://corporate.tescoinsurance.com/tesco-insurance-names-new-ceo-following-separation-from-tesco-bank/&#10;&#10;https://www.fstech.co.uk/fst/Tesco_Insurance_And_Money_Services_Turns_Attention_Towards_Digital_Transformation.php&#10;&#10;https://corporate.tescoinsurance.com/tesco-and-aviva-expand-protection-offering-with-launch-of-critical-illness-cover/&#10;&#10;https://corporate.tescoinsurance.com/tesco-insurance-introduces-free-parent-life-cover-in-partnership-with-aviva/"/>
    <hyperlink ref="L23" r:id="rId40" display="https://eyindia.sharepoint.com/:b:/r/sites/InsuranceResearch/Shared%20Documents/Insurance%20Research/Top%2020%20UK/Tesco-limited-annual-accounts-2024.pdf?csf=1&amp;web=1&amp;e=Jyh1DA"/>
    <hyperlink ref="I24" r:id="rId41" display="https://www.markerstudygroup.com/media/news/markerstudy-group/markerstudy-welcomes-glen-ward-as-group-chief-financial-officer/&#10;&#10;https://www.insurancebusinessmag.com/uk/news/breaking-news/markerstudy-hit-with-fca-restrictions-564021.aspx&#10;&#10;https://www.insurancebusinessmag.com/uk/news/breaking-news/markerstudy-launches-commercial-arm-targeting-200-million-gwp-574556.aspx&#10;&#10;https://www.insuranceage.co.uk/insurer/7958332/markerstudy-to-sell-mga-business-with-cuo-humphreys-poised-to-exit&#10;&#10;https://www.markerstudygroup.com/media/news/markerstudy-group/markerstudy-group-completes-sale-of-misl-to-saturn-to-support-strategic-focus-and-future-growth/"/>
    <hyperlink ref="L24" r:id="rId42" display="https://eyindia.sharepoint.com/:b:/r/sites/InsuranceResearch/Shared%20Documents/Insurance%20Research/Top%2020%20UK/Makerstudy%20-annual-report-2024.pdf?csf=1&amp;web=1&amp;e=ZoiU2k"/>
    <hyperlink ref="I28" r:id="rId43" display="https://www.scottishfinancialnews.com/articles/edinburgh-based-aegon-uk-at-risk-of-sale-amid-us-strategic-pivot&#10;&#10;https://financialpost.com/pmn/business-pmn/lloyds-phoenix-submit-initial-bids-for-aegons-uk-unit&#10;&#10;https://www.aegon.com/newsroom/news/press-releases/2026/aegon-to-sell-aegon-uk-to-standard-life"/>
    <hyperlink ref="L28" r:id="rId44" display="https://eyindia.sharepoint.com/sites/InsuranceResearch/Shared%20Documents/Forms/AllItems.aspx?id=%2Fsites%2FInsuranceResearch%2FShared%20Documents%2FInsurance%20Research%2FTop%2020%20UK%2FAegon%20UK%20PLC%20Group%20accounts%202024%2Epdf&amp;parent=%2Fsites%2FInsuranceResearch%2FShared%20Documents%2FInsurance%20Research%2FTop%2020%20UK"/>
    <hyperlink ref="I29" r:id="rId45" display="https://www.insurancejournal.com/news/international/2026/03/02/860121.htm&#10;&#10;https://www.insurancebusinessmag.com/us/news/cyber/beazley-adds-300m-cyber-cat-bond-as-ils-strategy-deepens-560096.aspx&#10;&#10;https://www.insurancebusinessmag.com/us/news/breaking-news/european-commission-clears-zurichs-8-1-billion-acquisition-of-beazley-582095.aspx"/>
    <hyperlink ref="L29" r:id="rId46" display="https://eyindia.sharepoint.com/:b:/r/sites/InsuranceResearch/Shared%20Documents/Insurance%20Research/Top%2020%20UK/Bezley%20PLC%20Annual%20Report%202025.pdf?csf=1&amp;web=1&amp;e=8FR6or"/>
    <hyperlink ref="I33" r:id="rId47" display="https://www.aon.com/unitedkingdom/media-room/articles/aon-carl-nordling-uk-nordics-director&#10;&#10;https://www.aon.com/unitedkingdom/media-room/articles/aon-health-risk-analyser-uk-workforce-risks&#10;&#10;https://www.prnewswire.com/in/news-releases/aon-expands-aon-claims-copilot-globally-strengthening-data-and-analytics-capabilities-across-commercial-risk-302770175.html&#10;&#10;https://www.prnewswire.com/in/news-releases/aon-to-modernize-how-brokers-access-capital-and-syndicate-risk-with-new-digital-placement-exchange-aon-dpx-trading-platform-302773754.html&#10;&#10;https://aon.mediaroom.com/news-releases?item=138603"/>
    <hyperlink ref="L33" r:id="rId48" display="https://eyindia.sharepoint.com/:b:/r/sites/InsuranceResearch/Shared%20Documents/Insurance%20Research/Top%2020%20UK/Aon-2024-10K-25635809.pdf?csf=1&amp;web=1&amp;e=eJD7pW"/>
    <hyperlink ref="I34" r:id="rId49" display="https://www.captiveinsurancetimes.com/captiveinsurancenews/industryarticle.php?article_id=9966&amp;navigationaction=industrynews&amp;newssection=industry&#10;&#10;https://www.wtwco.com/en-gb/news/2026/04/willis-launches-digital-infrastructure-protector&#10;&#10;https://www.wtwco.com/en-gb/news/2026/06/wtw-launches-ai-workforce-transformation-solution-to-turn-ai-potential-into-enhanced-workforce"/>
    <hyperlink ref="L34" r:id="rId50" display="https://eyindia.sharepoint.com/:b:/r/sites/InsuranceResearch/Shared%20Documents/Insurance%20Research/Top%2020%20UK/WTW%20Annual%20Report%202025.pdf?csf=1&amp;web=1&amp;e=qoSFDE"/>
    <hyperlink ref="I35" r:id="rId51" display="https://www.insuranceage.co.uk/insight/7958160/howden-diversifies-with-new-arm-on-back-of-acquisition&#10;&#10;https://www.insuranceage.co.uk/insight/7957930/howden-confirms-703m-bond-raise&#10;&#10;https://www.howdengroupholdings.com/news/howden-expands-its-financial-advisory-expertise-through-the-acquisition-of-opes-private-clients-limited"/>
    <hyperlink ref="L35" r:id="rId52" display="https://www.howdengroupholdings.com/news/howden-announces-2024-full-year-results"/>
    <hyperlink ref="I40" r:id="rId53" display="https://www.directlinegroup.co.uk/en/index.html&#10;&#10;&#10;"/>
    <hyperlink ref="L40" r:id="rId54" display="https://eyindia.sharepoint.com/:b:/r/sites/InsuranceResearch/Shared%20Documents/Insurance%20Research/Top%2020%20UK/Direct%20Line%20annual-report-and-accounts-2024.pdf?csf=1&amp;web=1&amp;e=lIHGcz"/>
    <hyperlink ref="I41" r:id="rId55" display="https://www.aviva.com/newsroom/news-releases/2025/07/aviva-completes-acquisition-of-direct-lin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56"/>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CAEC"/>
    <pageSetUpPr fitToPage="false"/>
  </sheetPr>
  <dimension ref="A1:J94"/>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pane xSplit="0" ySplit="1" topLeftCell="A2" activePane="bottomLeft" state="frozen"/>
      <selection pane="topLeft" activeCell="D1" activeCellId="0" sqref="D1"/>
      <selection pane="bottomLeft" activeCell="E2" activeCellId="0" sqref="E2"/>
    </sheetView>
  </sheetViews>
  <sheetFormatPr defaultColWidth="8.53125" defaultRowHeight="14.25" zeroHeight="false" outlineLevelRow="0" outlineLevelCol="0"/>
  <cols>
    <col collapsed="false" customWidth="true" hidden="false" outlineLevel="0" max="1" min="1" style="16" width="7.45"/>
    <col collapsed="false" customWidth="true" hidden="false" outlineLevel="0" max="2" min="2" style="16" width="38.73"/>
    <col collapsed="false" customWidth="true" hidden="false" outlineLevel="0" max="3" min="3" style="16" width="219.27"/>
    <col collapsed="false" customWidth="true" hidden="false" outlineLevel="0" max="4" min="4" style="16" width="36.18"/>
    <col collapsed="false" customWidth="true" hidden="false" outlineLevel="0" max="5" min="5" style="16" width="46.82"/>
    <col collapsed="false" customWidth="true" hidden="false" outlineLevel="0" max="6" min="6" style="16" width="34.82"/>
    <col collapsed="false" customWidth="true" hidden="false" outlineLevel="0" max="7" min="7" style="16" width="30"/>
    <col collapsed="false" customWidth="true" hidden="false" outlineLevel="0" max="8" min="8" style="16" width="34.73"/>
    <col collapsed="false" customWidth="true" hidden="false" outlineLevel="0" max="9" min="9" style="16" width="38.73"/>
    <col collapsed="false" customWidth="true" hidden="false" outlineLevel="0" max="10" min="10" style="16" width="39.54"/>
  </cols>
  <sheetData>
    <row r="1" customFormat="false" ht="14.25" hidden="false" customHeight="true" outlineLevel="0" collapsed="false">
      <c r="A1" s="306" t="s">
        <v>2459</v>
      </c>
      <c r="B1" s="306" t="s">
        <v>2460</v>
      </c>
      <c r="C1" s="306" t="s">
        <v>2461</v>
      </c>
      <c r="D1" s="307" t="s">
        <v>2462</v>
      </c>
      <c r="E1" s="307" t="s">
        <v>2463</v>
      </c>
      <c r="F1" s="307" t="s">
        <v>2464</v>
      </c>
      <c r="G1" s="307" t="s">
        <v>2465</v>
      </c>
      <c r="H1" s="307" t="s">
        <v>2466</v>
      </c>
      <c r="I1" s="307" t="s">
        <v>2467</v>
      </c>
      <c r="J1" s="307" t="s">
        <v>2468</v>
      </c>
    </row>
    <row r="2" customFormat="false" ht="95.25" hidden="false" customHeight="true" outlineLevel="0" collapsed="false">
      <c r="A2" s="308" t="s">
        <v>2469</v>
      </c>
      <c r="B2" s="308" t="s">
        <v>2470</v>
      </c>
      <c r="C2" s="309" t="s">
        <v>2471</v>
      </c>
      <c r="D2" s="308" t="s">
        <v>1676</v>
      </c>
      <c r="E2" s="308"/>
      <c r="F2" s="308" t="s">
        <v>1676</v>
      </c>
      <c r="G2" s="308" t="s">
        <v>1676</v>
      </c>
      <c r="H2" s="308" t="s">
        <v>1676</v>
      </c>
      <c r="I2" s="308" t="s">
        <v>1676</v>
      </c>
      <c r="J2" s="308" t="s">
        <v>1676</v>
      </c>
    </row>
    <row r="3" customFormat="false" ht="14.25" hidden="false" customHeight="true" outlineLevel="0" collapsed="false">
      <c r="A3" s="308" t="s">
        <v>2469</v>
      </c>
      <c r="B3" s="308" t="s">
        <v>741</v>
      </c>
      <c r="C3" s="309" t="s">
        <v>2472</v>
      </c>
      <c r="D3" s="308" t="s">
        <v>1676</v>
      </c>
      <c r="E3" s="308" t="s">
        <v>1676</v>
      </c>
      <c r="F3" s="308" t="s">
        <v>1676</v>
      </c>
      <c r="G3" s="308"/>
      <c r="H3" s="308"/>
      <c r="I3" s="308"/>
      <c r="J3" s="308" t="s">
        <v>1676</v>
      </c>
    </row>
    <row r="4" customFormat="false" ht="74.25" hidden="false" customHeight="true" outlineLevel="0" collapsed="false">
      <c r="A4" s="308" t="s">
        <v>2469</v>
      </c>
      <c r="B4" s="308" t="s">
        <v>759</v>
      </c>
      <c r="C4" s="309" t="s">
        <v>2473</v>
      </c>
      <c r="D4" s="308" t="s">
        <v>1676</v>
      </c>
      <c r="E4" s="308"/>
      <c r="F4" s="308" t="s">
        <v>1676</v>
      </c>
      <c r="G4" s="308"/>
      <c r="H4" s="308" t="s">
        <v>1676</v>
      </c>
      <c r="I4" s="308"/>
      <c r="J4" s="308" t="s">
        <v>1676</v>
      </c>
    </row>
    <row r="5" customFormat="false" ht="63.75" hidden="false" customHeight="true" outlineLevel="0" collapsed="false">
      <c r="A5" s="308" t="s">
        <v>2469</v>
      </c>
      <c r="B5" s="308" t="s">
        <v>776</v>
      </c>
      <c r="C5" s="309" t="s">
        <v>2474</v>
      </c>
      <c r="D5" s="308" t="s">
        <v>1676</v>
      </c>
      <c r="E5" s="308" t="s">
        <v>1676</v>
      </c>
      <c r="F5" s="308" t="s">
        <v>1676</v>
      </c>
      <c r="G5" s="308"/>
      <c r="H5" s="308"/>
      <c r="I5" s="308"/>
      <c r="J5" s="308" t="s">
        <v>1676</v>
      </c>
    </row>
    <row r="6" customFormat="false" ht="14.25" hidden="false" customHeight="true" outlineLevel="0" collapsed="false">
      <c r="A6" s="308" t="s">
        <v>2469</v>
      </c>
      <c r="B6" s="308" t="s">
        <v>790</v>
      </c>
      <c r="C6" s="309" t="s">
        <v>2475</v>
      </c>
      <c r="D6" s="308"/>
      <c r="E6" s="308"/>
      <c r="F6" s="308"/>
      <c r="G6" s="308"/>
      <c r="H6" s="308"/>
      <c r="I6" s="308"/>
      <c r="J6" s="308" t="s">
        <v>1676</v>
      </c>
    </row>
    <row r="7" customFormat="false" ht="24" hidden="false" customHeight="true" outlineLevel="0" collapsed="false">
      <c r="A7" s="308" t="s">
        <v>2469</v>
      </c>
      <c r="B7" s="309" t="s">
        <v>805</v>
      </c>
      <c r="C7" s="309" t="s">
        <v>2476</v>
      </c>
      <c r="D7" s="308"/>
      <c r="E7" s="308" t="s">
        <v>1676</v>
      </c>
      <c r="F7" s="308"/>
      <c r="G7" s="308"/>
      <c r="H7" s="308" t="s">
        <v>1676</v>
      </c>
      <c r="I7" s="308"/>
      <c r="J7" s="308" t="s">
        <v>1676</v>
      </c>
    </row>
    <row r="8" customFormat="false" ht="53.25" hidden="false" customHeight="true" outlineLevel="0" collapsed="false">
      <c r="A8" s="308" t="s">
        <v>2469</v>
      </c>
      <c r="B8" s="308" t="s">
        <v>826</v>
      </c>
      <c r="C8" s="309" t="s">
        <v>2477</v>
      </c>
      <c r="D8" s="308"/>
      <c r="E8" s="308" t="s">
        <v>1676</v>
      </c>
      <c r="F8" s="308" t="s">
        <v>1676</v>
      </c>
      <c r="G8" s="308"/>
      <c r="H8" s="308"/>
      <c r="I8" s="308"/>
      <c r="J8" s="308" t="s">
        <v>1676</v>
      </c>
    </row>
    <row r="9" customFormat="false" ht="24" hidden="false" customHeight="true" outlineLevel="0" collapsed="false">
      <c r="A9" s="308" t="s">
        <v>2469</v>
      </c>
      <c r="B9" s="309" t="s">
        <v>2478</v>
      </c>
      <c r="C9" s="309" t="s">
        <v>2479</v>
      </c>
      <c r="D9" s="308" t="s">
        <v>1676</v>
      </c>
      <c r="E9" s="308" t="s">
        <v>1676</v>
      </c>
      <c r="F9" s="308" t="s">
        <v>1676</v>
      </c>
      <c r="G9" s="308" t="s">
        <v>1676</v>
      </c>
      <c r="H9" s="308" t="s">
        <v>1676</v>
      </c>
      <c r="I9" s="308" t="s">
        <v>1676</v>
      </c>
      <c r="J9" s="308" t="s">
        <v>1676</v>
      </c>
    </row>
    <row r="10" customFormat="false" ht="36" hidden="false" customHeight="true" outlineLevel="0" collapsed="false">
      <c r="A10" s="308" t="s">
        <v>2469</v>
      </c>
      <c r="B10" s="309" t="s">
        <v>862</v>
      </c>
      <c r="C10" s="309" t="s">
        <v>2480</v>
      </c>
      <c r="D10" s="308" t="s">
        <v>1676</v>
      </c>
      <c r="E10" s="308" t="s">
        <v>1676</v>
      </c>
      <c r="F10" s="308"/>
      <c r="G10" s="308"/>
      <c r="H10" s="308"/>
      <c r="I10" s="308"/>
      <c r="J10" s="308" t="s">
        <v>1676</v>
      </c>
    </row>
    <row r="11" customFormat="false" ht="32.25" hidden="false" customHeight="true" outlineLevel="0" collapsed="false">
      <c r="A11" s="308" t="s">
        <v>2469</v>
      </c>
      <c r="B11" s="308" t="s">
        <v>882</v>
      </c>
      <c r="C11" s="309" t="s">
        <v>2481</v>
      </c>
      <c r="D11" s="308" t="s">
        <v>1676</v>
      </c>
      <c r="E11" s="308" t="s">
        <v>1676</v>
      </c>
      <c r="F11" s="308" t="s">
        <v>1676</v>
      </c>
      <c r="G11" s="308"/>
      <c r="H11" s="308"/>
      <c r="I11" s="308"/>
      <c r="J11" s="308" t="s">
        <v>1676</v>
      </c>
    </row>
    <row r="12" customFormat="false" ht="36" hidden="false" customHeight="true" outlineLevel="0" collapsed="false">
      <c r="A12" s="308" t="s">
        <v>2469</v>
      </c>
      <c r="B12" s="309" t="s">
        <v>2482</v>
      </c>
      <c r="C12" s="309" t="s">
        <v>2483</v>
      </c>
      <c r="D12" s="308" t="s">
        <v>1676</v>
      </c>
      <c r="E12" s="308" t="s">
        <v>1676</v>
      </c>
      <c r="F12" s="308"/>
      <c r="G12" s="308" t="s">
        <v>1676</v>
      </c>
      <c r="H12" s="308" t="s">
        <v>1676</v>
      </c>
      <c r="I12" s="308"/>
      <c r="J12" s="308" t="s">
        <v>1676</v>
      </c>
    </row>
    <row r="13" customFormat="false" ht="36" hidden="false" customHeight="true" outlineLevel="0" collapsed="false">
      <c r="A13" s="308" t="s">
        <v>2469</v>
      </c>
      <c r="B13" s="309" t="s">
        <v>2484</v>
      </c>
      <c r="C13" s="309" t="s">
        <v>2485</v>
      </c>
      <c r="D13" s="308" t="s">
        <v>1676</v>
      </c>
      <c r="E13" s="308" t="s">
        <v>1676</v>
      </c>
      <c r="F13" s="308" t="s">
        <v>1676</v>
      </c>
      <c r="G13" s="308" t="s">
        <v>1676</v>
      </c>
      <c r="H13" s="308" t="s">
        <v>1676</v>
      </c>
      <c r="I13" s="308" t="s">
        <v>1676</v>
      </c>
      <c r="J13" s="308" t="s">
        <v>1676</v>
      </c>
    </row>
    <row r="14" customFormat="false" ht="36" hidden="false" customHeight="true" outlineLevel="0" collapsed="false">
      <c r="A14" s="308" t="s">
        <v>2469</v>
      </c>
      <c r="B14" s="309" t="s">
        <v>2486</v>
      </c>
      <c r="C14" s="309" t="s">
        <v>2487</v>
      </c>
      <c r="D14" s="308"/>
      <c r="E14" s="308" t="s">
        <v>1676</v>
      </c>
      <c r="F14" s="308" t="s">
        <v>1676</v>
      </c>
      <c r="G14" s="308" t="s">
        <v>1676</v>
      </c>
      <c r="H14" s="308"/>
      <c r="I14" s="308"/>
      <c r="J14" s="308"/>
    </row>
    <row r="15" customFormat="false" ht="36" hidden="false" customHeight="true" outlineLevel="0" collapsed="false">
      <c r="A15" s="308" t="s">
        <v>2469</v>
      </c>
      <c r="B15" s="309" t="s">
        <v>2488</v>
      </c>
      <c r="C15" s="309" t="s">
        <v>2489</v>
      </c>
      <c r="D15" s="308" t="s">
        <v>1676</v>
      </c>
      <c r="E15" s="308" t="s">
        <v>1676</v>
      </c>
      <c r="F15" s="308" t="s">
        <v>1676</v>
      </c>
      <c r="G15" s="308"/>
      <c r="H15" s="308" t="s">
        <v>1676</v>
      </c>
      <c r="I15" s="308"/>
      <c r="J15" s="308" t="s">
        <v>1676</v>
      </c>
    </row>
    <row r="16" customFormat="false" ht="53.25" hidden="false" customHeight="true" outlineLevel="0" collapsed="false">
      <c r="A16" s="308" t="s">
        <v>2469</v>
      </c>
      <c r="B16" s="308" t="s">
        <v>130</v>
      </c>
      <c r="C16" s="309" t="s">
        <v>2490</v>
      </c>
      <c r="D16" s="308" t="s">
        <v>1676</v>
      </c>
      <c r="E16" s="308" t="s">
        <v>1676</v>
      </c>
      <c r="F16" s="308" t="s">
        <v>1676</v>
      </c>
      <c r="G16" s="308"/>
      <c r="H16" s="308" t="s">
        <v>1676</v>
      </c>
      <c r="I16" s="308"/>
      <c r="J16" s="308" t="s">
        <v>1676</v>
      </c>
    </row>
    <row r="17" customFormat="false" ht="14.25" hidden="false" customHeight="true" outlineLevel="0" collapsed="false">
      <c r="A17" s="308" t="s">
        <v>2469</v>
      </c>
      <c r="B17" s="308" t="s">
        <v>962</v>
      </c>
      <c r="C17" s="309" t="s">
        <v>2491</v>
      </c>
      <c r="D17" s="308" t="s">
        <v>1676</v>
      </c>
      <c r="E17" s="308"/>
      <c r="F17" s="308" t="s">
        <v>1676</v>
      </c>
      <c r="G17" s="308"/>
      <c r="H17" s="308"/>
      <c r="I17" s="308"/>
      <c r="J17" s="308" t="s">
        <v>1676</v>
      </c>
    </row>
    <row r="18" customFormat="false" ht="24" hidden="false" customHeight="true" outlineLevel="0" collapsed="false">
      <c r="A18" s="308" t="s">
        <v>2469</v>
      </c>
      <c r="B18" s="309" t="s">
        <v>2492</v>
      </c>
      <c r="C18" s="309" t="s">
        <v>2493</v>
      </c>
      <c r="D18" s="308" t="s">
        <v>1676</v>
      </c>
      <c r="E18" s="308"/>
      <c r="F18" s="308"/>
      <c r="G18" s="308"/>
      <c r="H18" s="308"/>
      <c r="I18" s="308"/>
      <c r="J18" s="308" t="s">
        <v>1676</v>
      </c>
    </row>
    <row r="19" customFormat="false" ht="53.25" hidden="false" customHeight="true" outlineLevel="0" collapsed="false">
      <c r="A19" s="308" t="s">
        <v>2469</v>
      </c>
      <c r="B19" s="308" t="s">
        <v>996</v>
      </c>
      <c r="C19" s="309" t="s">
        <v>2494</v>
      </c>
      <c r="D19" s="308" t="s">
        <v>1676</v>
      </c>
      <c r="E19" s="308" t="s">
        <v>1676</v>
      </c>
      <c r="F19" s="308"/>
      <c r="G19" s="308"/>
      <c r="H19" s="308" t="s">
        <v>1676</v>
      </c>
      <c r="I19" s="308"/>
      <c r="J19" s="308" t="s">
        <v>1676</v>
      </c>
    </row>
    <row r="20" customFormat="false" ht="14.25" hidden="false" customHeight="true" outlineLevel="0" collapsed="false">
      <c r="A20" s="308" t="s">
        <v>2469</v>
      </c>
      <c r="B20" s="308" t="s">
        <v>1012</v>
      </c>
      <c r="C20" s="309" t="s">
        <v>2495</v>
      </c>
      <c r="D20" s="308" t="s">
        <v>1676</v>
      </c>
      <c r="E20" s="308" t="s">
        <v>1676</v>
      </c>
      <c r="F20" s="308" t="s">
        <v>1676</v>
      </c>
      <c r="G20" s="308"/>
      <c r="H20" s="308" t="s">
        <v>1676</v>
      </c>
      <c r="I20" s="308"/>
      <c r="J20" s="308" t="s">
        <v>1676</v>
      </c>
    </row>
    <row r="21" customFormat="false" ht="48" hidden="false" customHeight="true" outlineLevel="0" collapsed="false">
      <c r="A21" s="308" t="s">
        <v>2469</v>
      </c>
      <c r="B21" s="309" t="s">
        <v>2496</v>
      </c>
      <c r="C21" s="309" t="s">
        <v>2497</v>
      </c>
      <c r="D21" s="308" t="s">
        <v>1676</v>
      </c>
      <c r="E21" s="308" t="s">
        <v>1676</v>
      </c>
      <c r="F21" s="308" t="s">
        <v>1676</v>
      </c>
      <c r="G21" s="308" t="s">
        <v>1676</v>
      </c>
      <c r="H21" s="308"/>
      <c r="I21" s="308"/>
      <c r="J21" s="308" t="s">
        <v>1676</v>
      </c>
    </row>
    <row r="22" customFormat="false" ht="63.75" hidden="false" customHeight="true" outlineLevel="0" collapsed="false">
      <c r="A22" s="308" t="s">
        <v>2469</v>
      </c>
      <c r="B22" s="308" t="s">
        <v>1047</v>
      </c>
      <c r="C22" s="309" t="s">
        <v>2498</v>
      </c>
      <c r="D22" s="308" t="s">
        <v>1676</v>
      </c>
      <c r="E22" s="308" t="s">
        <v>1676</v>
      </c>
      <c r="F22" s="308" t="s">
        <v>1676</v>
      </c>
      <c r="G22" s="308"/>
      <c r="H22" s="308"/>
      <c r="I22" s="308"/>
      <c r="J22" s="308" t="s">
        <v>1676</v>
      </c>
    </row>
    <row r="23" customFormat="false" ht="105.75" hidden="false" customHeight="true" outlineLevel="0" collapsed="false">
      <c r="A23" s="308" t="s">
        <v>2469</v>
      </c>
      <c r="B23" s="308" t="s">
        <v>2499</v>
      </c>
      <c r="C23" s="309" t="s">
        <v>2500</v>
      </c>
      <c r="D23" s="308" t="s">
        <v>1676</v>
      </c>
      <c r="E23" s="308" t="s">
        <v>1676</v>
      </c>
      <c r="F23" s="308" t="s">
        <v>1676</v>
      </c>
      <c r="G23" s="308"/>
      <c r="H23" s="308"/>
      <c r="I23" s="308" t="s">
        <v>1676</v>
      </c>
      <c r="J23" s="308" t="s">
        <v>1676</v>
      </c>
    </row>
    <row r="24" customFormat="false" ht="36" hidden="false" customHeight="true" outlineLevel="0" collapsed="false">
      <c r="A24" s="308" t="s">
        <v>2469</v>
      </c>
      <c r="B24" s="309" t="s">
        <v>2501</v>
      </c>
      <c r="C24" s="309" t="s">
        <v>2502</v>
      </c>
      <c r="D24" s="308" t="s">
        <v>1676</v>
      </c>
      <c r="E24" s="308" t="s">
        <v>1676</v>
      </c>
      <c r="F24" s="308" t="s">
        <v>1676</v>
      </c>
      <c r="G24" s="308"/>
      <c r="H24" s="308"/>
      <c r="I24" s="308"/>
      <c r="J24" s="308" t="s">
        <v>1676</v>
      </c>
    </row>
    <row r="25" customFormat="false" ht="74.25" hidden="false" customHeight="true" outlineLevel="0" collapsed="false">
      <c r="A25" s="308" t="s">
        <v>2469</v>
      </c>
      <c r="B25" s="308" t="s">
        <v>1094</v>
      </c>
      <c r="C25" s="309" t="s">
        <v>2503</v>
      </c>
      <c r="D25" s="308" t="s">
        <v>1676</v>
      </c>
      <c r="E25" s="308" t="s">
        <v>1676</v>
      </c>
      <c r="F25" s="308" t="s">
        <v>1676</v>
      </c>
      <c r="G25" s="308"/>
      <c r="H25" s="308" t="s">
        <v>1676</v>
      </c>
      <c r="I25" s="308"/>
      <c r="J25" s="308" t="s">
        <v>1676</v>
      </c>
    </row>
    <row r="26" customFormat="false" ht="95.25" hidden="false" customHeight="true" outlineLevel="0" collapsed="false">
      <c r="A26" s="308" t="s">
        <v>2469</v>
      </c>
      <c r="B26" s="308" t="s">
        <v>1111</v>
      </c>
      <c r="C26" s="309" t="s">
        <v>2504</v>
      </c>
      <c r="D26" s="308" t="s">
        <v>1676</v>
      </c>
      <c r="E26" s="308"/>
      <c r="F26" s="308"/>
      <c r="G26" s="308"/>
      <c r="H26" s="308"/>
      <c r="I26" s="308"/>
      <c r="J26" s="308" t="s">
        <v>1676</v>
      </c>
    </row>
    <row r="27" customFormat="false" ht="36" hidden="false" customHeight="true" outlineLevel="0" collapsed="false">
      <c r="A27" s="308" t="s">
        <v>2469</v>
      </c>
      <c r="B27" s="309" t="s">
        <v>2505</v>
      </c>
      <c r="C27" s="309" t="s">
        <v>2506</v>
      </c>
      <c r="D27" s="308" t="s">
        <v>1676</v>
      </c>
      <c r="E27" s="308" t="s">
        <v>1676</v>
      </c>
      <c r="F27" s="308" t="s">
        <v>1676</v>
      </c>
      <c r="G27" s="308"/>
      <c r="H27" s="308"/>
      <c r="I27" s="308"/>
      <c r="J27" s="308" t="s">
        <v>1676</v>
      </c>
    </row>
    <row r="28" customFormat="false" ht="36" hidden="false" customHeight="true" outlineLevel="0" collapsed="false">
      <c r="A28" s="308" t="s">
        <v>2469</v>
      </c>
      <c r="B28" s="309" t="s">
        <v>2507</v>
      </c>
      <c r="C28" s="309" t="s">
        <v>2508</v>
      </c>
      <c r="D28" s="308" t="s">
        <v>1676</v>
      </c>
      <c r="E28" s="308" t="s">
        <v>1676</v>
      </c>
      <c r="F28" s="308"/>
      <c r="G28" s="308"/>
      <c r="H28" s="308" t="s">
        <v>1676</v>
      </c>
      <c r="I28" s="308"/>
      <c r="J28" s="308" t="s">
        <v>1676</v>
      </c>
    </row>
    <row r="29" customFormat="false" ht="24" hidden="false" customHeight="true" outlineLevel="0" collapsed="false">
      <c r="A29" s="308" t="s">
        <v>2469</v>
      </c>
      <c r="B29" s="309" t="s">
        <v>2509</v>
      </c>
      <c r="C29" s="309" t="s">
        <v>2510</v>
      </c>
      <c r="D29" s="308" t="s">
        <v>1676</v>
      </c>
      <c r="E29" s="308" t="s">
        <v>1676</v>
      </c>
      <c r="F29" s="308" t="s">
        <v>1676</v>
      </c>
      <c r="G29" s="308"/>
      <c r="H29" s="308"/>
      <c r="I29" s="308"/>
      <c r="J29" s="308" t="s">
        <v>1676</v>
      </c>
    </row>
    <row r="30" customFormat="false" ht="32.25" hidden="false" customHeight="true" outlineLevel="0" collapsed="false">
      <c r="A30" s="308" t="s">
        <v>2469</v>
      </c>
      <c r="B30" s="308" t="s">
        <v>1168</v>
      </c>
      <c r="C30" s="309" t="s">
        <v>2511</v>
      </c>
      <c r="D30" s="308"/>
      <c r="E30" s="308" t="s">
        <v>1676</v>
      </c>
      <c r="F30" s="308"/>
      <c r="G30" s="308"/>
      <c r="H30" s="308"/>
      <c r="I30" s="308" t="s">
        <v>1676</v>
      </c>
      <c r="J30" s="308" t="s">
        <v>1676</v>
      </c>
    </row>
    <row r="31" customFormat="false" ht="63.75" hidden="false" customHeight="true" outlineLevel="0" collapsed="false">
      <c r="A31" s="308" t="s">
        <v>2469</v>
      </c>
      <c r="B31" s="308" t="s">
        <v>1182</v>
      </c>
      <c r="C31" s="309" t="s">
        <v>2512</v>
      </c>
      <c r="D31" s="308" t="s">
        <v>1676</v>
      </c>
      <c r="E31" s="308" t="s">
        <v>1676</v>
      </c>
      <c r="F31" s="308" t="s">
        <v>1676</v>
      </c>
      <c r="G31" s="308"/>
      <c r="H31" s="308"/>
      <c r="I31" s="308"/>
      <c r="J31" s="308"/>
    </row>
    <row r="32" customFormat="false" ht="24" hidden="false" customHeight="true" outlineLevel="0" collapsed="false">
      <c r="A32" s="308" t="s">
        <v>2469</v>
      </c>
      <c r="B32" s="309" t="s">
        <v>2513</v>
      </c>
      <c r="C32" s="309" t="s">
        <v>2514</v>
      </c>
      <c r="D32" s="308" t="s">
        <v>1676</v>
      </c>
      <c r="E32" s="308" t="s">
        <v>1676</v>
      </c>
      <c r="F32" s="308"/>
      <c r="G32" s="308"/>
      <c r="H32" s="308"/>
      <c r="I32" s="308" t="s">
        <v>1676</v>
      </c>
      <c r="J32" s="308" t="s">
        <v>1676</v>
      </c>
    </row>
    <row r="33" customFormat="false" ht="14.25" hidden="false" customHeight="true" outlineLevel="0" collapsed="false">
      <c r="A33" s="308" t="s">
        <v>2469</v>
      </c>
      <c r="B33" s="308" t="s">
        <v>2515</v>
      </c>
      <c r="C33" s="308" t="s">
        <v>2516</v>
      </c>
      <c r="D33" s="308"/>
      <c r="E33" s="308"/>
      <c r="F33" s="308" t="s">
        <v>1676</v>
      </c>
      <c r="G33" s="308"/>
      <c r="H33" s="308"/>
      <c r="I33" s="308"/>
      <c r="J33" s="308" t="s">
        <v>1676</v>
      </c>
    </row>
    <row r="34" customFormat="false" ht="21.75" hidden="false" customHeight="true" outlineLevel="0" collapsed="false">
      <c r="A34" s="308" t="s">
        <v>2469</v>
      </c>
      <c r="B34" s="308" t="s">
        <v>1344</v>
      </c>
      <c r="C34" s="309" t="s">
        <v>2517</v>
      </c>
      <c r="D34" s="308" t="s">
        <v>1676</v>
      </c>
      <c r="E34" s="308" t="s">
        <v>1676</v>
      </c>
      <c r="F34" s="308" t="s">
        <v>1676</v>
      </c>
      <c r="G34" s="308"/>
      <c r="H34" s="308"/>
      <c r="I34" s="308"/>
      <c r="J34" s="308" t="s">
        <v>1676</v>
      </c>
    </row>
    <row r="35" customFormat="false" ht="32.25" hidden="false" customHeight="true" outlineLevel="0" collapsed="false">
      <c r="A35" s="308" t="s">
        <v>2469</v>
      </c>
      <c r="B35" s="308" t="s">
        <v>1358</v>
      </c>
      <c r="C35" s="309" t="s">
        <v>1368</v>
      </c>
      <c r="D35" s="308" t="s">
        <v>1676</v>
      </c>
      <c r="E35" s="308" t="s">
        <v>1676</v>
      </c>
      <c r="F35" s="308" t="s">
        <v>1676</v>
      </c>
      <c r="G35" s="308"/>
      <c r="H35" s="308" t="s">
        <v>1676</v>
      </c>
      <c r="I35" s="308"/>
      <c r="J35" s="308" t="s">
        <v>1676</v>
      </c>
    </row>
    <row r="36" customFormat="false" ht="14.25" hidden="false" customHeight="true" outlineLevel="0" collapsed="false">
      <c r="A36" s="308" t="s">
        <v>2469</v>
      </c>
      <c r="B36" s="308" t="s">
        <v>129</v>
      </c>
      <c r="C36" s="308" t="s">
        <v>2518</v>
      </c>
      <c r="D36" s="308" t="s">
        <v>1676</v>
      </c>
      <c r="E36" s="308"/>
      <c r="F36" s="308"/>
      <c r="G36" s="308"/>
      <c r="H36" s="308" t="s">
        <v>1676</v>
      </c>
      <c r="I36" s="308" t="s">
        <v>1676</v>
      </c>
      <c r="J36" s="308" t="s">
        <v>1676</v>
      </c>
    </row>
    <row r="37" customFormat="false" ht="74.25" hidden="false" customHeight="true" outlineLevel="0" collapsed="false">
      <c r="A37" s="308" t="s">
        <v>2469</v>
      </c>
      <c r="B37" s="308" t="s">
        <v>1384</v>
      </c>
      <c r="C37" s="309" t="s">
        <v>2519</v>
      </c>
      <c r="D37" s="308" t="s">
        <v>1676</v>
      </c>
      <c r="E37" s="308"/>
      <c r="F37" s="308"/>
      <c r="G37" s="308"/>
      <c r="H37" s="308" t="s">
        <v>1676</v>
      </c>
      <c r="I37" s="308" t="s">
        <v>1676</v>
      </c>
      <c r="J37" s="308" t="s">
        <v>1676</v>
      </c>
    </row>
    <row r="38" customFormat="false" ht="14.25" hidden="false" customHeight="true" outlineLevel="0" collapsed="false">
      <c r="A38" s="308" t="s">
        <v>2469</v>
      </c>
      <c r="B38" s="308" t="s">
        <v>1397</v>
      </c>
      <c r="C38" s="309" t="s">
        <v>2520</v>
      </c>
      <c r="D38" s="308" t="s">
        <v>1676</v>
      </c>
      <c r="E38" s="308"/>
      <c r="F38" s="308"/>
      <c r="G38" s="308"/>
      <c r="H38" s="308"/>
      <c r="I38" s="308"/>
      <c r="J38" s="308"/>
    </row>
    <row r="39" customFormat="false" ht="32.25" hidden="false" customHeight="true" outlineLevel="0" collapsed="false">
      <c r="A39" s="308" t="s">
        <v>2469</v>
      </c>
      <c r="B39" s="308" t="s">
        <v>122</v>
      </c>
      <c r="C39" s="309" t="s">
        <v>2521</v>
      </c>
      <c r="D39" s="308" t="s">
        <v>1676</v>
      </c>
      <c r="E39" s="308" t="s">
        <v>1676</v>
      </c>
      <c r="F39" s="308"/>
      <c r="G39" s="308"/>
      <c r="H39" s="308" t="s">
        <v>1676</v>
      </c>
      <c r="I39" s="308"/>
      <c r="J39" s="308"/>
    </row>
    <row r="40" customFormat="false" ht="14.25" hidden="false" customHeight="true" outlineLevel="0" collapsed="false">
      <c r="A40" s="308" t="s">
        <v>2469</v>
      </c>
      <c r="B40" s="308" t="s">
        <v>121</v>
      </c>
      <c r="C40" s="308" t="s">
        <v>2522</v>
      </c>
      <c r="D40" s="308" t="s">
        <v>1676</v>
      </c>
      <c r="E40" s="308"/>
      <c r="F40" s="308"/>
      <c r="G40" s="308"/>
      <c r="H40" s="308" t="s">
        <v>1676</v>
      </c>
      <c r="I40" s="308" t="s">
        <v>1676</v>
      </c>
      <c r="J40" s="308" t="s">
        <v>1676</v>
      </c>
    </row>
    <row r="41" customFormat="false" ht="32.25" hidden="false" customHeight="true" outlineLevel="0" collapsed="false">
      <c r="A41" s="308" t="s">
        <v>2469</v>
      </c>
      <c r="B41" s="308" t="s">
        <v>131</v>
      </c>
      <c r="C41" s="309" t="s">
        <v>1445</v>
      </c>
      <c r="D41" s="308" t="s">
        <v>1676</v>
      </c>
      <c r="E41" s="308"/>
      <c r="F41" s="308"/>
      <c r="G41" s="308"/>
      <c r="H41" s="308" t="s">
        <v>1676</v>
      </c>
      <c r="I41" s="308" t="s">
        <v>1676</v>
      </c>
      <c r="J41" s="308" t="s">
        <v>1676</v>
      </c>
    </row>
    <row r="42" customFormat="false" ht="14.25" hidden="false" customHeight="true" outlineLevel="0" collapsed="false">
      <c r="A42" s="308" t="s">
        <v>2469</v>
      </c>
      <c r="B42" s="308" t="s">
        <v>125</v>
      </c>
      <c r="C42" s="308" t="s">
        <v>1454</v>
      </c>
      <c r="D42" s="308"/>
      <c r="E42" s="308"/>
      <c r="F42" s="308"/>
      <c r="G42" s="308"/>
      <c r="H42" s="308" t="s">
        <v>1676</v>
      </c>
      <c r="I42" s="308"/>
      <c r="J42" s="308" t="s">
        <v>1676</v>
      </c>
    </row>
    <row r="43" customFormat="false" ht="24" hidden="false" customHeight="true" outlineLevel="0" collapsed="false">
      <c r="A43" s="308" t="s">
        <v>2469</v>
      </c>
      <c r="B43" s="309" t="s">
        <v>2523</v>
      </c>
      <c r="C43" s="308" t="s">
        <v>2524</v>
      </c>
      <c r="D43" s="308"/>
      <c r="E43" s="308" t="s">
        <v>1676</v>
      </c>
      <c r="F43" s="308"/>
      <c r="G43" s="308"/>
      <c r="H43" s="308"/>
      <c r="I43" s="308"/>
      <c r="J43" s="308" t="s">
        <v>1676</v>
      </c>
    </row>
    <row r="44" customFormat="false" ht="36" hidden="false" customHeight="true" outlineLevel="0" collapsed="false">
      <c r="A44" s="308" t="s">
        <v>2469</v>
      </c>
      <c r="B44" s="309" t="s">
        <v>330</v>
      </c>
      <c r="C44" s="309" t="s">
        <v>2525</v>
      </c>
      <c r="D44" s="308"/>
      <c r="E44" s="308"/>
      <c r="F44" s="308"/>
      <c r="G44" s="308"/>
      <c r="H44" s="308" t="s">
        <v>1676</v>
      </c>
      <c r="I44" s="308"/>
      <c r="J44" s="308" t="s">
        <v>1676</v>
      </c>
    </row>
    <row r="45" customFormat="false" ht="74.25" hidden="false" customHeight="true" outlineLevel="0" collapsed="false">
      <c r="A45" s="308" t="s">
        <v>2526</v>
      </c>
      <c r="B45" s="308" t="s">
        <v>1921</v>
      </c>
      <c r="C45" s="309" t="s">
        <v>1924</v>
      </c>
      <c r="D45" s="308" t="s">
        <v>1676</v>
      </c>
      <c r="E45" s="308" t="s">
        <v>1676</v>
      </c>
      <c r="F45" s="308" t="s">
        <v>1676</v>
      </c>
      <c r="G45" s="308" t="s">
        <v>1676</v>
      </c>
      <c r="H45" s="308"/>
      <c r="I45" s="308"/>
      <c r="J45" s="308"/>
    </row>
    <row r="46" customFormat="false" ht="63.75" hidden="false" customHeight="true" outlineLevel="0" collapsed="false">
      <c r="A46" s="308" t="s">
        <v>2526</v>
      </c>
      <c r="B46" s="308" t="s">
        <v>1930</v>
      </c>
      <c r="C46" s="309" t="s">
        <v>1934</v>
      </c>
      <c r="D46" s="308" t="s">
        <v>1676</v>
      </c>
      <c r="E46" s="308"/>
      <c r="F46" s="308" t="s">
        <v>1676</v>
      </c>
      <c r="G46" s="308"/>
      <c r="H46" s="308" t="s">
        <v>1676</v>
      </c>
      <c r="I46" s="308"/>
      <c r="J46" s="308"/>
    </row>
    <row r="47" customFormat="false" ht="14.25" hidden="false" customHeight="true" outlineLevel="0" collapsed="false">
      <c r="A47" s="308" t="s">
        <v>2526</v>
      </c>
      <c r="B47" s="308" t="s">
        <v>1940</v>
      </c>
      <c r="C47" s="309" t="s">
        <v>1944</v>
      </c>
      <c r="D47" s="308"/>
      <c r="E47" s="308"/>
      <c r="F47" s="308"/>
      <c r="G47" s="308" t="s">
        <v>1676</v>
      </c>
      <c r="H47" s="308"/>
      <c r="I47" s="308"/>
      <c r="J47" s="308"/>
    </row>
    <row r="48" customFormat="false" ht="53.25" hidden="false" customHeight="true" outlineLevel="0" collapsed="false">
      <c r="A48" s="308" t="s">
        <v>2526</v>
      </c>
      <c r="B48" s="308" t="s">
        <v>1949</v>
      </c>
      <c r="C48" s="309" t="s">
        <v>1952</v>
      </c>
      <c r="D48" s="308" t="s">
        <v>1676</v>
      </c>
      <c r="E48" s="308"/>
      <c r="F48" s="308"/>
      <c r="G48" s="308"/>
      <c r="H48" s="308"/>
      <c r="I48" s="308" t="s">
        <v>1676</v>
      </c>
      <c r="J48" s="308"/>
    </row>
    <row r="49" customFormat="false" ht="53.25" hidden="false" customHeight="true" outlineLevel="0" collapsed="false">
      <c r="A49" s="308" t="s">
        <v>2526</v>
      </c>
      <c r="B49" s="308" t="s">
        <v>1958</v>
      </c>
      <c r="C49" s="309" t="s">
        <v>1963</v>
      </c>
      <c r="D49" s="308" t="s">
        <v>1676</v>
      </c>
      <c r="E49" s="308"/>
      <c r="F49" s="308" t="s">
        <v>1676</v>
      </c>
      <c r="G49" s="308"/>
      <c r="H49" s="308" t="s">
        <v>1676</v>
      </c>
      <c r="I49" s="308"/>
      <c r="J49" s="308"/>
    </row>
    <row r="50" customFormat="false" ht="14.25" hidden="false" customHeight="true" outlineLevel="0" collapsed="false">
      <c r="A50" s="308" t="s">
        <v>2526</v>
      </c>
      <c r="B50" s="308" t="s">
        <v>1969</v>
      </c>
      <c r="C50" s="309" t="s">
        <v>1971</v>
      </c>
      <c r="D50" s="308"/>
      <c r="E50" s="308" t="s">
        <v>1676</v>
      </c>
      <c r="F50" s="308"/>
      <c r="G50" s="308" t="s">
        <v>1676</v>
      </c>
      <c r="H50" s="308" t="s">
        <v>1676</v>
      </c>
      <c r="I50" s="308"/>
      <c r="J50" s="308" t="s">
        <v>1676</v>
      </c>
    </row>
    <row r="51" customFormat="false" ht="24" hidden="false" customHeight="true" outlineLevel="0" collapsed="false">
      <c r="A51" s="308" t="s">
        <v>2526</v>
      </c>
      <c r="B51" s="309" t="s">
        <v>1977</v>
      </c>
      <c r="C51" s="309" t="s">
        <v>1981</v>
      </c>
      <c r="D51" s="308" t="s">
        <v>1676</v>
      </c>
      <c r="E51" s="308"/>
      <c r="F51" s="308"/>
      <c r="G51" s="308"/>
      <c r="H51" s="308"/>
      <c r="I51" s="308" t="s">
        <v>1676</v>
      </c>
      <c r="J51" s="308"/>
    </row>
    <row r="52" customFormat="false" ht="14.25" hidden="false" customHeight="true" outlineLevel="0" collapsed="false">
      <c r="A52" s="308" t="s">
        <v>2526</v>
      </c>
      <c r="B52" s="308" t="s">
        <v>1987</v>
      </c>
      <c r="C52" s="308" t="s">
        <v>1990</v>
      </c>
      <c r="D52" s="308"/>
      <c r="E52" s="308"/>
      <c r="F52" s="308"/>
      <c r="G52" s="308"/>
      <c r="H52" s="308"/>
      <c r="I52" s="308"/>
      <c r="J52" s="308"/>
    </row>
    <row r="53" customFormat="false" ht="14.25" hidden="false" customHeight="true" outlineLevel="0" collapsed="false">
      <c r="A53" s="308" t="s">
        <v>2526</v>
      </c>
      <c r="B53" s="308" t="s">
        <v>1996</v>
      </c>
      <c r="C53" s="309" t="s">
        <v>2001</v>
      </c>
      <c r="D53" s="308" t="s">
        <v>1676</v>
      </c>
      <c r="E53" s="308"/>
      <c r="F53" s="308" t="s">
        <v>1676</v>
      </c>
      <c r="G53" s="308"/>
      <c r="H53" s="308" t="s">
        <v>1676</v>
      </c>
      <c r="I53" s="308"/>
      <c r="J53" s="308"/>
    </row>
    <row r="54" customFormat="false" ht="36" hidden="false" customHeight="true" outlineLevel="0" collapsed="false">
      <c r="A54" s="308" t="s">
        <v>2526</v>
      </c>
      <c r="B54" s="309" t="s">
        <v>2008</v>
      </c>
      <c r="C54" s="309" t="s">
        <v>2012</v>
      </c>
      <c r="D54" s="308"/>
      <c r="E54" s="308"/>
      <c r="F54" s="308"/>
      <c r="G54" s="308"/>
      <c r="H54" s="308" t="s">
        <v>1676</v>
      </c>
      <c r="I54" s="308"/>
      <c r="J54" s="308"/>
    </row>
    <row r="55" customFormat="false" ht="14.25" hidden="false" customHeight="true" outlineLevel="0" collapsed="false">
      <c r="A55" s="308" t="s">
        <v>2526</v>
      </c>
      <c r="B55" s="308" t="s">
        <v>2020</v>
      </c>
      <c r="C55" s="309" t="s">
        <v>2024</v>
      </c>
      <c r="D55" s="308" t="s">
        <v>1676</v>
      </c>
      <c r="E55" s="308"/>
      <c r="F55" s="308"/>
      <c r="G55" s="308"/>
      <c r="H55" s="308" t="s">
        <v>1676</v>
      </c>
      <c r="I55" s="308" t="s">
        <v>1676</v>
      </c>
      <c r="J55" s="308"/>
    </row>
    <row r="56" customFormat="false" ht="95.25" hidden="false" customHeight="true" outlineLevel="0" collapsed="false">
      <c r="A56" s="308" t="s">
        <v>2526</v>
      </c>
      <c r="B56" s="308" t="s">
        <v>2031</v>
      </c>
      <c r="C56" s="309" t="s">
        <v>2034</v>
      </c>
      <c r="D56" s="308"/>
      <c r="E56" s="308"/>
      <c r="F56" s="308" t="s">
        <v>1676</v>
      </c>
      <c r="G56" s="308" t="s">
        <v>1676</v>
      </c>
      <c r="H56" s="308"/>
      <c r="I56" s="308"/>
      <c r="J56" s="308"/>
    </row>
    <row r="57" customFormat="false" ht="14.25" hidden="false" customHeight="true" outlineLevel="0" collapsed="false">
      <c r="A57" s="308" t="s">
        <v>2526</v>
      </c>
      <c r="B57" s="308" t="s">
        <v>2041</v>
      </c>
      <c r="C57" s="309" t="s">
        <v>2044</v>
      </c>
      <c r="D57" s="308" t="s">
        <v>1676</v>
      </c>
      <c r="E57" s="308" t="s">
        <v>1676</v>
      </c>
      <c r="F57" s="308"/>
      <c r="G57" s="308"/>
      <c r="H57" s="308"/>
      <c r="I57" s="308"/>
      <c r="J57" s="308"/>
    </row>
    <row r="58" customFormat="false" ht="32.25" hidden="false" customHeight="true" outlineLevel="0" collapsed="false">
      <c r="A58" s="308" t="s">
        <v>2526</v>
      </c>
      <c r="B58" s="308" t="s">
        <v>2050</v>
      </c>
      <c r="C58" s="309" t="s">
        <v>2054</v>
      </c>
      <c r="D58" s="308" t="s">
        <v>1676</v>
      </c>
      <c r="E58" s="308"/>
      <c r="F58" s="308"/>
      <c r="G58" s="308" t="s">
        <v>1676</v>
      </c>
      <c r="H58" s="308"/>
      <c r="I58" s="308" t="s">
        <v>1676</v>
      </c>
      <c r="J58" s="308"/>
    </row>
    <row r="59" customFormat="false" ht="14.25" hidden="false" customHeight="true" outlineLevel="0" collapsed="false">
      <c r="A59" s="308" t="s">
        <v>2526</v>
      </c>
      <c r="B59" s="308" t="s">
        <v>2060</v>
      </c>
      <c r="C59" s="309" t="s">
        <v>2064</v>
      </c>
      <c r="D59" s="308"/>
      <c r="E59" s="308"/>
      <c r="F59" s="308"/>
      <c r="G59" s="308"/>
      <c r="H59" s="308"/>
      <c r="I59" s="308"/>
      <c r="J59" s="308"/>
    </row>
    <row r="60" customFormat="false" ht="14.25" hidden="false" customHeight="true" outlineLevel="0" collapsed="false">
      <c r="A60" s="308" t="s">
        <v>2526</v>
      </c>
      <c r="B60" s="308" t="s">
        <v>2070</v>
      </c>
      <c r="C60" s="309" t="s">
        <v>2072</v>
      </c>
      <c r="D60" s="308"/>
      <c r="E60" s="308"/>
      <c r="F60" s="308"/>
      <c r="G60" s="308" t="s">
        <v>1676</v>
      </c>
      <c r="H60" s="308"/>
      <c r="I60" s="308"/>
      <c r="J60" s="308"/>
    </row>
    <row r="61" customFormat="false" ht="53.25" hidden="false" customHeight="true" outlineLevel="0" collapsed="false">
      <c r="A61" s="308" t="s">
        <v>2526</v>
      </c>
      <c r="B61" s="308" t="s">
        <v>2079</v>
      </c>
      <c r="C61" s="309" t="s">
        <v>2081</v>
      </c>
      <c r="D61" s="308" t="s">
        <v>1676</v>
      </c>
      <c r="E61" s="308"/>
      <c r="F61" s="308"/>
      <c r="G61" s="308" t="s">
        <v>1676</v>
      </c>
      <c r="H61" s="308"/>
      <c r="I61" s="308"/>
      <c r="J61" s="308"/>
    </row>
    <row r="62" customFormat="false" ht="32.25" hidden="false" customHeight="true" outlineLevel="0" collapsed="false">
      <c r="A62" s="308" t="s">
        <v>2526</v>
      </c>
      <c r="B62" s="308" t="s">
        <v>2088</v>
      </c>
      <c r="C62" s="309" t="s">
        <v>2090</v>
      </c>
      <c r="D62" s="308" t="s">
        <v>1676</v>
      </c>
      <c r="E62" s="308"/>
      <c r="F62" s="308"/>
      <c r="G62" s="308"/>
      <c r="H62" s="308"/>
      <c r="I62" s="308"/>
      <c r="J62" s="308"/>
    </row>
    <row r="63" customFormat="false" ht="42.75" hidden="false" customHeight="true" outlineLevel="0" collapsed="false">
      <c r="A63" s="308" t="s">
        <v>2526</v>
      </c>
      <c r="B63" s="308" t="s">
        <v>2098</v>
      </c>
      <c r="C63" s="309" t="s">
        <v>2101</v>
      </c>
      <c r="D63" s="308" t="s">
        <v>1676</v>
      </c>
      <c r="E63" s="308" t="s">
        <v>1676</v>
      </c>
      <c r="F63" s="308"/>
      <c r="G63" s="308"/>
      <c r="H63" s="308" t="s">
        <v>1676</v>
      </c>
      <c r="I63" s="308" t="s">
        <v>1676</v>
      </c>
      <c r="J63" s="308"/>
    </row>
    <row r="64" customFormat="false" ht="14.25" hidden="false" customHeight="true" outlineLevel="0" collapsed="false">
      <c r="A64" s="308" t="s">
        <v>2526</v>
      </c>
      <c r="B64" s="308" t="s">
        <v>2110</v>
      </c>
      <c r="C64" s="309" t="s">
        <v>2113</v>
      </c>
      <c r="D64" s="308" t="s">
        <v>1676</v>
      </c>
      <c r="E64" s="308"/>
      <c r="F64" s="308"/>
      <c r="G64" s="308"/>
      <c r="H64" s="308"/>
      <c r="I64" s="308" t="s">
        <v>1676</v>
      </c>
      <c r="J64" s="308"/>
    </row>
    <row r="65" customFormat="false" ht="14.25" hidden="false" customHeight="true" outlineLevel="0" collapsed="false">
      <c r="A65" s="308" t="s">
        <v>2527</v>
      </c>
      <c r="B65" s="308" t="s">
        <v>2192</v>
      </c>
      <c r="C65" s="309" t="s">
        <v>2528</v>
      </c>
      <c r="D65" s="308" t="s">
        <v>1676</v>
      </c>
      <c r="E65" s="308" t="s">
        <v>1676</v>
      </c>
      <c r="F65" s="308" t="s">
        <v>1676</v>
      </c>
      <c r="G65" s="308" t="s">
        <v>1676</v>
      </c>
      <c r="H65" s="308"/>
      <c r="I65" s="308"/>
      <c r="J65" s="308"/>
    </row>
    <row r="66" customFormat="false" ht="14.25" hidden="false" customHeight="true" outlineLevel="0" collapsed="false">
      <c r="A66" s="308" t="s">
        <v>2527</v>
      </c>
      <c r="B66" s="308" t="s">
        <v>2202</v>
      </c>
      <c r="C66" s="309" t="s">
        <v>2529</v>
      </c>
      <c r="D66" s="308" t="s">
        <v>1676</v>
      </c>
      <c r="E66" s="308"/>
      <c r="F66" s="308"/>
      <c r="G66" s="308" t="s">
        <v>1676</v>
      </c>
      <c r="H66" s="308"/>
      <c r="I66" s="308"/>
      <c r="J66" s="308"/>
    </row>
    <row r="67" customFormat="false" ht="14.25" hidden="false" customHeight="true" outlineLevel="0" collapsed="false">
      <c r="A67" s="308" t="s">
        <v>2527</v>
      </c>
      <c r="B67" s="308" t="s">
        <v>2212</v>
      </c>
      <c r="C67" s="309" t="s">
        <v>2530</v>
      </c>
      <c r="D67" s="308" t="s">
        <v>1676</v>
      </c>
      <c r="E67" s="308"/>
      <c r="F67" s="308"/>
      <c r="G67" s="308"/>
      <c r="H67" s="308"/>
      <c r="I67" s="308" t="s">
        <v>1676</v>
      </c>
      <c r="J67" s="308"/>
    </row>
    <row r="68" customFormat="false" ht="14.25" hidden="false" customHeight="true" outlineLevel="0" collapsed="false">
      <c r="A68" s="308" t="s">
        <v>2527</v>
      </c>
      <c r="B68" s="308" t="s">
        <v>2223</v>
      </c>
      <c r="C68" s="309" t="s">
        <v>2531</v>
      </c>
      <c r="D68" s="308" t="s">
        <v>1676</v>
      </c>
      <c r="E68" s="308"/>
      <c r="F68" s="308"/>
      <c r="G68" s="308" t="s">
        <v>1676</v>
      </c>
      <c r="H68" s="308" t="s">
        <v>1676</v>
      </c>
      <c r="I68" s="308"/>
      <c r="J68" s="308"/>
    </row>
    <row r="69" customFormat="false" ht="14.25" hidden="false" customHeight="true" outlineLevel="0" collapsed="false">
      <c r="A69" s="308" t="s">
        <v>2527</v>
      </c>
      <c r="B69" s="308" t="s">
        <v>2233</v>
      </c>
      <c r="C69" s="309" t="s">
        <v>2532</v>
      </c>
      <c r="D69" s="308" t="s">
        <v>1676</v>
      </c>
      <c r="E69" s="308"/>
      <c r="F69" s="308" t="s">
        <v>1676</v>
      </c>
      <c r="G69" s="308" t="s">
        <v>1676</v>
      </c>
      <c r="H69" s="308" t="s">
        <v>1676</v>
      </c>
      <c r="I69" s="308"/>
      <c r="J69" s="308"/>
    </row>
    <row r="70" customFormat="false" ht="32.25" hidden="false" customHeight="true" outlineLevel="0" collapsed="false">
      <c r="A70" s="308" t="s">
        <v>2527</v>
      </c>
      <c r="B70" s="308" t="s">
        <v>2242</v>
      </c>
      <c r="C70" s="309" t="s">
        <v>2533</v>
      </c>
      <c r="D70" s="308" t="s">
        <v>1676</v>
      </c>
      <c r="E70" s="308" t="s">
        <v>1676</v>
      </c>
      <c r="F70" s="308" t="s">
        <v>1676</v>
      </c>
      <c r="G70" s="308"/>
      <c r="H70" s="308"/>
      <c r="I70" s="308"/>
      <c r="J70" s="308"/>
    </row>
    <row r="71" customFormat="false" ht="14.25" hidden="false" customHeight="true" outlineLevel="0" collapsed="false">
      <c r="A71" s="308" t="s">
        <v>2527</v>
      </c>
      <c r="B71" s="308" t="s">
        <v>2254</v>
      </c>
      <c r="C71" s="309" t="s">
        <v>2534</v>
      </c>
      <c r="D71" s="308" t="s">
        <v>1676</v>
      </c>
      <c r="E71" s="308" t="s">
        <v>1676</v>
      </c>
      <c r="F71" s="308"/>
      <c r="G71" s="308"/>
      <c r="H71" s="308"/>
      <c r="I71" s="308"/>
      <c r="J71" s="308"/>
    </row>
    <row r="72" customFormat="false" ht="74.25" hidden="false" customHeight="true" outlineLevel="0" collapsed="false">
      <c r="A72" s="308" t="s">
        <v>2527</v>
      </c>
      <c r="B72" s="308" t="s">
        <v>2264</v>
      </c>
      <c r="C72" s="309" t="s">
        <v>2535</v>
      </c>
      <c r="D72" s="308" t="s">
        <v>1676</v>
      </c>
      <c r="E72" s="308" t="s">
        <v>1676</v>
      </c>
      <c r="F72" s="308"/>
      <c r="G72" s="308"/>
      <c r="H72" s="308"/>
      <c r="I72" s="308"/>
      <c r="J72" s="308"/>
    </row>
    <row r="73" customFormat="false" ht="24" hidden="false" customHeight="true" outlineLevel="0" collapsed="false">
      <c r="A73" s="308" t="s">
        <v>2527</v>
      </c>
      <c r="B73" s="309" t="s">
        <v>2274</v>
      </c>
      <c r="C73" s="309" t="s">
        <v>2536</v>
      </c>
      <c r="D73" s="308"/>
      <c r="E73" s="308"/>
      <c r="F73" s="308"/>
      <c r="G73" s="308"/>
      <c r="H73" s="308" t="s">
        <v>1676</v>
      </c>
      <c r="I73" s="308"/>
      <c r="J73" s="308"/>
    </row>
    <row r="74" customFormat="false" ht="14.25" hidden="false" customHeight="true" outlineLevel="0" collapsed="false">
      <c r="A74" s="308" t="s">
        <v>2527</v>
      </c>
      <c r="B74" s="308" t="s">
        <v>2285</v>
      </c>
      <c r="C74" s="309" t="s">
        <v>2537</v>
      </c>
      <c r="D74" s="308" t="s">
        <v>1676</v>
      </c>
      <c r="E74" s="308"/>
      <c r="F74" s="308"/>
      <c r="G74" s="308"/>
      <c r="H74" s="308"/>
      <c r="I74" s="308"/>
      <c r="J74" s="308"/>
    </row>
    <row r="75" customFormat="false" ht="24" hidden="false" customHeight="true" outlineLevel="0" collapsed="false">
      <c r="A75" s="308" t="s">
        <v>2527</v>
      </c>
      <c r="B75" s="309" t="s">
        <v>2294</v>
      </c>
      <c r="C75" s="309" t="s">
        <v>2538</v>
      </c>
      <c r="D75" s="308"/>
      <c r="E75" s="308"/>
      <c r="F75" s="308"/>
      <c r="G75" s="308" t="s">
        <v>1676</v>
      </c>
      <c r="H75" s="308"/>
      <c r="I75" s="308"/>
      <c r="J75" s="308"/>
    </row>
    <row r="76" customFormat="false" ht="14.25" hidden="false" customHeight="true" outlineLevel="0" collapsed="false">
      <c r="A76" s="308" t="s">
        <v>2527</v>
      </c>
      <c r="B76" s="308" t="s">
        <v>2303</v>
      </c>
      <c r="C76" s="309" t="s">
        <v>2539</v>
      </c>
      <c r="D76" s="308" t="s">
        <v>1676</v>
      </c>
      <c r="E76" s="308"/>
      <c r="F76" s="308" t="s">
        <v>1676</v>
      </c>
      <c r="G76" s="308"/>
      <c r="H76" s="308" t="s">
        <v>1676</v>
      </c>
      <c r="I76" s="308"/>
      <c r="J76" s="308"/>
    </row>
    <row r="77" customFormat="false" ht="24" hidden="false" customHeight="true" outlineLevel="0" collapsed="false">
      <c r="A77" s="308" t="s">
        <v>2527</v>
      </c>
      <c r="B77" s="309" t="s">
        <v>2540</v>
      </c>
      <c r="C77" s="309" t="s">
        <v>2541</v>
      </c>
      <c r="D77" s="308" t="s">
        <v>1676</v>
      </c>
      <c r="E77" s="308" t="s">
        <v>1676</v>
      </c>
      <c r="F77" s="308" t="s">
        <v>1676</v>
      </c>
      <c r="G77" s="308"/>
      <c r="H77" s="308"/>
      <c r="I77" s="308"/>
      <c r="J77" s="308"/>
    </row>
    <row r="78" customFormat="false" ht="14.25" hidden="false" customHeight="true" outlineLevel="0" collapsed="false">
      <c r="A78" s="308" t="s">
        <v>2527</v>
      </c>
      <c r="B78" s="308" t="s">
        <v>2324</v>
      </c>
      <c r="C78" s="309" t="s">
        <v>2542</v>
      </c>
      <c r="D78" s="308" t="s">
        <v>1676</v>
      </c>
      <c r="E78" s="308"/>
      <c r="F78" s="308"/>
      <c r="G78" s="308" t="s">
        <v>1676</v>
      </c>
      <c r="H78" s="308" t="s">
        <v>1676</v>
      </c>
      <c r="I78" s="308"/>
      <c r="J78" s="308"/>
    </row>
    <row r="79" customFormat="false" ht="32.25" hidden="false" customHeight="true" outlineLevel="0" collapsed="false">
      <c r="A79" s="308" t="s">
        <v>2527</v>
      </c>
      <c r="B79" s="308" t="s">
        <v>2333</v>
      </c>
      <c r="C79" s="309" t="s">
        <v>2543</v>
      </c>
      <c r="D79" s="308" t="s">
        <v>1676</v>
      </c>
      <c r="E79" s="308"/>
      <c r="F79" s="308" t="s">
        <v>1676</v>
      </c>
      <c r="G79" s="308"/>
      <c r="H79" s="308"/>
      <c r="I79" s="308"/>
      <c r="J79" s="308"/>
    </row>
    <row r="80" customFormat="false" ht="14.25" hidden="false" customHeight="true" outlineLevel="0" collapsed="false">
      <c r="A80" s="308" t="s">
        <v>2527</v>
      </c>
      <c r="B80" s="308" t="s">
        <v>2344</v>
      </c>
      <c r="C80" s="308" t="s">
        <v>2544</v>
      </c>
      <c r="D80" s="308" t="s">
        <v>1676</v>
      </c>
      <c r="E80" s="308"/>
      <c r="F80" s="308"/>
      <c r="G80" s="308"/>
      <c r="H80" s="308"/>
      <c r="I80" s="308"/>
      <c r="J80" s="308"/>
    </row>
    <row r="81" customFormat="false" ht="14.25" hidden="false" customHeight="true" outlineLevel="0" collapsed="false">
      <c r="A81" s="308" t="s">
        <v>2527</v>
      </c>
      <c r="B81" s="308" t="s">
        <v>2352</v>
      </c>
      <c r="C81" s="309" t="s">
        <v>2545</v>
      </c>
      <c r="D81" s="308" t="s">
        <v>1676</v>
      </c>
      <c r="E81" s="308"/>
      <c r="F81" s="308"/>
      <c r="G81" s="308"/>
      <c r="H81" s="308" t="s">
        <v>1676</v>
      </c>
      <c r="I81" s="308" t="s">
        <v>1676</v>
      </c>
      <c r="J81" s="308"/>
    </row>
    <row r="82" customFormat="false" ht="14.25" hidden="false" customHeight="true" outlineLevel="0" collapsed="false">
      <c r="A82" s="308" t="s">
        <v>2527</v>
      </c>
      <c r="B82" s="308" t="s">
        <v>2361</v>
      </c>
      <c r="C82" s="309" t="s">
        <v>2546</v>
      </c>
      <c r="D82" s="308" t="s">
        <v>1676</v>
      </c>
      <c r="E82" s="308"/>
      <c r="F82" s="308"/>
      <c r="G82" s="308" t="s">
        <v>1676</v>
      </c>
      <c r="H82" s="308" t="s">
        <v>1676</v>
      </c>
      <c r="I82" s="308"/>
      <c r="J82" s="308"/>
    </row>
    <row r="83" customFormat="false" ht="14.25" hidden="false" customHeight="true" outlineLevel="0" collapsed="false">
      <c r="A83" s="308" t="s">
        <v>2527</v>
      </c>
      <c r="B83" s="308" t="s">
        <v>2372</v>
      </c>
      <c r="C83" s="309" t="s">
        <v>2547</v>
      </c>
      <c r="D83" s="308" t="s">
        <v>1676</v>
      </c>
      <c r="E83" s="308" t="s">
        <v>1676</v>
      </c>
      <c r="F83" s="308" t="s">
        <v>1676</v>
      </c>
      <c r="G83" s="308"/>
      <c r="H83" s="308"/>
      <c r="I83" s="308"/>
      <c r="J83" s="308"/>
    </row>
    <row r="84" customFormat="false" ht="14.25" hidden="false" customHeight="true" outlineLevel="0" collapsed="false">
      <c r="A84" s="308" t="s">
        <v>2527</v>
      </c>
      <c r="B84" s="308" t="s">
        <v>2382</v>
      </c>
      <c r="C84" s="309" t="s">
        <v>2548</v>
      </c>
      <c r="D84" s="308" t="s">
        <v>1676</v>
      </c>
      <c r="E84" s="308" t="s">
        <v>1676</v>
      </c>
      <c r="F84" s="308" t="s">
        <v>1676</v>
      </c>
      <c r="G84" s="308" t="s">
        <v>1676</v>
      </c>
      <c r="H84" s="308" t="s">
        <v>1676</v>
      </c>
      <c r="I84" s="308" t="s">
        <v>1676</v>
      </c>
      <c r="J84" s="308"/>
    </row>
    <row r="85" customFormat="false" ht="14.25" hidden="false" customHeight="true" outlineLevel="0" collapsed="false">
      <c r="A85" s="308" t="s">
        <v>2527</v>
      </c>
      <c r="B85" s="308" t="s">
        <v>2393</v>
      </c>
      <c r="C85" s="309" t="s">
        <v>2549</v>
      </c>
      <c r="D85" s="308" t="s">
        <v>1676</v>
      </c>
      <c r="E85" s="308"/>
      <c r="F85" s="308"/>
      <c r="G85" s="308"/>
      <c r="H85" s="308" t="s">
        <v>1676</v>
      </c>
      <c r="I85" s="308"/>
      <c r="J85" s="308"/>
    </row>
    <row r="86" customFormat="false" ht="14.25" hidden="false" customHeight="true" outlineLevel="0" collapsed="false">
      <c r="A86" s="308" t="s">
        <v>2527</v>
      </c>
      <c r="B86" s="308" t="s">
        <v>2404</v>
      </c>
      <c r="C86" s="309" t="s">
        <v>2550</v>
      </c>
      <c r="D86" s="308" t="s">
        <v>1676</v>
      </c>
      <c r="E86" s="308"/>
      <c r="F86" s="308"/>
      <c r="G86" s="308" t="s">
        <v>1676</v>
      </c>
      <c r="H86" s="308" t="s">
        <v>1676</v>
      </c>
      <c r="I86" s="308"/>
      <c r="J86" s="308"/>
    </row>
    <row r="87" customFormat="false" ht="14.25" hidden="false" customHeight="true" outlineLevel="0" collapsed="false">
      <c r="A87" s="308" t="s">
        <v>2527</v>
      </c>
      <c r="B87" s="308" t="s">
        <v>2416</v>
      </c>
      <c r="C87" s="309" t="s">
        <v>2551</v>
      </c>
      <c r="D87" s="308" t="s">
        <v>1676</v>
      </c>
      <c r="E87" s="308"/>
      <c r="F87" s="308"/>
      <c r="G87" s="308"/>
      <c r="H87" s="308" t="s">
        <v>1676</v>
      </c>
      <c r="I87" s="308"/>
      <c r="J87" s="308"/>
    </row>
    <row r="88" customFormat="false" ht="14.25" hidden="false" customHeight="true" outlineLevel="0" collapsed="false">
      <c r="A88" s="308" t="s">
        <v>2527</v>
      </c>
      <c r="B88" s="308" t="s">
        <v>2428</v>
      </c>
      <c r="C88" s="309" t="s">
        <v>2552</v>
      </c>
      <c r="D88" s="308" t="s">
        <v>1676</v>
      </c>
      <c r="E88" s="308" t="s">
        <v>1676</v>
      </c>
      <c r="F88" s="308"/>
      <c r="G88" s="308"/>
      <c r="H88" s="308" t="s">
        <v>1676</v>
      </c>
      <c r="I88" s="308"/>
      <c r="J88" s="308"/>
    </row>
    <row r="89" customFormat="false" ht="14.25" hidden="false" customHeight="true" outlineLevel="0" collapsed="false">
      <c r="A89" s="308" t="s">
        <v>2527</v>
      </c>
      <c r="B89" s="308" t="s">
        <v>602</v>
      </c>
      <c r="C89" s="309" t="s">
        <v>2553</v>
      </c>
      <c r="D89" s="308" t="s">
        <v>1676</v>
      </c>
      <c r="E89" s="308"/>
      <c r="F89" s="308"/>
      <c r="G89" s="308" t="s">
        <v>1676</v>
      </c>
      <c r="H89" s="308"/>
      <c r="I89" s="308"/>
      <c r="J89" s="308"/>
    </row>
    <row r="90" customFormat="false" ht="14.25" hidden="false" customHeight="true" outlineLevel="0" collapsed="false">
      <c r="A90" s="308" t="s">
        <v>2554</v>
      </c>
      <c r="B90" s="308" t="s">
        <v>2555</v>
      </c>
      <c r="C90" s="308" t="s">
        <v>1859</v>
      </c>
      <c r="D90" s="308" t="s">
        <v>1676</v>
      </c>
      <c r="E90" s="308"/>
      <c r="F90" s="308"/>
      <c r="G90" s="308"/>
      <c r="H90" s="308"/>
      <c r="I90" s="308"/>
      <c r="J90" s="308"/>
    </row>
    <row r="91" customFormat="false" ht="14.25" hidden="false" customHeight="true" outlineLevel="0" collapsed="false">
      <c r="A91" s="308" t="s">
        <v>2554</v>
      </c>
      <c r="B91" s="308" t="s">
        <v>2556</v>
      </c>
      <c r="C91" s="309" t="s">
        <v>1871</v>
      </c>
      <c r="D91" s="308" t="s">
        <v>1676</v>
      </c>
      <c r="E91" s="308"/>
      <c r="F91" s="308"/>
      <c r="G91" s="308"/>
      <c r="H91" s="308" t="s">
        <v>1676</v>
      </c>
      <c r="I91" s="308" t="s">
        <v>1676</v>
      </c>
      <c r="J91" s="308" t="s">
        <v>1676</v>
      </c>
    </row>
    <row r="92" customFormat="false" ht="36" hidden="false" customHeight="true" outlineLevel="0" collapsed="false">
      <c r="A92" s="308" t="s">
        <v>2554</v>
      </c>
      <c r="B92" s="309" t="s">
        <v>1879</v>
      </c>
      <c r="C92" s="309" t="s">
        <v>1883</v>
      </c>
      <c r="D92" s="308"/>
      <c r="E92" s="308"/>
      <c r="F92" s="308"/>
      <c r="G92" s="308"/>
      <c r="H92" s="308" t="s">
        <v>1676</v>
      </c>
      <c r="I92" s="308"/>
      <c r="J92" s="308" t="s">
        <v>1676</v>
      </c>
    </row>
    <row r="93" customFormat="false" ht="14.25" hidden="false" customHeight="true" outlineLevel="0" collapsed="false">
      <c r="A93" s="308" t="s">
        <v>2554</v>
      </c>
      <c r="B93" s="308" t="s">
        <v>2557</v>
      </c>
      <c r="C93" s="309" t="s">
        <v>1895</v>
      </c>
      <c r="D93" s="308" t="s">
        <v>1676</v>
      </c>
      <c r="E93" s="308"/>
      <c r="F93" s="308"/>
      <c r="G93" s="308"/>
      <c r="H93" s="308"/>
      <c r="I93" s="308" t="s">
        <v>1676</v>
      </c>
      <c r="J93" s="308"/>
    </row>
    <row r="94" customFormat="false" ht="14.25" hidden="false" customHeight="true" outlineLevel="0" collapsed="false">
      <c r="A94" s="308" t="s">
        <v>2554</v>
      </c>
      <c r="B94" s="308" t="s">
        <v>2558</v>
      </c>
      <c r="C94" s="309" t="s">
        <v>1907</v>
      </c>
      <c r="D94" s="308" t="s">
        <v>1676</v>
      </c>
      <c r="E94" s="308"/>
      <c r="F94" s="308"/>
      <c r="G94" s="308"/>
      <c r="H94" s="308"/>
      <c r="I94" s="308"/>
      <c r="J94" s="30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false"/>
  </sheetPr>
  <dimension ref="C2: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5" activeCellId="0" sqref="A15"/>
    </sheetView>
  </sheetViews>
  <sheetFormatPr defaultColWidth="8.53125" defaultRowHeight="14.25" zeroHeight="false" outlineLevelRow="0" outlineLevelCol="0"/>
  <cols>
    <col collapsed="false" customWidth="true" hidden="false" outlineLevel="0" max="3" min="3" style="16" width="25.72"/>
    <col collapsed="false" customWidth="true" hidden="false" outlineLevel="0" max="4" min="4" style="16" width="34.54"/>
    <col collapsed="false" customWidth="true" hidden="false" outlineLevel="0" max="5" min="5" style="16" width="58.18"/>
  </cols>
  <sheetData>
    <row r="2" customFormat="false" ht="14.25" hidden="false" customHeight="true" outlineLevel="0" collapsed="false">
      <c r="C2" s="310" t="s">
        <v>2559</v>
      </c>
      <c r="D2" s="311"/>
      <c r="E2" s="311"/>
    </row>
    <row r="3" customFormat="false" ht="14.25" hidden="false" customHeight="true" outlineLevel="0" collapsed="false">
      <c r="C3" s="311"/>
      <c r="D3" s="311"/>
      <c r="E3" s="311"/>
    </row>
    <row r="4" customFormat="false" ht="14.25" hidden="false" customHeight="true" outlineLevel="0" collapsed="false">
      <c r="C4" s="312" t="s">
        <v>2459</v>
      </c>
      <c r="D4" s="313" t="s">
        <v>2560</v>
      </c>
      <c r="E4" s="314" t="s">
        <v>2561</v>
      </c>
    </row>
    <row r="5" customFormat="false" ht="23.25" hidden="false" customHeight="true" outlineLevel="0" collapsed="false">
      <c r="C5" s="315" t="s">
        <v>2562</v>
      </c>
      <c r="D5" s="316" t="s">
        <v>2563</v>
      </c>
      <c r="E5" s="316" t="s">
        <v>2564</v>
      </c>
    </row>
    <row r="6" customFormat="false" ht="23.25" hidden="false" customHeight="true" outlineLevel="0" collapsed="false">
      <c r="C6" s="315" t="s">
        <v>2562</v>
      </c>
      <c r="D6" s="316" t="s">
        <v>2563</v>
      </c>
      <c r="E6" s="316" t="s">
        <v>2565</v>
      </c>
    </row>
    <row r="7" customFormat="false" ht="23.25" hidden="false" customHeight="true" outlineLevel="0" collapsed="false">
      <c r="C7" s="315" t="s">
        <v>2562</v>
      </c>
      <c r="D7" s="316" t="s">
        <v>2563</v>
      </c>
      <c r="E7" s="316" t="s">
        <v>2566</v>
      </c>
    </row>
    <row r="8" customFormat="false" ht="23.25" hidden="false" customHeight="true" outlineLevel="0" collapsed="false">
      <c r="C8" s="315" t="s">
        <v>2562</v>
      </c>
      <c r="D8" s="316" t="s">
        <v>2563</v>
      </c>
      <c r="E8" s="316" t="s">
        <v>2567</v>
      </c>
    </row>
    <row r="9" customFormat="false" ht="23.25" hidden="false" customHeight="true" outlineLevel="0" collapsed="false">
      <c r="C9" s="315" t="s">
        <v>2562</v>
      </c>
      <c r="D9" s="316" t="s">
        <v>2563</v>
      </c>
      <c r="E9" s="316" t="s">
        <v>2568</v>
      </c>
    </row>
    <row r="10" customFormat="false" ht="23.25" hidden="false" customHeight="true" outlineLevel="0" collapsed="false">
      <c r="C10" s="315" t="s">
        <v>2562</v>
      </c>
      <c r="D10" s="316" t="s">
        <v>2569</v>
      </c>
      <c r="E10" s="316" t="s">
        <v>2570</v>
      </c>
    </row>
    <row r="11" customFormat="false" ht="23.25" hidden="false" customHeight="true" outlineLevel="0" collapsed="false">
      <c r="C11" s="315" t="s">
        <v>2562</v>
      </c>
      <c r="D11" s="316" t="s">
        <v>2569</v>
      </c>
      <c r="E11" s="316" t="s">
        <v>2571</v>
      </c>
    </row>
    <row r="12" customFormat="false" ht="23.25" hidden="false" customHeight="true" outlineLevel="0" collapsed="false">
      <c r="C12" s="315" t="s">
        <v>2562</v>
      </c>
      <c r="D12" s="316" t="s">
        <v>2569</v>
      </c>
      <c r="E12" s="316" t="s">
        <v>2572</v>
      </c>
    </row>
    <row r="13" customFormat="false" ht="23.25" hidden="false" customHeight="true" outlineLevel="0" collapsed="false">
      <c r="C13" s="315" t="s">
        <v>2562</v>
      </c>
      <c r="D13" s="316" t="s">
        <v>2569</v>
      </c>
      <c r="E13" s="316" t="s">
        <v>2573</v>
      </c>
    </row>
    <row r="14" customFormat="false" ht="14.25" hidden="false" customHeight="true" outlineLevel="0" collapsed="false">
      <c r="C14" s="315" t="s">
        <v>2562</v>
      </c>
      <c r="D14" s="316" t="s">
        <v>2569</v>
      </c>
      <c r="E14" s="316" t="s">
        <v>2574</v>
      </c>
    </row>
    <row r="15" customFormat="false" ht="23.25" hidden="false" customHeight="true" outlineLevel="0" collapsed="false">
      <c r="C15" s="315" t="s">
        <v>2562</v>
      </c>
      <c r="D15" s="316" t="s">
        <v>2575</v>
      </c>
      <c r="E15" s="316" t="s">
        <v>2576</v>
      </c>
    </row>
    <row r="16" customFormat="false" ht="23.25" hidden="false" customHeight="true" outlineLevel="0" collapsed="false">
      <c r="C16" s="315" t="s">
        <v>2562</v>
      </c>
      <c r="D16" s="316" t="s">
        <v>2575</v>
      </c>
      <c r="E16" s="316" t="s">
        <v>2577</v>
      </c>
    </row>
    <row r="17" customFormat="false" ht="23.25" hidden="false" customHeight="true" outlineLevel="0" collapsed="false">
      <c r="C17" s="315" t="s">
        <v>2562</v>
      </c>
      <c r="D17" s="316" t="s">
        <v>2575</v>
      </c>
      <c r="E17" s="316" t="s">
        <v>2578</v>
      </c>
    </row>
    <row r="18" customFormat="false" ht="23.25" hidden="false" customHeight="true" outlineLevel="0" collapsed="false">
      <c r="C18" s="315" t="s">
        <v>2562</v>
      </c>
      <c r="D18" s="316" t="s">
        <v>2579</v>
      </c>
      <c r="E18" s="316" t="s">
        <v>2580</v>
      </c>
    </row>
    <row r="19" customFormat="false" ht="23.25" hidden="false" customHeight="true" outlineLevel="0" collapsed="false">
      <c r="C19" s="315" t="s">
        <v>2562</v>
      </c>
      <c r="D19" s="316" t="s">
        <v>2579</v>
      </c>
      <c r="E19" s="316" t="s">
        <v>2581</v>
      </c>
    </row>
    <row r="20" customFormat="false" ht="23.25" hidden="false" customHeight="true" outlineLevel="0" collapsed="false">
      <c r="C20" s="315" t="s">
        <v>2582</v>
      </c>
      <c r="D20" s="316" t="s">
        <v>2563</v>
      </c>
      <c r="E20" s="316" t="s">
        <v>2583</v>
      </c>
    </row>
    <row r="21" customFormat="false" ht="23.25" hidden="false" customHeight="true" outlineLevel="0" collapsed="false">
      <c r="C21" s="315" t="s">
        <v>2582</v>
      </c>
      <c r="D21" s="316" t="s">
        <v>2563</v>
      </c>
      <c r="E21" s="316" t="s">
        <v>2584</v>
      </c>
    </row>
    <row r="22" customFormat="false" ht="23.25" hidden="false" customHeight="true" outlineLevel="0" collapsed="false">
      <c r="C22" s="315" t="s">
        <v>2582</v>
      </c>
      <c r="D22" s="316" t="s">
        <v>2563</v>
      </c>
      <c r="E22" s="316" t="s">
        <v>2585</v>
      </c>
    </row>
    <row r="23" customFormat="false" ht="23.25" hidden="false" customHeight="true" outlineLevel="0" collapsed="false">
      <c r="C23" s="315" t="s">
        <v>2582</v>
      </c>
      <c r="D23" s="316" t="s">
        <v>2569</v>
      </c>
      <c r="E23" s="316" t="s">
        <v>2586</v>
      </c>
    </row>
    <row r="24" customFormat="false" ht="23.25" hidden="false" customHeight="true" outlineLevel="0" collapsed="false">
      <c r="C24" s="315" t="s">
        <v>2582</v>
      </c>
      <c r="D24" s="316" t="s">
        <v>2569</v>
      </c>
      <c r="E24" s="316" t="s">
        <v>2587</v>
      </c>
    </row>
    <row r="25" customFormat="false" ht="23.25" hidden="false" customHeight="true" outlineLevel="0" collapsed="false">
      <c r="C25" s="315" t="s">
        <v>2582</v>
      </c>
      <c r="D25" s="316" t="s">
        <v>2569</v>
      </c>
      <c r="E25" s="316" t="s">
        <v>2588</v>
      </c>
    </row>
    <row r="26" customFormat="false" ht="23.25" hidden="false" customHeight="true" outlineLevel="0" collapsed="false">
      <c r="C26" s="315" t="s">
        <v>2582</v>
      </c>
      <c r="D26" s="316" t="s">
        <v>2575</v>
      </c>
      <c r="E26" s="316" t="s">
        <v>2589</v>
      </c>
    </row>
    <row r="27" customFormat="false" ht="23.25" hidden="false" customHeight="true" outlineLevel="0" collapsed="false">
      <c r="C27" s="315" t="s">
        <v>2582</v>
      </c>
      <c r="D27" s="316" t="s">
        <v>2575</v>
      </c>
      <c r="E27" s="316" t="s">
        <v>2590</v>
      </c>
    </row>
    <row r="28" customFormat="false" ht="23.25" hidden="false" customHeight="true" outlineLevel="0" collapsed="false">
      <c r="C28" s="315" t="s">
        <v>2582</v>
      </c>
      <c r="D28" s="316" t="s">
        <v>2575</v>
      </c>
      <c r="E28" s="316" t="s">
        <v>2591</v>
      </c>
    </row>
    <row r="29" customFormat="false" ht="23.25" hidden="false" customHeight="true" outlineLevel="0" collapsed="false">
      <c r="C29" s="315" t="s">
        <v>2582</v>
      </c>
      <c r="D29" s="316" t="s">
        <v>2579</v>
      </c>
      <c r="E29" s="316" t="s">
        <v>2592</v>
      </c>
    </row>
    <row r="30" customFormat="false" ht="23.25" hidden="false" customHeight="true" outlineLevel="0" collapsed="false">
      <c r="C30" s="315" t="s">
        <v>2582</v>
      </c>
      <c r="D30" s="316" t="s">
        <v>2579</v>
      </c>
      <c r="E30" s="316" t="s">
        <v>2593</v>
      </c>
    </row>
    <row r="31" customFormat="false" ht="23.25" hidden="false" customHeight="true" outlineLevel="0" collapsed="false">
      <c r="C31" s="315" t="s">
        <v>2594</v>
      </c>
      <c r="D31" s="316" t="s">
        <v>2563</v>
      </c>
      <c r="E31" s="316" t="s">
        <v>2595</v>
      </c>
    </row>
    <row r="32" customFormat="false" ht="23.25" hidden="false" customHeight="true" outlineLevel="0" collapsed="false">
      <c r="C32" s="315" t="s">
        <v>2594</v>
      </c>
      <c r="D32" s="316" t="s">
        <v>2563</v>
      </c>
      <c r="E32" s="316" t="s">
        <v>2596</v>
      </c>
    </row>
    <row r="33" customFormat="false" ht="23.25" hidden="false" customHeight="true" outlineLevel="0" collapsed="false">
      <c r="C33" s="315" t="s">
        <v>2594</v>
      </c>
      <c r="D33" s="316" t="s">
        <v>2563</v>
      </c>
      <c r="E33" s="316" t="s">
        <v>2597</v>
      </c>
    </row>
    <row r="34" customFormat="false" ht="23.25" hidden="false" customHeight="true" outlineLevel="0" collapsed="false">
      <c r="C34" s="315" t="s">
        <v>2594</v>
      </c>
      <c r="D34" s="316" t="s">
        <v>2569</v>
      </c>
      <c r="E34" s="316" t="s">
        <v>2598</v>
      </c>
    </row>
    <row r="35" customFormat="false" ht="23.25" hidden="false" customHeight="true" outlineLevel="0" collapsed="false">
      <c r="C35" s="315" t="s">
        <v>2594</v>
      </c>
      <c r="D35" s="316" t="s">
        <v>2569</v>
      </c>
      <c r="E35" s="316" t="s">
        <v>2599</v>
      </c>
    </row>
    <row r="36" customFormat="false" ht="23.25" hidden="false" customHeight="true" outlineLevel="0" collapsed="false">
      <c r="C36" s="315" t="s">
        <v>2594</v>
      </c>
      <c r="D36" s="316" t="s">
        <v>2575</v>
      </c>
      <c r="E36" s="316" t="s">
        <v>2600</v>
      </c>
    </row>
    <row r="37" customFormat="false" ht="23.25" hidden="false" customHeight="true" outlineLevel="0" collapsed="false">
      <c r="C37" s="315" t="s">
        <v>2594</v>
      </c>
      <c r="D37" s="316" t="s">
        <v>2575</v>
      </c>
      <c r="E37" s="316" t="s">
        <v>2601</v>
      </c>
    </row>
    <row r="38" customFormat="false" ht="23.25" hidden="false" customHeight="true" outlineLevel="0" collapsed="false">
      <c r="C38" s="315" t="s">
        <v>2594</v>
      </c>
      <c r="D38" s="316" t="s">
        <v>2579</v>
      </c>
      <c r="E38" s="316" t="s">
        <v>2602</v>
      </c>
    </row>
    <row r="39" customFormat="false" ht="23.25" hidden="false" customHeight="true" outlineLevel="0" collapsed="false">
      <c r="C39" s="315" t="s">
        <v>2594</v>
      </c>
      <c r="D39" s="316" t="s">
        <v>2579</v>
      </c>
      <c r="E39" s="316" t="s">
        <v>2603</v>
      </c>
    </row>
    <row r="40" customFormat="false" ht="23.25" hidden="false" customHeight="true" outlineLevel="0" collapsed="false">
      <c r="C40" s="315" t="s">
        <v>2594</v>
      </c>
      <c r="D40" s="316" t="s">
        <v>2579</v>
      </c>
      <c r="E40" s="316" t="s">
        <v>2604</v>
      </c>
    </row>
    <row r="41" customFormat="false" ht="23.25" hidden="false" customHeight="true" outlineLevel="0" collapsed="false">
      <c r="C41" s="317" t="s">
        <v>2605</v>
      </c>
      <c r="D41" s="316" t="s">
        <v>2563</v>
      </c>
      <c r="E41" s="316" t="s">
        <v>2606</v>
      </c>
    </row>
    <row r="42" customFormat="false" ht="23.25" hidden="false" customHeight="true" outlineLevel="0" collapsed="false">
      <c r="C42" s="317" t="s">
        <v>2605</v>
      </c>
      <c r="D42" s="316" t="s">
        <v>2569</v>
      </c>
      <c r="E42" s="316" t="s">
        <v>2607</v>
      </c>
    </row>
    <row r="43" customFormat="false" ht="23.25" hidden="false" customHeight="true" outlineLevel="0" collapsed="false">
      <c r="C43" s="317" t="s">
        <v>2605</v>
      </c>
      <c r="D43" s="316" t="s">
        <v>2569</v>
      </c>
      <c r="E43" s="316" t="s">
        <v>2608</v>
      </c>
    </row>
    <row r="44" customFormat="false" ht="23.25" hidden="false" customHeight="true" outlineLevel="0" collapsed="false">
      <c r="C44" s="317" t="s">
        <v>2605</v>
      </c>
      <c r="D44" s="316" t="s">
        <v>2575</v>
      </c>
      <c r="E44" s="316" t="s">
        <v>2609</v>
      </c>
    </row>
    <row r="45" customFormat="false" ht="23.25" hidden="false" customHeight="true" outlineLevel="0" collapsed="false">
      <c r="C45" s="317" t="s">
        <v>2605</v>
      </c>
      <c r="D45" s="316" t="s">
        <v>2579</v>
      </c>
      <c r="E45" s="316" t="s">
        <v>2610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16" width="6"/>
    <col collapsed="false" customWidth="true" hidden="false" outlineLevel="0" max="2" min="2" style="16" width="30"/>
    <col collapsed="false" customWidth="true" hidden="false" outlineLevel="0" max="3" min="3" style="16" width="18"/>
    <col collapsed="false" customWidth="true" hidden="false" outlineLevel="0" max="4" min="4" style="16" width="20"/>
    <col collapsed="false" customWidth="true" hidden="false" outlineLevel="0" max="5" min="5" style="16" width="45"/>
    <col collapsed="false" customWidth="true" hidden="false" outlineLevel="0" max="6" min="6" style="16" width="60"/>
    <col collapsed="false" customWidth="true" hidden="false" outlineLevel="0" max="7" min="7" style="16" width="40"/>
    <col collapsed="false" customWidth="true" hidden="false" outlineLevel="0" max="8" min="8" style="16" width="10"/>
    <col collapsed="false" customWidth="true" hidden="false" outlineLevel="0" max="9" min="9" style="16" width="45"/>
  </cols>
  <sheetData>
    <row r="1" customFormat="false" ht="15" hidden="false" customHeight="true" outlineLevel="0" collapsed="false">
      <c r="A1" s="318" t="s">
        <v>2611</v>
      </c>
      <c r="B1" s="318" t="s">
        <v>2460</v>
      </c>
      <c r="C1" s="318" t="s">
        <v>2612</v>
      </c>
      <c r="D1" s="318" t="s">
        <v>2613</v>
      </c>
      <c r="E1" s="318" t="s">
        <v>2614</v>
      </c>
      <c r="F1" s="318" t="s">
        <v>2615</v>
      </c>
      <c r="G1" s="318" t="s">
        <v>2</v>
      </c>
      <c r="H1" s="318" t="s">
        <v>2616</v>
      </c>
      <c r="I1" s="318" t="s">
        <v>2617</v>
      </c>
    </row>
    <row r="2" customFormat="false" ht="42.75" hidden="false" customHeight="true" outlineLevel="0" collapsed="false">
      <c r="A2" s="319" t="s">
        <v>2618</v>
      </c>
      <c r="B2" s="319" t="s">
        <v>2470</v>
      </c>
      <c r="C2" s="319" t="s">
        <v>711</v>
      </c>
      <c r="D2" s="319" t="s">
        <v>2619</v>
      </c>
      <c r="E2" s="319"/>
      <c r="F2" s="319" t="s">
        <v>2620</v>
      </c>
      <c r="G2" s="319" t="s">
        <v>2621</v>
      </c>
      <c r="H2" s="319" t="s">
        <v>2622</v>
      </c>
      <c r="I2" s="319" t="s">
        <v>2623</v>
      </c>
    </row>
    <row r="3" customFormat="false" ht="42.75" hidden="false" customHeight="true" outlineLevel="0" collapsed="false">
      <c r="A3" s="319" t="s">
        <v>2618</v>
      </c>
      <c r="B3" s="319" t="s">
        <v>2470</v>
      </c>
      <c r="C3" s="319" t="s">
        <v>711</v>
      </c>
      <c r="D3" s="319" t="s">
        <v>2619</v>
      </c>
      <c r="E3" s="319"/>
      <c r="F3" s="319" t="s">
        <v>2624</v>
      </c>
      <c r="G3" s="319" t="s">
        <v>2625</v>
      </c>
      <c r="H3" s="319" t="s">
        <v>2626</v>
      </c>
      <c r="I3" s="319" t="s">
        <v>2627</v>
      </c>
    </row>
    <row r="4" customFormat="false" ht="32.25" hidden="false" customHeight="true" outlineLevel="0" collapsed="false">
      <c r="A4" s="319" t="s">
        <v>2618</v>
      </c>
      <c r="B4" s="319" t="s">
        <v>2470</v>
      </c>
      <c r="C4" s="319" t="s">
        <v>712</v>
      </c>
      <c r="D4" s="319" t="s">
        <v>2628</v>
      </c>
      <c r="E4" s="319"/>
      <c r="F4" s="319" t="s">
        <v>2629</v>
      </c>
      <c r="G4" s="319" t="s">
        <v>2630</v>
      </c>
      <c r="H4" s="319" t="s">
        <v>2626</v>
      </c>
      <c r="I4" s="319" t="s">
        <v>2631</v>
      </c>
    </row>
    <row r="5" customFormat="false" ht="53.25" hidden="false" customHeight="true" outlineLevel="0" collapsed="false">
      <c r="A5" s="319" t="s">
        <v>2618</v>
      </c>
      <c r="B5" s="319" t="s">
        <v>2470</v>
      </c>
      <c r="C5" s="319" t="s">
        <v>712</v>
      </c>
      <c r="D5" s="319" t="s">
        <v>2619</v>
      </c>
      <c r="E5" s="319"/>
      <c r="F5" s="319" t="s">
        <v>2632</v>
      </c>
      <c r="G5" s="319" t="s">
        <v>2633</v>
      </c>
      <c r="H5" s="319" t="s">
        <v>2622</v>
      </c>
      <c r="I5" s="319" t="s">
        <v>2634</v>
      </c>
    </row>
    <row r="6" customFormat="false" ht="21.75" hidden="false" customHeight="true" outlineLevel="0" collapsed="false">
      <c r="A6" s="319" t="s">
        <v>2618</v>
      </c>
      <c r="B6" s="319" t="s">
        <v>2470</v>
      </c>
      <c r="C6" s="319" t="s">
        <v>2635</v>
      </c>
      <c r="D6" s="319" t="s">
        <v>2619</v>
      </c>
      <c r="E6" s="319"/>
      <c r="F6" s="319" t="s">
        <v>2636</v>
      </c>
      <c r="G6" s="319" t="s">
        <v>2637</v>
      </c>
      <c r="H6" s="319" t="s">
        <v>2638</v>
      </c>
      <c r="I6" s="319" t="s">
        <v>2639</v>
      </c>
    </row>
    <row r="7" customFormat="false" ht="32.25" hidden="false" customHeight="true" outlineLevel="0" collapsed="false">
      <c r="A7" s="319" t="s">
        <v>2618</v>
      </c>
      <c r="B7" s="319" t="s">
        <v>2470</v>
      </c>
      <c r="C7" s="319" t="s">
        <v>2635</v>
      </c>
      <c r="D7" s="319" t="s">
        <v>2619</v>
      </c>
      <c r="E7" s="319"/>
      <c r="F7" s="319" t="s">
        <v>2640</v>
      </c>
      <c r="G7" s="319" t="s">
        <v>2633</v>
      </c>
      <c r="H7" s="319" t="s">
        <v>2638</v>
      </c>
      <c r="I7" s="319" t="s">
        <v>2641</v>
      </c>
    </row>
    <row r="8" customFormat="false" ht="42.75" hidden="false" customHeight="true" outlineLevel="0" collapsed="false">
      <c r="A8" s="319" t="s">
        <v>2618</v>
      </c>
      <c r="B8" s="319" t="s">
        <v>2470</v>
      </c>
      <c r="C8" s="319" t="s">
        <v>2642</v>
      </c>
      <c r="D8" s="319" t="s">
        <v>2643</v>
      </c>
      <c r="E8" s="319"/>
      <c r="F8" s="319" t="s">
        <v>2644</v>
      </c>
      <c r="G8" s="319"/>
      <c r="H8" s="319"/>
      <c r="I8" s="319"/>
    </row>
    <row r="9" customFormat="false" ht="21.75" hidden="false" customHeight="true" outlineLevel="0" collapsed="false">
      <c r="A9" s="319" t="s">
        <v>2618</v>
      </c>
      <c r="B9" s="319" t="s">
        <v>2470</v>
      </c>
      <c r="C9" s="319" t="s">
        <v>2645</v>
      </c>
      <c r="D9" s="319" t="s">
        <v>2646</v>
      </c>
      <c r="E9" s="319"/>
      <c r="F9" s="319" t="s">
        <v>2647</v>
      </c>
      <c r="G9" s="319"/>
      <c r="H9" s="319" t="s">
        <v>2626</v>
      </c>
      <c r="I9" s="319" t="s">
        <v>2648</v>
      </c>
    </row>
    <row r="10" customFormat="false" ht="32.25" hidden="false" customHeight="true" outlineLevel="0" collapsed="false">
      <c r="A10" s="319" t="s">
        <v>2618</v>
      </c>
      <c r="B10" s="319" t="s">
        <v>2470</v>
      </c>
      <c r="C10" s="319" t="s">
        <v>2645</v>
      </c>
      <c r="D10" s="319" t="s">
        <v>2649</v>
      </c>
      <c r="E10" s="319"/>
      <c r="F10" s="319" t="s">
        <v>2650</v>
      </c>
      <c r="G10" s="319"/>
      <c r="H10" s="319" t="s">
        <v>2626</v>
      </c>
      <c r="I10" s="319" t="s">
        <v>2651</v>
      </c>
    </row>
    <row r="11" customFormat="false" ht="15" hidden="false" customHeight="true" outlineLevel="0" collapsed="false">
      <c r="A11" s="319" t="s">
        <v>2618</v>
      </c>
      <c r="B11" s="319" t="s">
        <v>2470</v>
      </c>
      <c r="C11" s="319" t="s">
        <v>2645</v>
      </c>
      <c r="D11" s="319" t="s">
        <v>2646</v>
      </c>
      <c r="E11" s="319"/>
      <c r="F11" s="319" t="s">
        <v>2652</v>
      </c>
      <c r="G11" s="319"/>
      <c r="H11" s="319" t="s">
        <v>2626</v>
      </c>
      <c r="I11" s="319" t="s">
        <v>2653</v>
      </c>
    </row>
    <row r="12" customFormat="false" ht="32.25" hidden="false" customHeight="true" outlineLevel="0" collapsed="false">
      <c r="A12" s="319" t="s">
        <v>2618</v>
      </c>
      <c r="B12" s="319" t="s">
        <v>2470</v>
      </c>
      <c r="C12" s="319" t="s">
        <v>2645</v>
      </c>
      <c r="D12" s="319" t="s">
        <v>2654</v>
      </c>
      <c r="E12" s="319"/>
      <c r="F12" s="319" t="s">
        <v>2655</v>
      </c>
      <c r="G12" s="319"/>
      <c r="H12" s="319" t="s">
        <v>2638</v>
      </c>
      <c r="I12" s="319" t="s">
        <v>2656</v>
      </c>
    </row>
    <row r="13" customFormat="false" ht="21.75" hidden="false" customHeight="true" outlineLevel="0" collapsed="false">
      <c r="A13" s="319" t="s">
        <v>2618</v>
      </c>
      <c r="B13" s="319" t="s">
        <v>2470</v>
      </c>
      <c r="C13" s="319" t="s">
        <v>2645</v>
      </c>
      <c r="D13" s="319" t="s">
        <v>2657</v>
      </c>
      <c r="E13" s="319"/>
      <c r="F13" s="319" t="s">
        <v>2658</v>
      </c>
      <c r="G13" s="319"/>
      <c r="H13" s="319" t="s">
        <v>2626</v>
      </c>
      <c r="I13" s="319" t="s">
        <v>2659</v>
      </c>
    </row>
    <row r="14" customFormat="false" ht="32.25" hidden="false" customHeight="true" outlineLevel="0" collapsed="false">
      <c r="A14" s="319" t="s">
        <v>2618</v>
      </c>
      <c r="B14" s="319" t="s">
        <v>2470</v>
      </c>
      <c r="C14" s="319" t="s">
        <v>2660</v>
      </c>
      <c r="D14" s="319" t="s">
        <v>2661</v>
      </c>
      <c r="E14" s="319"/>
      <c r="F14" s="319" t="s">
        <v>2662</v>
      </c>
      <c r="G14" s="319"/>
      <c r="H14" s="319" t="s">
        <v>2663</v>
      </c>
      <c r="I14" s="319"/>
    </row>
    <row r="15" customFormat="false" ht="42.75" hidden="false" customHeight="true" outlineLevel="0" collapsed="false">
      <c r="A15" s="319" t="s">
        <v>2664</v>
      </c>
      <c r="B15" s="319" t="s">
        <v>741</v>
      </c>
      <c r="C15" s="319" t="s">
        <v>711</v>
      </c>
      <c r="D15" s="319" t="s">
        <v>2619</v>
      </c>
      <c r="E15" s="319"/>
      <c r="F15" s="319" t="s">
        <v>2665</v>
      </c>
      <c r="G15" s="319" t="s">
        <v>2666</v>
      </c>
      <c r="H15" s="319" t="s">
        <v>2622</v>
      </c>
      <c r="I15" s="319" t="s">
        <v>2667</v>
      </c>
    </row>
    <row r="16" customFormat="false" ht="53.25" hidden="false" customHeight="true" outlineLevel="0" collapsed="false">
      <c r="A16" s="319" t="s">
        <v>2664</v>
      </c>
      <c r="B16" s="319" t="s">
        <v>741</v>
      </c>
      <c r="C16" s="319" t="s">
        <v>711</v>
      </c>
      <c r="D16" s="319" t="s">
        <v>2619</v>
      </c>
      <c r="E16" s="319"/>
      <c r="F16" s="319" t="s">
        <v>2668</v>
      </c>
      <c r="G16" s="319" t="s">
        <v>2669</v>
      </c>
      <c r="H16" s="319" t="s">
        <v>2626</v>
      </c>
      <c r="I16" s="319" t="s">
        <v>2670</v>
      </c>
    </row>
    <row r="17" customFormat="false" ht="32.25" hidden="false" customHeight="true" outlineLevel="0" collapsed="false">
      <c r="A17" s="319" t="s">
        <v>2664</v>
      </c>
      <c r="B17" s="319" t="s">
        <v>741</v>
      </c>
      <c r="C17" s="319" t="s">
        <v>712</v>
      </c>
      <c r="D17" s="319" t="s">
        <v>2619</v>
      </c>
      <c r="E17" s="319"/>
      <c r="F17" s="319" t="s">
        <v>2671</v>
      </c>
      <c r="G17" s="319" t="s">
        <v>2672</v>
      </c>
      <c r="H17" s="319" t="s">
        <v>2626</v>
      </c>
      <c r="I17" s="319" t="s">
        <v>2673</v>
      </c>
    </row>
    <row r="18" customFormat="false" ht="32.25" hidden="false" customHeight="true" outlineLevel="0" collapsed="false">
      <c r="A18" s="319" t="s">
        <v>2664</v>
      </c>
      <c r="B18" s="319" t="s">
        <v>741</v>
      </c>
      <c r="C18" s="319" t="s">
        <v>2635</v>
      </c>
      <c r="D18" s="319" t="s">
        <v>2619</v>
      </c>
      <c r="E18" s="319"/>
      <c r="F18" s="319" t="s">
        <v>2674</v>
      </c>
      <c r="G18" s="319" t="s">
        <v>2675</v>
      </c>
      <c r="H18" s="319" t="s">
        <v>2622</v>
      </c>
      <c r="I18" s="319" t="s">
        <v>2676</v>
      </c>
    </row>
    <row r="19" customFormat="false" ht="42.75" hidden="false" customHeight="true" outlineLevel="0" collapsed="false">
      <c r="A19" s="319" t="s">
        <v>2664</v>
      </c>
      <c r="B19" s="319" t="s">
        <v>741</v>
      </c>
      <c r="C19" s="319" t="s">
        <v>2635</v>
      </c>
      <c r="D19" s="319" t="s">
        <v>2619</v>
      </c>
      <c r="E19" s="319"/>
      <c r="F19" s="319" t="s">
        <v>2677</v>
      </c>
      <c r="G19" s="319" t="s">
        <v>2678</v>
      </c>
      <c r="H19" s="319" t="s">
        <v>2638</v>
      </c>
      <c r="I19" s="319" t="s">
        <v>2679</v>
      </c>
    </row>
    <row r="20" customFormat="false" ht="21.75" hidden="false" customHeight="true" outlineLevel="0" collapsed="false">
      <c r="A20" s="319" t="s">
        <v>2664</v>
      </c>
      <c r="B20" s="319" t="s">
        <v>741</v>
      </c>
      <c r="C20" s="319" t="s">
        <v>2642</v>
      </c>
      <c r="D20" s="319" t="s">
        <v>2643</v>
      </c>
      <c r="E20" s="319"/>
      <c r="F20" s="319" t="s">
        <v>2680</v>
      </c>
      <c r="G20" s="319"/>
      <c r="H20" s="319"/>
      <c r="I20" s="319"/>
    </row>
    <row r="21" customFormat="false" ht="21.75" hidden="false" customHeight="true" outlineLevel="0" collapsed="false">
      <c r="A21" s="319" t="s">
        <v>2664</v>
      </c>
      <c r="B21" s="319" t="s">
        <v>741</v>
      </c>
      <c r="C21" s="319" t="s">
        <v>2645</v>
      </c>
      <c r="D21" s="319" t="s">
        <v>2654</v>
      </c>
      <c r="E21" s="319"/>
      <c r="F21" s="319" t="s">
        <v>2681</v>
      </c>
      <c r="G21" s="319"/>
      <c r="H21" s="319" t="s">
        <v>2622</v>
      </c>
      <c r="I21" s="319" t="s">
        <v>2682</v>
      </c>
    </row>
    <row r="22" customFormat="false" ht="32.25" hidden="false" customHeight="true" outlineLevel="0" collapsed="false">
      <c r="A22" s="319" t="s">
        <v>2664</v>
      </c>
      <c r="B22" s="319" t="s">
        <v>741</v>
      </c>
      <c r="C22" s="319" t="s">
        <v>2645</v>
      </c>
      <c r="D22" s="319" t="s">
        <v>2654</v>
      </c>
      <c r="E22" s="319"/>
      <c r="F22" s="319" t="s">
        <v>2683</v>
      </c>
      <c r="G22" s="319"/>
      <c r="H22" s="319" t="s">
        <v>2638</v>
      </c>
      <c r="I22" s="319" t="s">
        <v>2684</v>
      </c>
    </row>
    <row r="23" customFormat="false" ht="21.75" hidden="false" customHeight="true" outlineLevel="0" collapsed="false">
      <c r="A23" s="319" t="s">
        <v>2664</v>
      </c>
      <c r="B23" s="319" t="s">
        <v>741</v>
      </c>
      <c r="C23" s="319" t="s">
        <v>2645</v>
      </c>
      <c r="D23" s="319" t="s">
        <v>2657</v>
      </c>
      <c r="E23" s="319"/>
      <c r="F23" s="319" t="s">
        <v>2685</v>
      </c>
      <c r="G23" s="319"/>
      <c r="H23" s="319" t="s">
        <v>2626</v>
      </c>
      <c r="I23" s="319" t="s">
        <v>2686</v>
      </c>
    </row>
    <row r="24" customFormat="false" ht="32.25" hidden="false" customHeight="true" outlineLevel="0" collapsed="false">
      <c r="A24" s="319" t="s">
        <v>2664</v>
      </c>
      <c r="B24" s="319" t="s">
        <v>741</v>
      </c>
      <c r="C24" s="319" t="s">
        <v>2645</v>
      </c>
      <c r="D24" s="319" t="s">
        <v>2649</v>
      </c>
      <c r="E24" s="319"/>
      <c r="F24" s="319" t="s">
        <v>2687</v>
      </c>
      <c r="G24" s="319"/>
      <c r="H24" s="319" t="s">
        <v>2638</v>
      </c>
      <c r="I24" s="319" t="s">
        <v>2688</v>
      </c>
    </row>
    <row r="25" customFormat="false" ht="32.25" hidden="false" customHeight="true" outlineLevel="0" collapsed="false">
      <c r="A25" s="319" t="s">
        <v>2664</v>
      </c>
      <c r="B25" s="319" t="s">
        <v>741</v>
      </c>
      <c r="C25" s="319" t="s">
        <v>2660</v>
      </c>
      <c r="D25" s="319" t="s">
        <v>2661</v>
      </c>
      <c r="E25" s="319"/>
      <c r="F25" s="319" t="s">
        <v>2689</v>
      </c>
      <c r="G25" s="319"/>
      <c r="H25" s="319" t="s">
        <v>2663</v>
      </c>
      <c r="I25" s="319"/>
    </row>
    <row r="26" customFormat="false" ht="32.25" hidden="false" customHeight="true" outlineLevel="0" collapsed="false">
      <c r="A26" s="319" t="s">
        <v>2690</v>
      </c>
      <c r="B26" s="319" t="s">
        <v>759</v>
      </c>
      <c r="C26" s="319" t="s">
        <v>711</v>
      </c>
      <c r="D26" s="319" t="s">
        <v>2643</v>
      </c>
      <c r="E26" s="319"/>
      <c r="F26" s="319" t="s">
        <v>2691</v>
      </c>
      <c r="G26" s="319"/>
      <c r="H26" s="319"/>
      <c r="I26" s="319"/>
    </row>
    <row r="27" customFormat="false" ht="32.25" hidden="false" customHeight="true" outlineLevel="0" collapsed="false">
      <c r="A27" s="319" t="s">
        <v>2690</v>
      </c>
      <c r="B27" s="319" t="s">
        <v>759</v>
      </c>
      <c r="C27" s="319" t="s">
        <v>712</v>
      </c>
      <c r="D27" s="319" t="s">
        <v>2643</v>
      </c>
      <c r="E27" s="319"/>
      <c r="F27" s="319" t="s">
        <v>2692</v>
      </c>
      <c r="G27" s="319"/>
      <c r="H27" s="319"/>
      <c r="I27" s="319"/>
    </row>
    <row r="28" customFormat="false" ht="63.75" hidden="false" customHeight="true" outlineLevel="0" collapsed="false">
      <c r="A28" s="319" t="s">
        <v>2690</v>
      </c>
      <c r="B28" s="319" t="s">
        <v>759</v>
      </c>
      <c r="C28" s="319" t="s">
        <v>2635</v>
      </c>
      <c r="D28" s="319" t="s">
        <v>2619</v>
      </c>
      <c r="E28" s="319"/>
      <c r="F28" s="319" t="s">
        <v>2693</v>
      </c>
      <c r="G28" s="319" t="s">
        <v>2694</v>
      </c>
      <c r="H28" s="319" t="s">
        <v>2622</v>
      </c>
      <c r="I28" s="319" t="s">
        <v>2695</v>
      </c>
    </row>
    <row r="29" customFormat="false" ht="42.75" hidden="false" customHeight="true" outlineLevel="0" collapsed="false">
      <c r="A29" s="319" t="s">
        <v>2690</v>
      </c>
      <c r="B29" s="319" t="s">
        <v>759</v>
      </c>
      <c r="C29" s="319" t="s">
        <v>2635</v>
      </c>
      <c r="D29" s="319" t="s">
        <v>2619</v>
      </c>
      <c r="E29" s="319"/>
      <c r="F29" s="319" t="s">
        <v>2696</v>
      </c>
      <c r="G29" s="319" t="s">
        <v>2697</v>
      </c>
      <c r="H29" s="319" t="s">
        <v>2622</v>
      </c>
      <c r="I29" s="319" t="s">
        <v>2698</v>
      </c>
    </row>
    <row r="30" customFormat="false" ht="32.25" hidden="false" customHeight="true" outlineLevel="0" collapsed="false">
      <c r="A30" s="319" t="s">
        <v>2690</v>
      </c>
      <c r="B30" s="319" t="s">
        <v>759</v>
      </c>
      <c r="C30" s="319" t="s">
        <v>2642</v>
      </c>
      <c r="D30" s="319" t="s">
        <v>2643</v>
      </c>
      <c r="E30" s="319"/>
      <c r="F30" s="319" t="s">
        <v>2699</v>
      </c>
      <c r="G30" s="319"/>
      <c r="H30" s="319"/>
      <c r="I30" s="319"/>
    </row>
    <row r="31" customFormat="false" ht="32.25" hidden="false" customHeight="true" outlineLevel="0" collapsed="false">
      <c r="A31" s="319" t="s">
        <v>2690</v>
      </c>
      <c r="B31" s="319" t="s">
        <v>759</v>
      </c>
      <c r="C31" s="319" t="s">
        <v>2645</v>
      </c>
      <c r="D31" s="319" t="s">
        <v>2657</v>
      </c>
      <c r="E31" s="319"/>
      <c r="F31" s="319" t="s">
        <v>2700</v>
      </c>
      <c r="G31" s="319"/>
      <c r="H31" s="319" t="s">
        <v>2638</v>
      </c>
      <c r="I31" s="319" t="s">
        <v>2701</v>
      </c>
    </row>
    <row r="32" customFormat="false" ht="32.25" hidden="false" customHeight="true" outlineLevel="0" collapsed="false">
      <c r="A32" s="319" t="s">
        <v>2690</v>
      </c>
      <c r="B32" s="319" t="s">
        <v>759</v>
      </c>
      <c r="C32" s="319" t="s">
        <v>2645</v>
      </c>
      <c r="D32" s="319" t="s">
        <v>2646</v>
      </c>
      <c r="E32" s="319"/>
      <c r="F32" s="319" t="s">
        <v>2702</v>
      </c>
      <c r="G32" s="319"/>
      <c r="H32" s="319" t="s">
        <v>2626</v>
      </c>
      <c r="I32" s="319" t="s">
        <v>2703</v>
      </c>
    </row>
    <row r="33" customFormat="false" ht="32.25" hidden="false" customHeight="true" outlineLevel="0" collapsed="false">
      <c r="A33" s="319" t="s">
        <v>2690</v>
      </c>
      <c r="B33" s="319" t="s">
        <v>759</v>
      </c>
      <c r="C33" s="319" t="s">
        <v>2645</v>
      </c>
      <c r="D33" s="319" t="s">
        <v>2646</v>
      </c>
      <c r="E33" s="319"/>
      <c r="F33" s="319" t="s">
        <v>2704</v>
      </c>
      <c r="G33" s="319"/>
      <c r="H33" s="319" t="s">
        <v>2626</v>
      </c>
      <c r="I33" s="319" t="s">
        <v>2703</v>
      </c>
    </row>
    <row r="34" customFormat="false" ht="32.25" hidden="false" customHeight="true" outlineLevel="0" collapsed="false">
      <c r="A34" s="319" t="s">
        <v>2690</v>
      </c>
      <c r="B34" s="319" t="s">
        <v>759</v>
      </c>
      <c r="C34" s="319" t="s">
        <v>2645</v>
      </c>
      <c r="D34" s="319" t="s">
        <v>2646</v>
      </c>
      <c r="E34" s="319"/>
      <c r="F34" s="319" t="s">
        <v>2705</v>
      </c>
      <c r="G34" s="319"/>
      <c r="H34" s="319" t="s">
        <v>2626</v>
      </c>
      <c r="I34" s="319" t="s">
        <v>2703</v>
      </c>
    </row>
    <row r="35" customFormat="false" ht="32.25" hidden="false" customHeight="true" outlineLevel="0" collapsed="false">
      <c r="A35" s="319" t="s">
        <v>2690</v>
      </c>
      <c r="B35" s="319" t="s">
        <v>759</v>
      </c>
      <c r="C35" s="319" t="s">
        <v>2645</v>
      </c>
      <c r="D35" s="319" t="s">
        <v>2646</v>
      </c>
      <c r="E35" s="319"/>
      <c r="F35" s="319" t="s">
        <v>2706</v>
      </c>
      <c r="G35" s="319"/>
      <c r="H35" s="319" t="s">
        <v>2626</v>
      </c>
      <c r="I35" s="319" t="s">
        <v>2703</v>
      </c>
    </row>
    <row r="36" customFormat="false" ht="32.25" hidden="false" customHeight="true" outlineLevel="0" collapsed="false">
      <c r="A36" s="319" t="s">
        <v>2690</v>
      </c>
      <c r="B36" s="319" t="s">
        <v>759</v>
      </c>
      <c r="C36" s="319" t="s">
        <v>2660</v>
      </c>
      <c r="D36" s="319" t="s">
        <v>2661</v>
      </c>
      <c r="E36" s="319"/>
      <c r="F36" s="319" t="s">
        <v>2707</v>
      </c>
      <c r="G36" s="319"/>
      <c r="H36" s="319" t="s">
        <v>2708</v>
      </c>
      <c r="I36" s="319"/>
    </row>
    <row r="37" customFormat="false" ht="63.75" hidden="false" customHeight="true" outlineLevel="0" collapsed="false">
      <c r="A37" s="319" t="s">
        <v>2709</v>
      </c>
      <c r="B37" s="319" t="s">
        <v>776</v>
      </c>
      <c r="C37" s="319" t="s">
        <v>711</v>
      </c>
      <c r="D37" s="319" t="s">
        <v>2619</v>
      </c>
      <c r="E37" s="319"/>
      <c r="F37" s="319" t="s">
        <v>2710</v>
      </c>
      <c r="G37" s="319" t="s">
        <v>2711</v>
      </c>
      <c r="H37" s="319" t="s">
        <v>2622</v>
      </c>
      <c r="I37" s="319" t="s">
        <v>2712</v>
      </c>
    </row>
    <row r="38" customFormat="false" ht="32.25" hidden="false" customHeight="true" outlineLevel="0" collapsed="false">
      <c r="A38" s="319" t="s">
        <v>2709</v>
      </c>
      <c r="B38" s="319" t="s">
        <v>776</v>
      </c>
      <c r="C38" s="319" t="s">
        <v>711</v>
      </c>
      <c r="D38" s="319" t="s">
        <v>2619</v>
      </c>
      <c r="E38" s="319"/>
      <c r="F38" s="319" t="s">
        <v>2713</v>
      </c>
      <c r="G38" s="319" t="s">
        <v>2714</v>
      </c>
      <c r="H38" s="319" t="s">
        <v>2638</v>
      </c>
      <c r="I38" s="319" t="s">
        <v>2715</v>
      </c>
    </row>
    <row r="39" customFormat="false" ht="32.25" hidden="false" customHeight="true" outlineLevel="0" collapsed="false">
      <c r="A39" s="319" t="s">
        <v>2709</v>
      </c>
      <c r="B39" s="319" t="s">
        <v>776</v>
      </c>
      <c r="C39" s="319" t="s">
        <v>712</v>
      </c>
      <c r="D39" s="319" t="s">
        <v>2643</v>
      </c>
      <c r="E39" s="319"/>
      <c r="F39" s="319" t="s">
        <v>2716</v>
      </c>
      <c r="G39" s="319"/>
      <c r="H39" s="319"/>
      <c r="I39" s="319"/>
    </row>
    <row r="40" customFormat="false" ht="42.75" hidden="false" customHeight="true" outlineLevel="0" collapsed="false">
      <c r="A40" s="319" t="s">
        <v>2709</v>
      </c>
      <c r="B40" s="319" t="s">
        <v>776</v>
      </c>
      <c r="C40" s="319" t="s">
        <v>2635</v>
      </c>
      <c r="D40" s="319" t="s">
        <v>2619</v>
      </c>
      <c r="E40" s="319"/>
      <c r="F40" s="319" t="s">
        <v>2717</v>
      </c>
      <c r="G40" s="319" t="s">
        <v>2718</v>
      </c>
      <c r="H40" s="319" t="s">
        <v>2638</v>
      </c>
      <c r="I40" s="319" t="s">
        <v>2719</v>
      </c>
    </row>
    <row r="41" customFormat="false" ht="42.75" hidden="false" customHeight="true" outlineLevel="0" collapsed="false">
      <c r="A41" s="319" t="s">
        <v>2709</v>
      </c>
      <c r="B41" s="319" t="s">
        <v>776</v>
      </c>
      <c r="C41" s="319" t="s">
        <v>2635</v>
      </c>
      <c r="D41" s="319" t="s">
        <v>2619</v>
      </c>
      <c r="E41" s="319"/>
      <c r="F41" s="319" t="s">
        <v>2720</v>
      </c>
      <c r="G41" s="319" t="s">
        <v>2721</v>
      </c>
      <c r="H41" s="319" t="s">
        <v>2622</v>
      </c>
      <c r="I41" s="319" t="s">
        <v>2722</v>
      </c>
    </row>
    <row r="42" customFormat="false" ht="15" hidden="false" customHeight="true" outlineLevel="0" collapsed="false">
      <c r="A42" s="319" t="s">
        <v>2709</v>
      </c>
      <c r="B42" s="319" t="s">
        <v>776</v>
      </c>
      <c r="C42" s="319" t="s">
        <v>2642</v>
      </c>
      <c r="D42" s="319" t="s">
        <v>2643</v>
      </c>
      <c r="E42" s="319"/>
      <c r="F42" s="319" t="s">
        <v>2699</v>
      </c>
      <c r="G42" s="319"/>
      <c r="H42" s="319"/>
      <c r="I42" s="319"/>
    </row>
    <row r="43" customFormat="false" ht="15" hidden="false" customHeight="true" outlineLevel="0" collapsed="false">
      <c r="A43" s="319" t="s">
        <v>2709</v>
      </c>
      <c r="B43" s="319" t="s">
        <v>776</v>
      </c>
      <c r="C43" s="319" t="s">
        <v>2645</v>
      </c>
      <c r="D43" s="319" t="s">
        <v>2646</v>
      </c>
      <c r="E43" s="319"/>
      <c r="F43" s="319" t="s">
        <v>2723</v>
      </c>
      <c r="G43" s="319"/>
      <c r="H43" s="319" t="s">
        <v>2626</v>
      </c>
      <c r="I43" s="319" t="s">
        <v>2724</v>
      </c>
    </row>
    <row r="44" customFormat="false" ht="15" hidden="false" customHeight="true" outlineLevel="0" collapsed="false">
      <c r="A44" s="319" t="s">
        <v>2709</v>
      </c>
      <c r="B44" s="319" t="s">
        <v>776</v>
      </c>
      <c r="C44" s="319" t="s">
        <v>2645</v>
      </c>
      <c r="D44" s="319" t="s">
        <v>2646</v>
      </c>
      <c r="E44" s="319"/>
      <c r="F44" s="319" t="s">
        <v>2725</v>
      </c>
      <c r="G44" s="319"/>
      <c r="H44" s="319" t="s">
        <v>2626</v>
      </c>
      <c r="I44" s="319" t="s">
        <v>2726</v>
      </c>
    </row>
    <row r="45" customFormat="false" ht="32.25" hidden="false" customHeight="true" outlineLevel="0" collapsed="false">
      <c r="A45" s="319" t="s">
        <v>2709</v>
      </c>
      <c r="B45" s="319" t="s">
        <v>776</v>
      </c>
      <c r="C45" s="319" t="s">
        <v>2645</v>
      </c>
      <c r="D45" s="319" t="s">
        <v>2654</v>
      </c>
      <c r="E45" s="319"/>
      <c r="F45" s="319" t="s">
        <v>2727</v>
      </c>
      <c r="G45" s="319"/>
      <c r="H45" s="319" t="s">
        <v>2638</v>
      </c>
      <c r="I45" s="319" t="s">
        <v>2728</v>
      </c>
    </row>
    <row r="46" customFormat="false" ht="15" hidden="false" customHeight="true" outlineLevel="0" collapsed="false">
      <c r="A46" s="319" t="s">
        <v>2709</v>
      </c>
      <c r="B46" s="319" t="s">
        <v>776</v>
      </c>
      <c r="C46" s="319" t="s">
        <v>2645</v>
      </c>
      <c r="D46" s="319" t="s">
        <v>2646</v>
      </c>
      <c r="E46" s="319"/>
      <c r="F46" s="319" t="s">
        <v>2729</v>
      </c>
      <c r="G46" s="319"/>
      <c r="H46" s="319" t="s">
        <v>2626</v>
      </c>
      <c r="I46" s="319" t="s">
        <v>2730</v>
      </c>
    </row>
    <row r="47" customFormat="false" ht="42.75" hidden="false" customHeight="true" outlineLevel="0" collapsed="false">
      <c r="A47" s="319" t="s">
        <v>2709</v>
      </c>
      <c r="B47" s="319" t="s">
        <v>776</v>
      </c>
      <c r="C47" s="319" t="s">
        <v>2660</v>
      </c>
      <c r="D47" s="319" t="s">
        <v>2661</v>
      </c>
      <c r="E47" s="319"/>
      <c r="F47" s="319" t="s">
        <v>2731</v>
      </c>
      <c r="G47" s="319"/>
      <c r="H47" s="319" t="s">
        <v>2663</v>
      </c>
      <c r="I47" s="319"/>
    </row>
    <row r="48" customFormat="false" ht="74.25" hidden="false" customHeight="true" outlineLevel="0" collapsed="false">
      <c r="A48" s="319" t="s">
        <v>2732</v>
      </c>
      <c r="B48" s="319" t="s">
        <v>790</v>
      </c>
      <c r="C48" s="319" t="s">
        <v>711</v>
      </c>
      <c r="D48" s="319" t="s">
        <v>2619</v>
      </c>
      <c r="E48" s="319"/>
      <c r="F48" s="319" t="s">
        <v>2733</v>
      </c>
      <c r="G48" s="319" t="s">
        <v>2734</v>
      </c>
      <c r="H48" s="319" t="s">
        <v>2622</v>
      </c>
      <c r="I48" s="319" t="s">
        <v>2735</v>
      </c>
    </row>
    <row r="49" customFormat="false" ht="21.75" hidden="false" customHeight="true" outlineLevel="0" collapsed="false">
      <c r="A49" s="319" t="s">
        <v>2732</v>
      </c>
      <c r="B49" s="319" t="s">
        <v>790</v>
      </c>
      <c r="C49" s="319" t="s">
        <v>711</v>
      </c>
      <c r="D49" s="319" t="s">
        <v>2619</v>
      </c>
      <c r="E49" s="319"/>
      <c r="F49" s="319" t="s">
        <v>2736</v>
      </c>
      <c r="G49" s="319" t="s">
        <v>2737</v>
      </c>
      <c r="H49" s="319" t="s">
        <v>2626</v>
      </c>
      <c r="I49" s="319" t="s">
        <v>2738</v>
      </c>
    </row>
    <row r="50" customFormat="false" ht="42.75" hidden="false" customHeight="true" outlineLevel="0" collapsed="false">
      <c r="A50" s="319" t="s">
        <v>2732</v>
      </c>
      <c r="B50" s="319" t="s">
        <v>790</v>
      </c>
      <c r="C50" s="319" t="s">
        <v>712</v>
      </c>
      <c r="D50" s="319" t="s">
        <v>2643</v>
      </c>
      <c r="E50" s="319"/>
      <c r="F50" s="319" t="s">
        <v>2739</v>
      </c>
      <c r="G50" s="319"/>
      <c r="H50" s="319"/>
      <c r="I50" s="319"/>
    </row>
    <row r="51" customFormat="false" ht="42.75" hidden="false" customHeight="true" outlineLevel="0" collapsed="false">
      <c r="A51" s="319" t="s">
        <v>2732</v>
      </c>
      <c r="B51" s="319" t="s">
        <v>790</v>
      </c>
      <c r="C51" s="319" t="s">
        <v>2635</v>
      </c>
      <c r="D51" s="319" t="s">
        <v>2619</v>
      </c>
      <c r="E51" s="319"/>
      <c r="F51" s="319" t="s">
        <v>2740</v>
      </c>
      <c r="G51" s="319" t="s">
        <v>2741</v>
      </c>
      <c r="H51" s="319" t="s">
        <v>2622</v>
      </c>
      <c r="I51" s="319" t="s">
        <v>2742</v>
      </c>
    </row>
    <row r="52" customFormat="false" ht="32.25" hidden="false" customHeight="true" outlineLevel="0" collapsed="false">
      <c r="A52" s="319" t="s">
        <v>2732</v>
      </c>
      <c r="B52" s="319" t="s">
        <v>790</v>
      </c>
      <c r="C52" s="319" t="s">
        <v>2635</v>
      </c>
      <c r="D52" s="319" t="s">
        <v>2619</v>
      </c>
      <c r="E52" s="319"/>
      <c r="F52" s="319" t="s">
        <v>2743</v>
      </c>
      <c r="G52" s="319" t="s">
        <v>2744</v>
      </c>
      <c r="H52" s="319" t="s">
        <v>2638</v>
      </c>
      <c r="I52" s="319" t="s">
        <v>2745</v>
      </c>
    </row>
    <row r="53" customFormat="false" ht="15" hidden="false" customHeight="true" outlineLevel="0" collapsed="false">
      <c r="A53" s="319" t="s">
        <v>2732</v>
      </c>
      <c r="B53" s="319" t="s">
        <v>790</v>
      </c>
      <c r="C53" s="319" t="s">
        <v>2642</v>
      </c>
      <c r="D53" s="319" t="s">
        <v>2643</v>
      </c>
      <c r="E53" s="319"/>
      <c r="F53" s="319" t="s">
        <v>2699</v>
      </c>
      <c r="G53" s="319"/>
      <c r="H53" s="319"/>
      <c r="I53" s="319"/>
    </row>
    <row r="54" customFormat="false" ht="15" hidden="false" customHeight="true" outlineLevel="0" collapsed="false">
      <c r="A54" s="319" t="s">
        <v>2732</v>
      </c>
      <c r="B54" s="319" t="s">
        <v>790</v>
      </c>
      <c r="C54" s="319" t="s">
        <v>2645</v>
      </c>
      <c r="D54" s="319" t="s">
        <v>2646</v>
      </c>
      <c r="E54" s="319"/>
      <c r="F54" s="319" t="s">
        <v>2746</v>
      </c>
      <c r="G54" s="319"/>
      <c r="H54" s="319" t="s">
        <v>2626</v>
      </c>
      <c r="I54" s="319" t="s">
        <v>2747</v>
      </c>
    </row>
    <row r="55" customFormat="false" ht="53.25" hidden="false" customHeight="true" outlineLevel="0" collapsed="false">
      <c r="A55" s="319" t="s">
        <v>2732</v>
      </c>
      <c r="B55" s="319" t="s">
        <v>790</v>
      </c>
      <c r="C55" s="319" t="s">
        <v>2645</v>
      </c>
      <c r="D55" s="319" t="s">
        <v>2654</v>
      </c>
      <c r="E55" s="319"/>
      <c r="F55" s="319" t="s">
        <v>2748</v>
      </c>
      <c r="G55" s="319"/>
      <c r="H55" s="319" t="s">
        <v>2622</v>
      </c>
      <c r="I55" s="319" t="s">
        <v>2749</v>
      </c>
    </row>
    <row r="56" customFormat="false" ht="15" hidden="false" customHeight="true" outlineLevel="0" collapsed="false">
      <c r="A56" s="319" t="s">
        <v>2732</v>
      </c>
      <c r="B56" s="319" t="s">
        <v>790</v>
      </c>
      <c r="C56" s="319" t="s">
        <v>2645</v>
      </c>
      <c r="D56" s="319" t="s">
        <v>2646</v>
      </c>
      <c r="E56" s="319"/>
      <c r="F56" s="319" t="s">
        <v>2750</v>
      </c>
      <c r="G56" s="319"/>
      <c r="H56" s="319" t="s">
        <v>2626</v>
      </c>
      <c r="I56" s="319" t="s">
        <v>2751</v>
      </c>
    </row>
    <row r="57" customFormat="false" ht="32.25" hidden="false" customHeight="true" outlineLevel="0" collapsed="false">
      <c r="A57" s="319" t="s">
        <v>2732</v>
      </c>
      <c r="B57" s="319" t="s">
        <v>790</v>
      </c>
      <c r="C57" s="319" t="s">
        <v>2660</v>
      </c>
      <c r="D57" s="319" t="s">
        <v>2661</v>
      </c>
      <c r="E57" s="319"/>
      <c r="F57" s="319" t="s">
        <v>2752</v>
      </c>
      <c r="G57" s="319"/>
      <c r="H57" s="319" t="s">
        <v>2663</v>
      </c>
      <c r="I57" s="319"/>
    </row>
    <row r="58" customFormat="false" ht="32.25" hidden="false" customHeight="true" outlineLevel="0" collapsed="false">
      <c r="A58" s="319" t="s">
        <v>2753</v>
      </c>
      <c r="B58" s="319" t="s">
        <v>2754</v>
      </c>
      <c r="C58" s="319" t="s">
        <v>711</v>
      </c>
      <c r="D58" s="319" t="s">
        <v>2619</v>
      </c>
      <c r="E58" s="319"/>
      <c r="F58" s="319" t="s">
        <v>2755</v>
      </c>
      <c r="G58" s="319" t="s">
        <v>2756</v>
      </c>
      <c r="H58" s="319" t="s">
        <v>2638</v>
      </c>
      <c r="I58" s="319" t="s">
        <v>2757</v>
      </c>
    </row>
    <row r="59" customFormat="false" ht="32.25" hidden="false" customHeight="true" outlineLevel="0" collapsed="false">
      <c r="A59" s="319" t="s">
        <v>2753</v>
      </c>
      <c r="B59" s="319" t="s">
        <v>2754</v>
      </c>
      <c r="C59" s="319" t="s">
        <v>711</v>
      </c>
      <c r="D59" s="319" t="s">
        <v>2619</v>
      </c>
      <c r="E59" s="319"/>
      <c r="F59" s="319" t="s">
        <v>2758</v>
      </c>
      <c r="G59" s="319" t="s">
        <v>2759</v>
      </c>
      <c r="H59" s="319" t="s">
        <v>2638</v>
      </c>
      <c r="I59" s="319" t="s">
        <v>2760</v>
      </c>
    </row>
    <row r="60" customFormat="false" ht="32.25" hidden="false" customHeight="true" outlineLevel="0" collapsed="false">
      <c r="A60" s="319" t="s">
        <v>2753</v>
      </c>
      <c r="B60" s="319" t="s">
        <v>2754</v>
      </c>
      <c r="C60" s="319" t="s">
        <v>712</v>
      </c>
      <c r="D60" s="319" t="s">
        <v>2619</v>
      </c>
      <c r="E60" s="319"/>
      <c r="F60" s="319" t="s">
        <v>2761</v>
      </c>
      <c r="G60" s="319" t="s">
        <v>2762</v>
      </c>
      <c r="H60" s="319" t="s">
        <v>2638</v>
      </c>
      <c r="I60" s="319" t="s">
        <v>2763</v>
      </c>
    </row>
    <row r="61" customFormat="false" ht="42.75" hidden="false" customHeight="true" outlineLevel="0" collapsed="false">
      <c r="A61" s="319" t="s">
        <v>2753</v>
      </c>
      <c r="B61" s="319" t="s">
        <v>2754</v>
      </c>
      <c r="C61" s="319" t="s">
        <v>2635</v>
      </c>
      <c r="D61" s="319" t="s">
        <v>2619</v>
      </c>
      <c r="E61" s="319"/>
      <c r="F61" s="319" t="s">
        <v>2764</v>
      </c>
      <c r="G61" s="319" t="s">
        <v>2765</v>
      </c>
      <c r="H61" s="319" t="s">
        <v>2638</v>
      </c>
      <c r="I61" s="319" t="s">
        <v>2766</v>
      </c>
    </row>
    <row r="62" customFormat="false" ht="53.25" hidden="false" customHeight="true" outlineLevel="0" collapsed="false">
      <c r="A62" s="319" t="s">
        <v>2753</v>
      </c>
      <c r="B62" s="319" t="s">
        <v>2754</v>
      </c>
      <c r="C62" s="319" t="s">
        <v>2635</v>
      </c>
      <c r="D62" s="319" t="s">
        <v>2619</v>
      </c>
      <c r="E62" s="319"/>
      <c r="F62" s="319" t="s">
        <v>2767</v>
      </c>
      <c r="G62" s="319" t="s">
        <v>2768</v>
      </c>
      <c r="H62" s="319" t="s">
        <v>2622</v>
      </c>
      <c r="I62" s="319" t="s">
        <v>2769</v>
      </c>
    </row>
    <row r="63" customFormat="false" ht="32.25" hidden="false" customHeight="true" outlineLevel="0" collapsed="false">
      <c r="A63" s="319" t="s">
        <v>2753</v>
      </c>
      <c r="B63" s="319" t="s">
        <v>2754</v>
      </c>
      <c r="C63" s="319" t="s">
        <v>2642</v>
      </c>
      <c r="D63" s="319" t="s">
        <v>2643</v>
      </c>
      <c r="E63" s="319"/>
      <c r="F63" s="319" t="s">
        <v>2770</v>
      </c>
      <c r="G63" s="319"/>
      <c r="H63" s="319"/>
      <c r="I63" s="319"/>
    </row>
    <row r="64" customFormat="false" ht="42.75" hidden="false" customHeight="true" outlineLevel="0" collapsed="false">
      <c r="A64" s="319" t="s">
        <v>2753</v>
      </c>
      <c r="B64" s="319" t="s">
        <v>2754</v>
      </c>
      <c r="C64" s="319" t="s">
        <v>2645</v>
      </c>
      <c r="D64" s="319" t="s">
        <v>2646</v>
      </c>
      <c r="E64" s="319"/>
      <c r="F64" s="319" t="s">
        <v>2771</v>
      </c>
      <c r="G64" s="319"/>
      <c r="H64" s="319" t="s">
        <v>2638</v>
      </c>
      <c r="I64" s="319" t="s">
        <v>2772</v>
      </c>
    </row>
    <row r="65" customFormat="false" ht="32.25" hidden="false" customHeight="true" outlineLevel="0" collapsed="false">
      <c r="A65" s="319" t="s">
        <v>2753</v>
      </c>
      <c r="B65" s="319" t="s">
        <v>2754</v>
      </c>
      <c r="C65" s="319" t="s">
        <v>2645</v>
      </c>
      <c r="D65" s="319" t="s">
        <v>2654</v>
      </c>
      <c r="E65" s="319"/>
      <c r="F65" s="319" t="s">
        <v>2773</v>
      </c>
      <c r="G65" s="319"/>
      <c r="H65" s="319" t="s">
        <v>2638</v>
      </c>
      <c r="I65" s="319" t="s">
        <v>2774</v>
      </c>
    </row>
    <row r="66" customFormat="false" ht="15" hidden="false" customHeight="true" outlineLevel="0" collapsed="false">
      <c r="A66" s="319" t="s">
        <v>2753</v>
      </c>
      <c r="B66" s="319" t="s">
        <v>2754</v>
      </c>
      <c r="C66" s="319" t="s">
        <v>2645</v>
      </c>
      <c r="D66" s="319" t="s">
        <v>2646</v>
      </c>
      <c r="E66" s="319"/>
      <c r="F66" s="319" t="s">
        <v>2775</v>
      </c>
      <c r="G66" s="319"/>
      <c r="H66" s="319" t="s">
        <v>2626</v>
      </c>
      <c r="I66" s="319" t="s">
        <v>2776</v>
      </c>
    </row>
    <row r="67" customFormat="false" ht="42.75" hidden="false" customHeight="true" outlineLevel="0" collapsed="false">
      <c r="A67" s="319" t="s">
        <v>2753</v>
      </c>
      <c r="B67" s="319" t="s">
        <v>2754</v>
      </c>
      <c r="C67" s="319" t="s">
        <v>2660</v>
      </c>
      <c r="D67" s="319" t="s">
        <v>2661</v>
      </c>
      <c r="E67" s="319"/>
      <c r="F67" s="319" t="s">
        <v>2777</v>
      </c>
      <c r="G67" s="319"/>
      <c r="H67" s="319" t="s">
        <v>2778</v>
      </c>
      <c r="I67" s="319"/>
    </row>
    <row r="68" customFormat="false" ht="42.75" hidden="false" customHeight="true" outlineLevel="0" collapsed="false">
      <c r="A68" s="319" t="s">
        <v>2779</v>
      </c>
      <c r="B68" s="319" t="s">
        <v>826</v>
      </c>
      <c r="C68" s="319" t="s">
        <v>711</v>
      </c>
      <c r="D68" s="319" t="s">
        <v>2619</v>
      </c>
      <c r="E68" s="319"/>
      <c r="F68" s="319" t="s">
        <v>2780</v>
      </c>
      <c r="G68" s="319" t="s">
        <v>2781</v>
      </c>
      <c r="H68" s="319" t="s">
        <v>2638</v>
      </c>
      <c r="I68" s="319" t="s">
        <v>2782</v>
      </c>
    </row>
    <row r="69" customFormat="false" ht="42.75" hidden="false" customHeight="true" outlineLevel="0" collapsed="false">
      <c r="A69" s="319" t="s">
        <v>2779</v>
      </c>
      <c r="B69" s="319" t="s">
        <v>826</v>
      </c>
      <c r="C69" s="319" t="s">
        <v>711</v>
      </c>
      <c r="D69" s="319" t="s">
        <v>2619</v>
      </c>
      <c r="E69" s="319"/>
      <c r="F69" s="319" t="s">
        <v>2783</v>
      </c>
      <c r="G69" s="319" t="s">
        <v>2784</v>
      </c>
      <c r="H69" s="319" t="s">
        <v>2622</v>
      </c>
      <c r="I69" s="319" t="s">
        <v>2785</v>
      </c>
    </row>
    <row r="70" customFormat="false" ht="42.75" hidden="false" customHeight="true" outlineLevel="0" collapsed="false">
      <c r="A70" s="319" t="s">
        <v>2779</v>
      </c>
      <c r="B70" s="319" t="s">
        <v>826</v>
      </c>
      <c r="C70" s="319" t="s">
        <v>711</v>
      </c>
      <c r="D70" s="319" t="s">
        <v>2619</v>
      </c>
      <c r="E70" s="319"/>
      <c r="F70" s="319" t="s">
        <v>2786</v>
      </c>
      <c r="G70" s="319" t="s">
        <v>2787</v>
      </c>
      <c r="H70" s="319" t="s">
        <v>2638</v>
      </c>
      <c r="I70" s="319" t="s">
        <v>2788</v>
      </c>
    </row>
    <row r="71" customFormat="false" ht="32.25" hidden="false" customHeight="true" outlineLevel="0" collapsed="false">
      <c r="A71" s="319" t="s">
        <v>2779</v>
      </c>
      <c r="B71" s="319" t="s">
        <v>826</v>
      </c>
      <c r="C71" s="319" t="s">
        <v>712</v>
      </c>
      <c r="D71" s="319" t="s">
        <v>2628</v>
      </c>
      <c r="E71" s="319"/>
      <c r="F71" s="319" t="s">
        <v>2789</v>
      </c>
      <c r="G71" s="319" t="s">
        <v>2790</v>
      </c>
      <c r="H71" s="319" t="s">
        <v>2626</v>
      </c>
      <c r="I71" s="319" t="s">
        <v>2631</v>
      </c>
    </row>
    <row r="72" customFormat="false" ht="42.75" hidden="false" customHeight="true" outlineLevel="0" collapsed="false">
      <c r="A72" s="319" t="s">
        <v>2779</v>
      </c>
      <c r="B72" s="319" t="s">
        <v>826</v>
      </c>
      <c r="C72" s="319" t="s">
        <v>2635</v>
      </c>
      <c r="D72" s="319" t="s">
        <v>2619</v>
      </c>
      <c r="E72" s="319"/>
      <c r="F72" s="319" t="s">
        <v>2791</v>
      </c>
      <c r="G72" s="319" t="s">
        <v>2792</v>
      </c>
      <c r="H72" s="319" t="s">
        <v>2638</v>
      </c>
      <c r="I72" s="319" t="s">
        <v>2793</v>
      </c>
    </row>
    <row r="73" customFormat="false" ht="32.25" hidden="false" customHeight="true" outlineLevel="0" collapsed="false">
      <c r="A73" s="319" t="s">
        <v>2779</v>
      </c>
      <c r="B73" s="319" t="s">
        <v>826</v>
      </c>
      <c r="C73" s="319" t="s">
        <v>2642</v>
      </c>
      <c r="D73" s="319" t="s">
        <v>2643</v>
      </c>
      <c r="E73" s="319"/>
      <c r="F73" s="319" t="s">
        <v>2794</v>
      </c>
      <c r="G73" s="319"/>
      <c r="H73" s="319"/>
      <c r="I73" s="319"/>
    </row>
    <row r="74" customFormat="false" ht="32.25" hidden="false" customHeight="true" outlineLevel="0" collapsed="false">
      <c r="A74" s="319" t="s">
        <v>2779</v>
      </c>
      <c r="B74" s="319" t="s">
        <v>826</v>
      </c>
      <c r="C74" s="319" t="s">
        <v>2645</v>
      </c>
      <c r="D74" s="319" t="s">
        <v>2654</v>
      </c>
      <c r="E74" s="319"/>
      <c r="F74" s="319" t="s">
        <v>2795</v>
      </c>
      <c r="G74" s="319"/>
      <c r="H74" s="319" t="s">
        <v>2638</v>
      </c>
      <c r="I74" s="319" t="s">
        <v>2796</v>
      </c>
    </row>
    <row r="75" customFormat="false" ht="32.25" hidden="false" customHeight="true" outlineLevel="0" collapsed="false">
      <c r="A75" s="319" t="s">
        <v>2779</v>
      </c>
      <c r="B75" s="319" t="s">
        <v>826</v>
      </c>
      <c r="C75" s="319" t="s">
        <v>2645</v>
      </c>
      <c r="D75" s="319" t="s">
        <v>2654</v>
      </c>
      <c r="E75" s="319"/>
      <c r="F75" s="319" t="s">
        <v>2797</v>
      </c>
      <c r="G75" s="319"/>
      <c r="H75" s="319" t="s">
        <v>2638</v>
      </c>
      <c r="I75" s="319" t="s">
        <v>2798</v>
      </c>
    </row>
    <row r="76" customFormat="false" ht="32.25" hidden="false" customHeight="true" outlineLevel="0" collapsed="false">
      <c r="A76" s="319" t="s">
        <v>2779</v>
      </c>
      <c r="B76" s="319" t="s">
        <v>826</v>
      </c>
      <c r="C76" s="319" t="s">
        <v>2645</v>
      </c>
      <c r="D76" s="319" t="s">
        <v>2654</v>
      </c>
      <c r="E76" s="319"/>
      <c r="F76" s="319" t="s">
        <v>2799</v>
      </c>
      <c r="G76" s="319"/>
      <c r="H76" s="319" t="s">
        <v>2638</v>
      </c>
      <c r="I76" s="319" t="s">
        <v>2800</v>
      </c>
    </row>
    <row r="77" customFormat="false" ht="15" hidden="false" customHeight="true" outlineLevel="0" collapsed="false">
      <c r="A77" s="319" t="s">
        <v>2779</v>
      </c>
      <c r="B77" s="319" t="s">
        <v>826</v>
      </c>
      <c r="C77" s="319" t="s">
        <v>2645</v>
      </c>
      <c r="D77" s="319" t="s">
        <v>2646</v>
      </c>
      <c r="E77" s="319"/>
      <c r="F77" s="319" t="s">
        <v>2801</v>
      </c>
      <c r="G77" s="319"/>
      <c r="H77" s="319" t="s">
        <v>2626</v>
      </c>
      <c r="I77" s="319" t="s">
        <v>2802</v>
      </c>
    </row>
    <row r="78" customFormat="false" ht="15" hidden="false" customHeight="true" outlineLevel="0" collapsed="false">
      <c r="A78" s="319" t="s">
        <v>2779</v>
      </c>
      <c r="B78" s="319" t="s">
        <v>826</v>
      </c>
      <c r="C78" s="319" t="s">
        <v>2645</v>
      </c>
      <c r="D78" s="319" t="s">
        <v>2657</v>
      </c>
      <c r="E78" s="319"/>
      <c r="F78" s="319" t="s">
        <v>2803</v>
      </c>
      <c r="G78" s="319"/>
      <c r="H78" s="319" t="s">
        <v>2626</v>
      </c>
      <c r="I78" s="319" t="s">
        <v>2804</v>
      </c>
    </row>
    <row r="79" customFormat="false" ht="32.25" hidden="false" customHeight="true" outlineLevel="0" collapsed="false">
      <c r="A79" s="319" t="s">
        <v>2779</v>
      </c>
      <c r="B79" s="319" t="s">
        <v>826</v>
      </c>
      <c r="C79" s="319" t="s">
        <v>2660</v>
      </c>
      <c r="D79" s="319" t="s">
        <v>2661</v>
      </c>
      <c r="E79" s="319"/>
      <c r="F79" s="319" t="s">
        <v>2805</v>
      </c>
      <c r="G79" s="319"/>
      <c r="H79" s="319" t="s">
        <v>2663</v>
      </c>
      <c r="I79" s="319"/>
    </row>
    <row r="80" customFormat="false" ht="53.25" hidden="false" customHeight="true" outlineLevel="0" collapsed="false">
      <c r="A80" s="319" t="s">
        <v>2806</v>
      </c>
      <c r="B80" s="319" t="s">
        <v>845</v>
      </c>
      <c r="C80" s="319" t="s">
        <v>711</v>
      </c>
      <c r="D80" s="319" t="s">
        <v>2619</v>
      </c>
      <c r="E80" s="319"/>
      <c r="F80" s="319" t="s">
        <v>2807</v>
      </c>
      <c r="G80" s="319" t="s">
        <v>2808</v>
      </c>
      <c r="H80" s="319" t="s">
        <v>2622</v>
      </c>
      <c r="I80" s="319" t="s">
        <v>2809</v>
      </c>
    </row>
    <row r="81" customFormat="false" ht="32.25" hidden="false" customHeight="true" outlineLevel="0" collapsed="false">
      <c r="A81" s="319" t="s">
        <v>2806</v>
      </c>
      <c r="B81" s="319" t="s">
        <v>845</v>
      </c>
      <c r="C81" s="319" t="s">
        <v>711</v>
      </c>
      <c r="D81" s="319" t="s">
        <v>2619</v>
      </c>
      <c r="E81" s="319"/>
      <c r="F81" s="319" t="s">
        <v>2810</v>
      </c>
      <c r="G81" s="319" t="s">
        <v>2811</v>
      </c>
      <c r="H81" s="319" t="s">
        <v>2638</v>
      </c>
      <c r="I81" s="319" t="s">
        <v>2812</v>
      </c>
    </row>
    <row r="82" customFormat="false" ht="42.75" hidden="false" customHeight="true" outlineLevel="0" collapsed="false">
      <c r="A82" s="319" t="s">
        <v>2806</v>
      </c>
      <c r="B82" s="319" t="s">
        <v>845</v>
      </c>
      <c r="C82" s="319" t="s">
        <v>711</v>
      </c>
      <c r="D82" s="319" t="s">
        <v>2619</v>
      </c>
      <c r="E82" s="319"/>
      <c r="F82" s="319" t="s">
        <v>2813</v>
      </c>
      <c r="G82" s="319" t="s">
        <v>2814</v>
      </c>
      <c r="H82" s="319" t="s">
        <v>2622</v>
      </c>
      <c r="I82" s="319" t="s">
        <v>2815</v>
      </c>
    </row>
    <row r="83" customFormat="false" ht="32.25" hidden="false" customHeight="true" outlineLevel="0" collapsed="false">
      <c r="A83" s="319" t="s">
        <v>2806</v>
      </c>
      <c r="B83" s="319" t="s">
        <v>845</v>
      </c>
      <c r="C83" s="319" t="s">
        <v>712</v>
      </c>
      <c r="D83" s="319" t="s">
        <v>2619</v>
      </c>
      <c r="E83" s="319"/>
      <c r="F83" s="319" t="s">
        <v>2816</v>
      </c>
      <c r="G83" s="319" t="s">
        <v>2817</v>
      </c>
      <c r="H83" s="319" t="s">
        <v>2818</v>
      </c>
      <c r="I83" s="319" t="s">
        <v>2819</v>
      </c>
    </row>
    <row r="84" customFormat="false" ht="32.25" hidden="false" customHeight="true" outlineLevel="0" collapsed="false">
      <c r="A84" s="319" t="s">
        <v>2806</v>
      </c>
      <c r="B84" s="319" t="s">
        <v>845</v>
      </c>
      <c r="C84" s="319" t="s">
        <v>2635</v>
      </c>
      <c r="D84" s="319" t="s">
        <v>2619</v>
      </c>
      <c r="E84" s="319"/>
      <c r="F84" s="319" t="s">
        <v>2820</v>
      </c>
      <c r="G84" s="319" t="s">
        <v>2811</v>
      </c>
      <c r="H84" s="319" t="s">
        <v>2638</v>
      </c>
      <c r="I84" s="319" t="s">
        <v>2821</v>
      </c>
    </row>
    <row r="85" customFormat="false" ht="21.75" hidden="false" customHeight="true" outlineLevel="0" collapsed="false">
      <c r="A85" s="319" t="s">
        <v>2806</v>
      </c>
      <c r="B85" s="319" t="s">
        <v>845</v>
      </c>
      <c r="C85" s="319" t="s">
        <v>2642</v>
      </c>
      <c r="D85" s="319" t="s">
        <v>2643</v>
      </c>
      <c r="E85" s="319"/>
      <c r="F85" s="319" t="s">
        <v>2822</v>
      </c>
      <c r="G85" s="319"/>
      <c r="H85" s="319"/>
      <c r="I85" s="319"/>
    </row>
    <row r="86" customFormat="false" ht="21.75" hidden="false" customHeight="true" outlineLevel="0" collapsed="false">
      <c r="A86" s="319" t="s">
        <v>2806</v>
      </c>
      <c r="B86" s="319" t="s">
        <v>845</v>
      </c>
      <c r="C86" s="319" t="s">
        <v>711</v>
      </c>
      <c r="D86" s="319" t="s">
        <v>2823</v>
      </c>
      <c r="E86" s="319"/>
      <c r="F86" s="319" t="s">
        <v>2824</v>
      </c>
      <c r="G86" s="319" t="s">
        <v>2825</v>
      </c>
      <c r="H86" s="319" t="s">
        <v>2826</v>
      </c>
      <c r="I86" s="319" t="s">
        <v>2827</v>
      </c>
    </row>
    <row r="87" customFormat="false" ht="32.25" hidden="false" customHeight="true" outlineLevel="0" collapsed="false">
      <c r="A87" s="319" t="s">
        <v>2806</v>
      </c>
      <c r="B87" s="319" t="s">
        <v>845</v>
      </c>
      <c r="C87" s="319" t="s">
        <v>2660</v>
      </c>
      <c r="D87" s="319" t="s">
        <v>2661</v>
      </c>
      <c r="E87" s="319"/>
      <c r="F87" s="319" t="s">
        <v>2828</v>
      </c>
      <c r="G87" s="319"/>
      <c r="H87" s="319" t="s">
        <v>2663</v>
      </c>
      <c r="I87" s="319"/>
    </row>
    <row r="88" customFormat="false" ht="42.75" hidden="false" customHeight="true" outlineLevel="0" collapsed="false">
      <c r="A88" s="319" t="s">
        <v>2829</v>
      </c>
      <c r="B88" s="319" t="s">
        <v>2830</v>
      </c>
      <c r="C88" s="319" t="s">
        <v>711</v>
      </c>
      <c r="D88" s="319" t="s">
        <v>2619</v>
      </c>
      <c r="E88" s="319"/>
      <c r="F88" s="319" t="s">
        <v>2831</v>
      </c>
      <c r="G88" s="319" t="s">
        <v>2832</v>
      </c>
      <c r="H88" s="319" t="s">
        <v>2638</v>
      </c>
      <c r="I88" s="319" t="s">
        <v>2833</v>
      </c>
    </row>
    <row r="89" customFormat="false" ht="32.25" hidden="false" customHeight="true" outlineLevel="0" collapsed="false">
      <c r="A89" s="319" t="s">
        <v>2829</v>
      </c>
      <c r="B89" s="319" t="s">
        <v>2830</v>
      </c>
      <c r="C89" s="319" t="s">
        <v>711</v>
      </c>
      <c r="D89" s="319" t="s">
        <v>2619</v>
      </c>
      <c r="E89" s="319"/>
      <c r="F89" s="319" t="s">
        <v>2834</v>
      </c>
      <c r="G89" s="319" t="s">
        <v>2835</v>
      </c>
      <c r="H89" s="319" t="s">
        <v>2638</v>
      </c>
      <c r="I89" s="319" t="s">
        <v>2836</v>
      </c>
    </row>
    <row r="90" customFormat="false" ht="32.25" hidden="false" customHeight="true" outlineLevel="0" collapsed="false">
      <c r="A90" s="319" t="s">
        <v>2829</v>
      </c>
      <c r="B90" s="319" t="s">
        <v>2830</v>
      </c>
      <c r="C90" s="319" t="s">
        <v>711</v>
      </c>
      <c r="D90" s="319" t="s">
        <v>2619</v>
      </c>
      <c r="E90" s="319"/>
      <c r="F90" s="319" t="s">
        <v>2837</v>
      </c>
      <c r="G90" s="319" t="s">
        <v>2838</v>
      </c>
      <c r="H90" s="319" t="s">
        <v>2626</v>
      </c>
      <c r="I90" s="319" t="s">
        <v>2839</v>
      </c>
    </row>
    <row r="91" customFormat="false" ht="42.75" hidden="false" customHeight="true" outlineLevel="0" collapsed="false">
      <c r="A91" s="319" t="s">
        <v>2829</v>
      </c>
      <c r="B91" s="319" t="s">
        <v>2830</v>
      </c>
      <c r="C91" s="319" t="s">
        <v>712</v>
      </c>
      <c r="D91" s="319" t="s">
        <v>2619</v>
      </c>
      <c r="E91" s="319"/>
      <c r="F91" s="319" t="s">
        <v>2840</v>
      </c>
      <c r="G91" s="319" t="s">
        <v>2841</v>
      </c>
      <c r="H91" s="319" t="s">
        <v>2818</v>
      </c>
      <c r="I91" s="319" t="s">
        <v>2842</v>
      </c>
    </row>
    <row r="92" customFormat="false" ht="32.25" hidden="false" customHeight="true" outlineLevel="0" collapsed="false">
      <c r="A92" s="319" t="s">
        <v>2829</v>
      </c>
      <c r="B92" s="319" t="s">
        <v>2830</v>
      </c>
      <c r="C92" s="319" t="s">
        <v>2635</v>
      </c>
      <c r="D92" s="319" t="s">
        <v>2619</v>
      </c>
      <c r="E92" s="319"/>
      <c r="F92" s="319" t="s">
        <v>2843</v>
      </c>
      <c r="G92" s="319" t="s">
        <v>2844</v>
      </c>
      <c r="H92" s="319" t="s">
        <v>2638</v>
      </c>
      <c r="I92" s="319" t="s">
        <v>2845</v>
      </c>
    </row>
    <row r="93" customFormat="false" ht="42.75" hidden="false" customHeight="true" outlineLevel="0" collapsed="false">
      <c r="A93" s="319" t="s">
        <v>2829</v>
      </c>
      <c r="B93" s="319" t="s">
        <v>2830</v>
      </c>
      <c r="C93" s="319" t="s">
        <v>2635</v>
      </c>
      <c r="D93" s="319" t="s">
        <v>2619</v>
      </c>
      <c r="E93" s="319"/>
      <c r="F93" s="319" t="s">
        <v>2846</v>
      </c>
      <c r="G93" s="319" t="s">
        <v>2847</v>
      </c>
      <c r="H93" s="319" t="s">
        <v>2622</v>
      </c>
      <c r="I93" s="319" t="s">
        <v>2848</v>
      </c>
    </row>
    <row r="94" customFormat="false" ht="32.25" hidden="false" customHeight="true" outlineLevel="0" collapsed="false">
      <c r="A94" s="319" t="s">
        <v>2829</v>
      </c>
      <c r="B94" s="319" t="s">
        <v>2830</v>
      </c>
      <c r="C94" s="319" t="s">
        <v>2642</v>
      </c>
      <c r="D94" s="319" t="s">
        <v>2643</v>
      </c>
      <c r="E94" s="319"/>
      <c r="F94" s="319" t="s">
        <v>2849</v>
      </c>
      <c r="G94" s="319"/>
      <c r="H94" s="319"/>
      <c r="I94" s="319"/>
    </row>
    <row r="95" customFormat="false" ht="32.25" hidden="false" customHeight="true" outlineLevel="0" collapsed="false">
      <c r="A95" s="319" t="s">
        <v>2829</v>
      </c>
      <c r="B95" s="319" t="s">
        <v>2830</v>
      </c>
      <c r="C95" s="319" t="s">
        <v>2660</v>
      </c>
      <c r="D95" s="319" t="s">
        <v>2661</v>
      </c>
      <c r="E95" s="319"/>
      <c r="F95" s="319" t="s">
        <v>2850</v>
      </c>
      <c r="G95" s="319"/>
      <c r="H95" s="319" t="s">
        <v>2663</v>
      </c>
      <c r="I95" s="319"/>
    </row>
    <row r="96" customFormat="false" ht="32.25" hidden="false" customHeight="true" outlineLevel="0" collapsed="false">
      <c r="A96" s="319" t="s">
        <v>2851</v>
      </c>
      <c r="B96" s="319" t="s">
        <v>882</v>
      </c>
      <c r="C96" s="319" t="s">
        <v>711</v>
      </c>
      <c r="D96" s="319" t="s">
        <v>2619</v>
      </c>
      <c r="E96" s="319"/>
      <c r="F96" s="319" t="s">
        <v>2852</v>
      </c>
      <c r="G96" s="319" t="s">
        <v>2853</v>
      </c>
      <c r="H96" s="319" t="s">
        <v>2638</v>
      </c>
      <c r="I96" s="319" t="s">
        <v>2854</v>
      </c>
    </row>
    <row r="97" customFormat="false" ht="53.25" hidden="false" customHeight="true" outlineLevel="0" collapsed="false">
      <c r="A97" s="319" t="s">
        <v>2851</v>
      </c>
      <c r="B97" s="319" t="s">
        <v>882</v>
      </c>
      <c r="C97" s="319" t="s">
        <v>711</v>
      </c>
      <c r="D97" s="319" t="s">
        <v>2619</v>
      </c>
      <c r="E97" s="319"/>
      <c r="F97" s="319" t="s">
        <v>2855</v>
      </c>
      <c r="G97" s="319" t="s">
        <v>2856</v>
      </c>
      <c r="H97" s="319" t="s">
        <v>2622</v>
      </c>
      <c r="I97" s="319" t="s">
        <v>2857</v>
      </c>
    </row>
    <row r="98" customFormat="false" ht="21.75" hidden="false" customHeight="true" outlineLevel="0" collapsed="false">
      <c r="A98" s="319" t="s">
        <v>2851</v>
      </c>
      <c r="B98" s="319" t="s">
        <v>882</v>
      </c>
      <c r="C98" s="319" t="s">
        <v>711</v>
      </c>
      <c r="D98" s="319" t="s">
        <v>2619</v>
      </c>
      <c r="E98" s="319"/>
      <c r="F98" s="319" t="s">
        <v>2858</v>
      </c>
      <c r="G98" s="319" t="s">
        <v>2859</v>
      </c>
      <c r="H98" s="319" t="s">
        <v>2638</v>
      </c>
      <c r="I98" s="319" t="s">
        <v>2860</v>
      </c>
    </row>
    <row r="99" customFormat="false" ht="21.75" hidden="false" customHeight="true" outlineLevel="0" collapsed="false">
      <c r="A99" s="319" t="s">
        <v>2851</v>
      </c>
      <c r="B99" s="319" t="s">
        <v>882</v>
      </c>
      <c r="C99" s="319" t="s">
        <v>712</v>
      </c>
      <c r="D99" s="319" t="s">
        <v>2643</v>
      </c>
      <c r="E99" s="319"/>
      <c r="F99" s="319" t="s">
        <v>2861</v>
      </c>
      <c r="G99" s="319"/>
      <c r="H99" s="319"/>
      <c r="I99" s="319"/>
    </row>
    <row r="100" customFormat="false" ht="21.75" hidden="false" customHeight="true" outlineLevel="0" collapsed="false">
      <c r="A100" s="319" t="s">
        <v>2851</v>
      </c>
      <c r="B100" s="319" t="s">
        <v>882</v>
      </c>
      <c r="C100" s="319" t="s">
        <v>2635</v>
      </c>
      <c r="D100" s="319" t="s">
        <v>2643</v>
      </c>
      <c r="E100" s="319"/>
      <c r="F100" s="319" t="s">
        <v>2862</v>
      </c>
      <c r="G100" s="319"/>
      <c r="H100" s="319"/>
      <c r="I100" s="319"/>
    </row>
    <row r="101" customFormat="false" ht="15" hidden="false" customHeight="true" outlineLevel="0" collapsed="false">
      <c r="A101" s="319" t="s">
        <v>2851</v>
      </c>
      <c r="B101" s="319" t="s">
        <v>882</v>
      </c>
      <c r="C101" s="319" t="s">
        <v>2642</v>
      </c>
      <c r="D101" s="319" t="s">
        <v>2643</v>
      </c>
      <c r="E101" s="319"/>
      <c r="F101" s="319" t="s">
        <v>2863</v>
      </c>
      <c r="G101" s="319"/>
      <c r="H101" s="319"/>
      <c r="I101" s="319"/>
    </row>
    <row r="102" customFormat="false" ht="32.25" hidden="false" customHeight="true" outlineLevel="0" collapsed="false">
      <c r="A102" s="319" t="s">
        <v>2851</v>
      </c>
      <c r="B102" s="319" t="s">
        <v>882</v>
      </c>
      <c r="C102" s="319" t="s">
        <v>2660</v>
      </c>
      <c r="D102" s="319" t="s">
        <v>2661</v>
      </c>
      <c r="E102" s="319"/>
      <c r="F102" s="319" t="s">
        <v>2864</v>
      </c>
      <c r="G102" s="319"/>
      <c r="H102" s="319" t="s">
        <v>2778</v>
      </c>
      <c r="I102" s="319"/>
    </row>
    <row r="103" customFormat="false" ht="32.25" hidden="false" customHeight="true" outlineLevel="0" collapsed="false">
      <c r="A103" s="319" t="s">
        <v>2865</v>
      </c>
      <c r="B103" s="319" t="s">
        <v>896</v>
      </c>
      <c r="C103" s="319" t="s">
        <v>711</v>
      </c>
      <c r="D103" s="319" t="s">
        <v>2866</v>
      </c>
      <c r="E103" s="319" t="s">
        <v>2867</v>
      </c>
      <c r="F103" s="319"/>
      <c r="G103" s="319" t="s">
        <v>2868</v>
      </c>
      <c r="H103" s="319" t="s">
        <v>2638</v>
      </c>
      <c r="I103" s="319" t="s">
        <v>2869</v>
      </c>
    </row>
    <row r="104" customFormat="false" ht="32.25" hidden="false" customHeight="true" outlineLevel="0" collapsed="false">
      <c r="A104" s="319" t="s">
        <v>2865</v>
      </c>
      <c r="B104" s="319" t="s">
        <v>896</v>
      </c>
      <c r="C104" s="319" t="s">
        <v>711</v>
      </c>
      <c r="D104" s="319" t="s">
        <v>2866</v>
      </c>
      <c r="E104" s="319" t="s">
        <v>2870</v>
      </c>
      <c r="F104" s="319"/>
      <c r="G104" s="319" t="s">
        <v>2871</v>
      </c>
      <c r="H104" s="319" t="s">
        <v>2638</v>
      </c>
      <c r="I104" s="319" t="s">
        <v>2872</v>
      </c>
    </row>
    <row r="105" customFormat="false" ht="21.75" hidden="false" customHeight="true" outlineLevel="0" collapsed="false">
      <c r="A105" s="319" t="s">
        <v>2865</v>
      </c>
      <c r="B105" s="319" t="s">
        <v>896</v>
      </c>
      <c r="C105" s="319" t="s">
        <v>711</v>
      </c>
      <c r="D105" s="319" t="s">
        <v>2619</v>
      </c>
      <c r="E105" s="319"/>
      <c r="F105" s="319" t="s">
        <v>2873</v>
      </c>
      <c r="G105" s="319" t="s">
        <v>2874</v>
      </c>
      <c r="H105" s="319" t="s">
        <v>2638</v>
      </c>
      <c r="I105" s="319" t="s">
        <v>2875</v>
      </c>
    </row>
    <row r="106" customFormat="false" ht="21.75" hidden="false" customHeight="true" outlineLevel="0" collapsed="false">
      <c r="A106" s="319" t="s">
        <v>2865</v>
      </c>
      <c r="B106" s="319" t="s">
        <v>896</v>
      </c>
      <c r="C106" s="319" t="s">
        <v>711</v>
      </c>
      <c r="D106" s="319" t="s">
        <v>2619</v>
      </c>
      <c r="E106" s="319"/>
      <c r="F106" s="319" t="s">
        <v>2876</v>
      </c>
      <c r="G106" s="319" t="s">
        <v>2877</v>
      </c>
      <c r="H106" s="319" t="s">
        <v>2638</v>
      </c>
      <c r="I106" s="319" t="s">
        <v>2878</v>
      </c>
    </row>
    <row r="107" customFormat="false" ht="63.75" hidden="false" customHeight="true" outlineLevel="0" collapsed="false">
      <c r="A107" s="319" t="s">
        <v>2865</v>
      </c>
      <c r="B107" s="319" t="s">
        <v>896</v>
      </c>
      <c r="C107" s="319" t="s">
        <v>711</v>
      </c>
      <c r="D107" s="319" t="s">
        <v>2619</v>
      </c>
      <c r="E107" s="319"/>
      <c r="F107" s="319" t="s">
        <v>2879</v>
      </c>
      <c r="G107" s="319" t="s">
        <v>2880</v>
      </c>
      <c r="H107" s="319" t="s">
        <v>2622</v>
      </c>
      <c r="I107" s="319" t="s">
        <v>2881</v>
      </c>
    </row>
    <row r="108" customFormat="false" ht="21.75" hidden="false" customHeight="true" outlineLevel="0" collapsed="false">
      <c r="A108" s="319" t="s">
        <v>2865</v>
      </c>
      <c r="B108" s="319" t="s">
        <v>896</v>
      </c>
      <c r="C108" s="319" t="s">
        <v>712</v>
      </c>
      <c r="D108" s="319" t="s">
        <v>2866</v>
      </c>
      <c r="E108" s="319" t="s">
        <v>2882</v>
      </c>
      <c r="F108" s="319"/>
      <c r="G108" s="319"/>
      <c r="H108" s="319" t="s">
        <v>2638</v>
      </c>
      <c r="I108" s="319" t="s">
        <v>2883</v>
      </c>
    </row>
    <row r="109" customFormat="false" ht="21.75" hidden="false" customHeight="true" outlineLevel="0" collapsed="false">
      <c r="A109" s="319" t="s">
        <v>2865</v>
      </c>
      <c r="B109" s="319" t="s">
        <v>896</v>
      </c>
      <c r="C109" s="319" t="s">
        <v>712</v>
      </c>
      <c r="D109" s="319" t="s">
        <v>2884</v>
      </c>
      <c r="E109" s="319" t="s">
        <v>2882</v>
      </c>
      <c r="F109" s="319" t="s">
        <v>2885</v>
      </c>
      <c r="G109" s="319"/>
      <c r="H109" s="319"/>
      <c r="I109" s="319"/>
    </row>
    <row r="110" customFormat="false" ht="32.25" hidden="false" customHeight="true" outlineLevel="0" collapsed="false">
      <c r="A110" s="319" t="s">
        <v>2865</v>
      </c>
      <c r="B110" s="319" t="s">
        <v>896</v>
      </c>
      <c r="C110" s="319" t="s">
        <v>2635</v>
      </c>
      <c r="D110" s="319" t="s">
        <v>2866</v>
      </c>
      <c r="E110" s="319" t="s">
        <v>2886</v>
      </c>
      <c r="F110" s="319"/>
      <c r="G110" s="319" t="s">
        <v>2871</v>
      </c>
      <c r="H110" s="319" t="s">
        <v>2638</v>
      </c>
      <c r="I110" s="319" t="s">
        <v>2887</v>
      </c>
    </row>
    <row r="111" customFormat="false" ht="32.25" hidden="false" customHeight="true" outlineLevel="0" collapsed="false">
      <c r="A111" s="319" t="s">
        <v>2865</v>
      </c>
      <c r="B111" s="319" t="s">
        <v>896</v>
      </c>
      <c r="C111" s="319" t="s">
        <v>2635</v>
      </c>
      <c r="D111" s="319" t="s">
        <v>2866</v>
      </c>
      <c r="E111" s="319" t="s">
        <v>2888</v>
      </c>
      <c r="F111" s="319"/>
      <c r="G111" s="319" t="s">
        <v>2871</v>
      </c>
      <c r="H111" s="319" t="s">
        <v>2638</v>
      </c>
      <c r="I111" s="319" t="s">
        <v>2887</v>
      </c>
    </row>
    <row r="112" customFormat="false" ht="32.25" hidden="false" customHeight="true" outlineLevel="0" collapsed="false">
      <c r="A112" s="319" t="s">
        <v>2865</v>
      </c>
      <c r="B112" s="319" t="s">
        <v>896</v>
      </c>
      <c r="C112" s="319" t="s">
        <v>2635</v>
      </c>
      <c r="D112" s="319" t="s">
        <v>2619</v>
      </c>
      <c r="E112" s="319"/>
      <c r="F112" s="319" t="s">
        <v>2889</v>
      </c>
      <c r="G112" s="319" t="s">
        <v>2874</v>
      </c>
      <c r="H112" s="319" t="s">
        <v>2622</v>
      </c>
      <c r="I112" s="319" t="s">
        <v>2890</v>
      </c>
    </row>
    <row r="113" customFormat="false" ht="32.25" hidden="false" customHeight="true" outlineLevel="0" collapsed="false">
      <c r="A113" s="319" t="s">
        <v>2865</v>
      </c>
      <c r="B113" s="319" t="s">
        <v>896</v>
      </c>
      <c r="C113" s="319" t="s">
        <v>2635</v>
      </c>
      <c r="D113" s="319" t="s">
        <v>2619</v>
      </c>
      <c r="E113" s="319"/>
      <c r="F113" s="319" t="s">
        <v>2891</v>
      </c>
      <c r="G113" s="319" t="s">
        <v>2874</v>
      </c>
      <c r="H113" s="319" t="s">
        <v>2818</v>
      </c>
      <c r="I113" s="319" t="s">
        <v>2892</v>
      </c>
    </row>
    <row r="114" customFormat="false" ht="21.75" hidden="false" customHeight="true" outlineLevel="0" collapsed="false">
      <c r="A114" s="319" t="s">
        <v>2865</v>
      </c>
      <c r="B114" s="319" t="s">
        <v>896</v>
      </c>
      <c r="C114" s="319" t="s">
        <v>2642</v>
      </c>
      <c r="D114" s="319" t="s">
        <v>2866</v>
      </c>
      <c r="E114" s="319" t="s">
        <v>2882</v>
      </c>
      <c r="F114" s="319"/>
      <c r="G114" s="319"/>
      <c r="H114" s="319" t="s">
        <v>2638</v>
      </c>
      <c r="I114" s="319" t="s">
        <v>2893</v>
      </c>
    </row>
    <row r="115" customFormat="false" ht="21.75" hidden="false" customHeight="true" outlineLevel="0" collapsed="false">
      <c r="A115" s="319" t="s">
        <v>2865</v>
      </c>
      <c r="B115" s="319" t="s">
        <v>896</v>
      </c>
      <c r="C115" s="319" t="s">
        <v>2642</v>
      </c>
      <c r="D115" s="319" t="s">
        <v>2884</v>
      </c>
      <c r="E115" s="319" t="s">
        <v>2882</v>
      </c>
      <c r="F115" s="319" t="s">
        <v>2894</v>
      </c>
      <c r="G115" s="319"/>
      <c r="H115" s="319"/>
      <c r="I115" s="319"/>
    </row>
    <row r="116" customFormat="false" ht="21.75" hidden="false" customHeight="true" outlineLevel="0" collapsed="false">
      <c r="A116" s="319" t="s">
        <v>2865</v>
      </c>
      <c r="B116" s="319" t="s">
        <v>896</v>
      </c>
      <c r="C116" s="319" t="s">
        <v>2635</v>
      </c>
      <c r="D116" s="319" t="s">
        <v>2823</v>
      </c>
      <c r="E116" s="319"/>
      <c r="F116" s="319" t="s">
        <v>2895</v>
      </c>
      <c r="G116" s="319" t="s">
        <v>2896</v>
      </c>
      <c r="H116" s="319" t="s">
        <v>2826</v>
      </c>
      <c r="I116" s="319" t="s">
        <v>2897</v>
      </c>
    </row>
    <row r="117" customFormat="false" ht="42.75" hidden="false" customHeight="true" outlineLevel="0" collapsed="false">
      <c r="A117" s="319" t="s">
        <v>2865</v>
      </c>
      <c r="B117" s="319" t="s">
        <v>896</v>
      </c>
      <c r="C117" s="319" t="s">
        <v>2660</v>
      </c>
      <c r="D117" s="319" t="s">
        <v>2661</v>
      </c>
      <c r="E117" s="319"/>
      <c r="F117" s="319" t="s">
        <v>2898</v>
      </c>
      <c r="G117" s="319"/>
      <c r="H117" s="319" t="s">
        <v>2778</v>
      </c>
      <c r="I117" s="319"/>
    </row>
    <row r="118" customFormat="false" ht="32.25" hidden="false" customHeight="true" outlineLevel="0" collapsed="false">
      <c r="A118" s="319" t="s">
        <v>2899</v>
      </c>
      <c r="B118" s="319" t="s">
        <v>909</v>
      </c>
      <c r="C118" s="319" t="s">
        <v>711</v>
      </c>
      <c r="D118" s="319" t="s">
        <v>2866</v>
      </c>
      <c r="E118" s="319" t="s">
        <v>2900</v>
      </c>
      <c r="F118" s="319"/>
      <c r="G118" s="319" t="s">
        <v>2901</v>
      </c>
      <c r="H118" s="319" t="s">
        <v>2638</v>
      </c>
      <c r="I118" s="319" t="s">
        <v>2902</v>
      </c>
    </row>
    <row r="119" customFormat="false" ht="32.25" hidden="false" customHeight="true" outlineLevel="0" collapsed="false">
      <c r="A119" s="319" t="s">
        <v>2899</v>
      </c>
      <c r="B119" s="319" t="s">
        <v>909</v>
      </c>
      <c r="C119" s="319" t="s">
        <v>711</v>
      </c>
      <c r="D119" s="319" t="s">
        <v>2619</v>
      </c>
      <c r="E119" s="319"/>
      <c r="F119" s="319" t="s">
        <v>2903</v>
      </c>
      <c r="G119" s="319" t="s">
        <v>2904</v>
      </c>
      <c r="H119" s="319" t="s">
        <v>2638</v>
      </c>
      <c r="I119" s="319" t="s">
        <v>2905</v>
      </c>
    </row>
    <row r="120" customFormat="false" ht="21.75" hidden="false" customHeight="true" outlineLevel="0" collapsed="false">
      <c r="A120" s="319" t="s">
        <v>2899</v>
      </c>
      <c r="B120" s="319" t="s">
        <v>909</v>
      </c>
      <c r="C120" s="319" t="s">
        <v>711</v>
      </c>
      <c r="D120" s="319" t="s">
        <v>2619</v>
      </c>
      <c r="E120" s="319"/>
      <c r="F120" s="319" t="s">
        <v>2906</v>
      </c>
      <c r="G120" s="319" t="s">
        <v>2907</v>
      </c>
      <c r="H120" s="319" t="s">
        <v>2638</v>
      </c>
      <c r="I120" s="319" t="s">
        <v>2908</v>
      </c>
    </row>
    <row r="121" customFormat="false" ht="32.25" hidden="false" customHeight="true" outlineLevel="0" collapsed="false">
      <c r="A121" s="319" t="s">
        <v>2899</v>
      </c>
      <c r="B121" s="319" t="s">
        <v>909</v>
      </c>
      <c r="C121" s="319" t="s">
        <v>712</v>
      </c>
      <c r="D121" s="319" t="s">
        <v>2643</v>
      </c>
      <c r="E121" s="319"/>
      <c r="F121" s="319" t="s">
        <v>2909</v>
      </c>
      <c r="G121" s="319"/>
      <c r="H121" s="319"/>
      <c r="I121" s="319"/>
    </row>
    <row r="122" customFormat="false" ht="32.25" hidden="false" customHeight="true" outlineLevel="0" collapsed="false">
      <c r="A122" s="319" t="s">
        <v>2899</v>
      </c>
      <c r="B122" s="319" t="s">
        <v>909</v>
      </c>
      <c r="C122" s="319" t="s">
        <v>2635</v>
      </c>
      <c r="D122" s="319" t="s">
        <v>2866</v>
      </c>
      <c r="E122" s="319" t="s">
        <v>2910</v>
      </c>
      <c r="F122" s="319"/>
      <c r="G122" s="319" t="s">
        <v>2911</v>
      </c>
      <c r="H122" s="319" t="s">
        <v>2638</v>
      </c>
      <c r="I122" s="319" t="s">
        <v>2912</v>
      </c>
    </row>
    <row r="123" customFormat="false" ht="42.75" hidden="false" customHeight="true" outlineLevel="0" collapsed="false">
      <c r="A123" s="319" t="s">
        <v>2899</v>
      </c>
      <c r="B123" s="319" t="s">
        <v>909</v>
      </c>
      <c r="C123" s="319" t="s">
        <v>2635</v>
      </c>
      <c r="D123" s="319" t="s">
        <v>2619</v>
      </c>
      <c r="E123" s="319"/>
      <c r="F123" s="319" t="s">
        <v>2913</v>
      </c>
      <c r="G123" s="319" t="s">
        <v>2914</v>
      </c>
      <c r="H123" s="319" t="s">
        <v>2622</v>
      </c>
      <c r="I123" s="319" t="s">
        <v>2915</v>
      </c>
    </row>
    <row r="124" customFormat="false" ht="32.25" hidden="false" customHeight="true" outlineLevel="0" collapsed="false">
      <c r="A124" s="319" t="s">
        <v>2899</v>
      </c>
      <c r="B124" s="319" t="s">
        <v>909</v>
      </c>
      <c r="C124" s="319" t="s">
        <v>2642</v>
      </c>
      <c r="D124" s="319" t="s">
        <v>2916</v>
      </c>
      <c r="E124" s="319" t="s">
        <v>2917</v>
      </c>
      <c r="F124" s="319" t="s">
        <v>2918</v>
      </c>
      <c r="G124" s="319" t="s">
        <v>2919</v>
      </c>
      <c r="H124" s="319" t="s">
        <v>2638</v>
      </c>
      <c r="I124" s="319" t="s">
        <v>2920</v>
      </c>
    </row>
    <row r="125" customFormat="false" ht="32.25" hidden="false" customHeight="true" outlineLevel="0" collapsed="false">
      <c r="A125" s="319" t="s">
        <v>2899</v>
      </c>
      <c r="B125" s="319" t="s">
        <v>909</v>
      </c>
      <c r="C125" s="319" t="s">
        <v>2660</v>
      </c>
      <c r="D125" s="319" t="s">
        <v>2661</v>
      </c>
      <c r="E125" s="319"/>
      <c r="F125" s="319" t="s">
        <v>2921</v>
      </c>
      <c r="G125" s="319"/>
      <c r="H125" s="319" t="s">
        <v>2663</v>
      </c>
      <c r="I125" s="319"/>
    </row>
    <row r="126" customFormat="false" ht="32.25" hidden="false" customHeight="true" outlineLevel="0" collapsed="false">
      <c r="A126" s="319" t="s">
        <v>2922</v>
      </c>
      <c r="B126" s="319" t="s">
        <v>922</v>
      </c>
      <c r="C126" s="319" t="s">
        <v>711</v>
      </c>
      <c r="D126" s="319" t="s">
        <v>2916</v>
      </c>
      <c r="E126" s="319" t="s">
        <v>2923</v>
      </c>
      <c r="F126" s="319" t="s">
        <v>2924</v>
      </c>
      <c r="G126" s="319" t="s">
        <v>2925</v>
      </c>
      <c r="H126" s="319" t="s">
        <v>2638</v>
      </c>
      <c r="I126" s="319" t="s">
        <v>2926</v>
      </c>
    </row>
    <row r="127" customFormat="false" ht="42.75" hidden="false" customHeight="true" outlineLevel="0" collapsed="false">
      <c r="A127" s="319" t="s">
        <v>2922</v>
      </c>
      <c r="B127" s="319" t="s">
        <v>922</v>
      </c>
      <c r="C127" s="319" t="s">
        <v>711</v>
      </c>
      <c r="D127" s="319" t="s">
        <v>2619</v>
      </c>
      <c r="E127" s="319"/>
      <c r="F127" s="319" t="s">
        <v>2927</v>
      </c>
      <c r="G127" s="319" t="s">
        <v>2928</v>
      </c>
      <c r="H127" s="319" t="s">
        <v>2626</v>
      </c>
      <c r="I127" s="319" t="s">
        <v>2929</v>
      </c>
    </row>
    <row r="128" customFormat="false" ht="15" hidden="false" customHeight="true" outlineLevel="0" collapsed="false">
      <c r="A128" s="319" t="s">
        <v>2922</v>
      </c>
      <c r="B128" s="319" t="s">
        <v>922</v>
      </c>
      <c r="C128" s="319" t="s">
        <v>712</v>
      </c>
      <c r="D128" s="319" t="s">
        <v>2866</v>
      </c>
      <c r="E128" s="319" t="s">
        <v>2930</v>
      </c>
      <c r="F128" s="319"/>
      <c r="G128" s="319" t="s">
        <v>2925</v>
      </c>
      <c r="H128" s="319" t="s">
        <v>2638</v>
      </c>
      <c r="I128" s="319" t="s">
        <v>2931</v>
      </c>
    </row>
    <row r="129" customFormat="false" ht="32.25" hidden="false" customHeight="true" outlineLevel="0" collapsed="false">
      <c r="A129" s="319" t="s">
        <v>2922</v>
      </c>
      <c r="B129" s="319" t="s">
        <v>922</v>
      </c>
      <c r="C129" s="319" t="s">
        <v>712</v>
      </c>
      <c r="D129" s="319" t="s">
        <v>2619</v>
      </c>
      <c r="E129" s="319"/>
      <c r="F129" s="319" t="s">
        <v>2932</v>
      </c>
      <c r="G129" s="319" t="s">
        <v>2925</v>
      </c>
      <c r="H129" s="319" t="s">
        <v>2638</v>
      </c>
      <c r="I129" s="319" t="s">
        <v>2933</v>
      </c>
    </row>
    <row r="130" customFormat="false" ht="21.75" hidden="false" customHeight="true" outlineLevel="0" collapsed="false">
      <c r="A130" s="319" t="s">
        <v>2922</v>
      </c>
      <c r="B130" s="319" t="s">
        <v>922</v>
      </c>
      <c r="C130" s="319" t="s">
        <v>2635</v>
      </c>
      <c r="D130" s="319" t="s">
        <v>2866</v>
      </c>
      <c r="E130" s="319" t="s">
        <v>2934</v>
      </c>
      <c r="F130" s="319"/>
      <c r="G130" s="319"/>
      <c r="H130" s="319" t="s">
        <v>2638</v>
      </c>
      <c r="I130" s="319" t="s">
        <v>2935</v>
      </c>
    </row>
    <row r="131" customFormat="false" ht="42.75" hidden="false" customHeight="true" outlineLevel="0" collapsed="false">
      <c r="A131" s="319" t="s">
        <v>2922</v>
      </c>
      <c r="B131" s="319" t="s">
        <v>922</v>
      </c>
      <c r="C131" s="319" t="s">
        <v>2635</v>
      </c>
      <c r="D131" s="319" t="s">
        <v>2916</v>
      </c>
      <c r="E131" s="319" t="s">
        <v>2936</v>
      </c>
      <c r="F131" s="319" t="s">
        <v>2937</v>
      </c>
      <c r="G131" s="319" t="s">
        <v>2938</v>
      </c>
      <c r="H131" s="319" t="s">
        <v>2626</v>
      </c>
      <c r="I131" s="319" t="s">
        <v>2939</v>
      </c>
    </row>
    <row r="132" customFormat="false" ht="32.25" hidden="false" customHeight="true" outlineLevel="0" collapsed="false">
      <c r="A132" s="319" t="s">
        <v>2922</v>
      </c>
      <c r="B132" s="319" t="s">
        <v>922</v>
      </c>
      <c r="C132" s="319" t="s">
        <v>2635</v>
      </c>
      <c r="D132" s="319" t="s">
        <v>2940</v>
      </c>
      <c r="E132" s="319" t="s">
        <v>2941</v>
      </c>
      <c r="F132" s="319" t="s">
        <v>2942</v>
      </c>
      <c r="G132" s="319" t="s">
        <v>2943</v>
      </c>
      <c r="H132" s="319" t="s">
        <v>2638</v>
      </c>
      <c r="I132" s="319" t="s">
        <v>2944</v>
      </c>
    </row>
    <row r="133" customFormat="false" ht="32.25" hidden="false" customHeight="true" outlineLevel="0" collapsed="false">
      <c r="A133" s="319" t="s">
        <v>2922</v>
      </c>
      <c r="B133" s="319" t="s">
        <v>922</v>
      </c>
      <c r="C133" s="319" t="s">
        <v>2635</v>
      </c>
      <c r="D133" s="319" t="s">
        <v>2619</v>
      </c>
      <c r="E133" s="319"/>
      <c r="F133" s="319" t="s">
        <v>2945</v>
      </c>
      <c r="G133" s="319" t="s">
        <v>2925</v>
      </c>
      <c r="H133" s="319" t="s">
        <v>2638</v>
      </c>
      <c r="I133" s="319" t="s">
        <v>2946</v>
      </c>
    </row>
    <row r="134" customFormat="false" ht="42.75" hidden="false" customHeight="true" outlineLevel="0" collapsed="false">
      <c r="A134" s="319" t="s">
        <v>2922</v>
      </c>
      <c r="B134" s="319" t="s">
        <v>922</v>
      </c>
      <c r="C134" s="319" t="s">
        <v>2635</v>
      </c>
      <c r="D134" s="319" t="s">
        <v>2619</v>
      </c>
      <c r="E134" s="319"/>
      <c r="F134" s="319" t="s">
        <v>2947</v>
      </c>
      <c r="G134" s="319" t="s">
        <v>2948</v>
      </c>
      <c r="H134" s="319" t="s">
        <v>2622</v>
      </c>
      <c r="I134" s="319" t="s">
        <v>2949</v>
      </c>
    </row>
    <row r="135" customFormat="false" ht="21.75" hidden="false" customHeight="true" outlineLevel="0" collapsed="false">
      <c r="A135" s="319" t="s">
        <v>2922</v>
      </c>
      <c r="B135" s="319" t="s">
        <v>922</v>
      </c>
      <c r="C135" s="319" t="s">
        <v>2642</v>
      </c>
      <c r="D135" s="319" t="s">
        <v>2916</v>
      </c>
      <c r="E135" s="319" t="s">
        <v>2950</v>
      </c>
      <c r="F135" s="319" t="s">
        <v>2951</v>
      </c>
      <c r="G135" s="319" t="s">
        <v>2925</v>
      </c>
      <c r="H135" s="319" t="s">
        <v>2638</v>
      </c>
      <c r="I135" s="319" t="s">
        <v>2952</v>
      </c>
    </row>
    <row r="136" customFormat="false" ht="21.75" hidden="false" customHeight="true" outlineLevel="0" collapsed="false">
      <c r="A136" s="319" t="s">
        <v>2922</v>
      </c>
      <c r="B136" s="319" t="s">
        <v>922</v>
      </c>
      <c r="C136" s="319" t="s">
        <v>2642</v>
      </c>
      <c r="D136" s="319" t="s">
        <v>2953</v>
      </c>
      <c r="E136" s="319" t="s">
        <v>2954</v>
      </c>
      <c r="F136" s="319" t="s">
        <v>2955</v>
      </c>
      <c r="G136" s="319" t="s">
        <v>2943</v>
      </c>
      <c r="H136" s="319" t="s">
        <v>2638</v>
      </c>
      <c r="I136" s="319" t="s">
        <v>2956</v>
      </c>
    </row>
    <row r="137" customFormat="false" ht="32.25" hidden="false" customHeight="true" outlineLevel="0" collapsed="false">
      <c r="A137" s="319" t="s">
        <v>2922</v>
      </c>
      <c r="B137" s="319" t="s">
        <v>922</v>
      </c>
      <c r="C137" s="319" t="s">
        <v>2660</v>
      </c>
      <c r="D137" s="319" t="s">
        <v>2661</v>
      </c>
      <c r="E137" s="319"/>
      <c r="F137" s="319" t="s">
        <v>2957</v>
      </c>
      <c r="G137" s="319"/>
      <c r="H137" s="319" t="s">
        <v>2663</v>
      </c>
      <c r="I137" s="319"/>
    </row>
    <row r="138" customFormat="false" ht="32.25" hidden="false" customHeight="true" outlineLevel="0" collapsed="false">
      <c r="A138" s="319" t="s">
        <v>2958</v>
      </c>
      <c r="B138" s="319" t="s">
        <v>938</v>
      </c>
      <c r="C138" s="319" t="s">
        <v>711</v>
      </c>
      <c r="D138" s="319" t="s">
        <v>2916</v>
      </c>
      <c r="E138" s="319" t="s">
        <v>2959</v>
      </c>
      <c r="F138" s="319" t="s">
        <v>2960</v>
      </c>
      <c r="G138" s="319"/>
      <c r="H138" s="319" t="s">
        <v>2638</v>
      </c>
      <c r="I138" s="319" t="s">
        <v>2961</v>
      </c>
    </row>
    <row r="139" customFormat="false" ht="21.75" hidden="false" customHeight="true" outlineLevel="0" collapsed="false">
      <c r="A139" s="319" t="s">
        <v>2958</v>
      </c>
      <c r="B139" s="319" t="s">
        <v>938</v>
      </c>
      <c r="C139" s="319" t="s">
        <v>711</v>
      </c>
      <c r="D139" s="319" t="s">
        <v>2962</v>
      </c>
      <c r="E139" s="319" t="s">
        <v>2963</v>
      </c>
      <c r="F139" s="319"/>
      <c r="G139" s="319"/>
      <c r="H139" s="319"/>
      <c r="I139" s="319"/>
    </row>
    <row r="140" customFormat="false" ht="32.25" hidden="false" customHeight="true" outlineLevel="0" collapsed="false">
      <c r="A140" s="319" t="s">
        <v>2958</v>
      </c>
      <c r="B140" s="319" t="s">
        <v>938</v>
      </c>
      <c r="C140" s="319" t="s">
        <v>712</v>
      </c>
      <c r="D140" s="319" t="s">
        <v>2940</v>
      </c>
      <c r="E140" s="319" t="s">
        <v>2964</v>
      </c>
      <c r="F140" s="319" t="s">
        <v>2965</v>
      </c>
      <c r="G140" s="319" t="s">
        <v>2966</v>
      </c>
      <c r="H140" s="319" t="s">
        <v>2638</v>
      </c>
      <c r="I140" s="319" t="s">
        <v>2967</v>
      </c>
    </row>
    <row r="141" customFormat="false" ht="42.75" hidden="false" customHeight="true" outlineLevel="0" collapsed="false">
      <c r="A141" s="319" t="s">
        <v>2958</v>
      </c>
      <c r="B141" s="319" t="s">
        <v>938</v>
      </c>
      <c r="C141" s="319" t="s">
        <v>712</v>
      </c>
      <c r="D141" s="319" t="s">
        <v>2619</v>
      </c>
      <c r="E141" s="319"/>
      <c r="F141" s="319" t="s">
        <v>2968</v>
      </c>
      <c r="G141" s="319" t="s">
        <v>2969</v>
      </c>
      <c r="H141" s="319" t="s">
        <v>2638</v>
      </c>
      <c r="I141" s="319" t="s">
        <v>2970</v>
      </c>
    </row>
    <row r="142" customFormat="false" ht="32.25" hidden="false" customHeight="true" outlineLevel="0" collapsed="false">
      <c r="A142" s="319" t="s">
        <v>2958</v>
      </c>
      <c r="B142" s="319" t="s">
        <v>938</v>
      </c>
      <c r="C142" s="319" t="s">
        <v>712</v>
      </c>
      <c r="D142" s="319" t="s">
        <v>2619</v>
      </c>
      <c r="E142" s="319"/>
      <c r="F142" s="319" t="s">
        <v>2971</v>
      </c>
      <c r="G142" s="319" t="s">
        <v>2972</v>
      </c>
      <c r="H142" s="319" t="s">
        <v>2622</v>
      </c>
      <c r="I142" s="319" t="s">
        <v>2973</v>
      </c>
    </row>
    <row r="143" customFormat="false" ht="32.25" hidden="false" customHeight="true" outlineLevel="0" collapsed="false">
      <c r="A143" s="319" t="s">
        <v>2958</v>
      </c>
      <c r="B143" s="319" t="s">
        <v>938</v>
      </c>
      <c r="C143" s="319" t="s">
        <v>2635</v>
      </c>
      <c r="D143" s="319" t="s">
        <v>2866</v>
      </c>
      <c r="E143" s="319" t="s">
        <v>2974</v>
      </c>
      <c r="F143" s="319"/>
      <c r="G143" s="319" t="s">
        <v>2975</v>
      </c>
      <c r="H143" s="319" t="s">
        <v>2638</v>
      </c>
      <c r="I143" s="319" t="s">
        <v>2976</v>
      </c>
    </row>
    <row r="144" customFormat="false" ht="84.75" hidden="false" customHeight="true" outlineLevel="0" collapsed="false">
      <c r="A144" s="319" t="s">
        <v>2958</v>
      </c>
      <c r="B144" s="319" t="s">
        <v>938</v>
      </c>
      <c r="C144" s="319" t="s">
        <v>2635</v>
      </c>
      <c r="D144" s="319" t="s">
        <v>2619</v>
      </c>
      <c r="E144" s="319"/>
      <c r="F144" s="319" t="s">
        <v>2977</v>
      </c>
      <c r="G144" s="319" t="s">
        <v>2978</v>
      </c>
      <c r="H144" s="319" t="s">
        <v>2622</v>
      </c>
      <c r="I144" s="319" t="s">
        <v>2979</v>
      </c>
    </row>
    <row r="145" customFormat="false" ht="42.75" hidden="false" customHeight="true" outlineLevel="0" collapsed="false">
      <c r="A145" s="319" t="s">
        <v>2958</v>
      </c>
      <c r="B145" s="319" t="s">
        <v>938</v>
      </c>
      <c r="C145" s="319" t="s">
        <v>2635</v>
      </c>
      <c r="D145" s="319" t="s">
        <v>2619</v>
      </c>
      <c r="E145" s="319"/>
      <c r="F145" s="319" t="s">
        <v>2980</v>
      </c>
      <c r="G145" s="319" t="s">
        <v>2981</v>
      </c>
      <c r="H145" s="319" t="s">
        <v>2638</v>
      </c>
      <c r="I145" s="319" t="s">
        <v>2982</v>
      </c>
    </row>
    <row r="146" customFormat="false" ht="21.75" hidden="false" customHeight="true" outlineLevel="0" collapsed="false">
      <c r="A146" s="319" t="s">
        <v>2958</v>
      </c>
      <c r="B146" s="319" t="s">
        <v>938</v>
      </c>
      <c r="C146" s="319" t="s">
        <v>2635</v>
      </c>
      <c r="D146" s="319" t="s">
        <v>2619</v>
      </c>
      <c r="E146" s="319"/>
      <c r="F146" s="319" t="s">
        <v>2983</v>
      </c>
      <c r="G146" s="319" t="s">
        <v>2966</v>
      </c>
      <c r="H146" s="319" t="s">
        <v>2638</v>
      </c>
      <c r="I146" s="319" t="s">
        <v>2931</v>
      </c>
    </row>
    <row r="147" customFormat="false" ht="21.75" hidden="false" customHeight="true" outlineLevel="0" collapsed="false">
      <c r="A147" s="319" t="s">
        <v>2958</v>
      </c>
      <c r="B147" s="319" t="s">
        <v>938</v>
      </c>
      <c r="C147" s="319" t="s">
        <v>2642</v>
      </c>
      <c r="D147" s="319" t="s">
        <v>2866</v>
      </c>
      <c r="E147" s="319" t="s">
        <v>947</v>
      </c>
      <c r="F147" s="319"/>
      <c r="G147" s="319"/>
      <c r="H147" s="319" t="s">
        <v>2638</v>
      </c>
      <c r="I147" s="319" t="s">
        <v>2893</v>
      </c>
    </row>
    <row r="148" customFormat="false" ht="32.25" hidden="false" customHeight="true" outlineLevel="0" collapsed="false">
      <c r="A148" s="319" t="s">
        <v>2958</v>
      </c>
      <c r="B148" s="319" t="s">
        <v>938</v>
      </c>
      <c r="C148" s="319" t="s">
        <v>2660</v>
      </c>
      <c r="D148" s="319" t="s">
        <v>2661</v>
      </c>
      <c r="E148" s="319"/>
      <c r="F148" s="319" t="s">
        <v>2984</v>
      </c>
      <c r="G148" s="319"/>
      <c r="H148" s="319" t="s">
        <v>2663</v>
      </c>
      <c r="I148" s="319"/>
    </row>
    <row r="149" customFormat="false" ht="42.75" hidden="false" customHeight="true" outlineLevel="0" collapsed="false">
      <c r="A149" s="319" t="s">
        <v>2985</v>
      </c>
      <c r="B149" s="319" t="s">
        <v>130</v>
      </c>
      <c r="C149" s="319" t="s">
        <v>711</v>
      </c>
      <c r="D149" s="319" t="s">
        <v>2866</v>
      </c>
      <c r="E149" s="319" t="s">
        <v>2986</v>
      </c>
      <c r="F149" s="319"/>
      <c r="G149" s="319"/>
      <c r="H149" s="319" t="s">
        <v>2622</v>
      </c>
      <c r="I149" s="319" t="s">
        <v>2987</v>
      </c>
    </row>
    <row r="150" customFormat="false" ht="21.75" hidden="false" customHeight="true" outlineLevel="0" collapsed="false">
      <c r="A150" s="319" t="s">
        <v>2985</v>
      </c>
      <c r="B150" s="319" t="s">
        <v>130</v>
      </c>
      <c r="C150" s="319" t="s">
        <v>711</v>
      </c>
      <c r="D150" s="319" t="s">
        <v>2962</v>
      </c>
      <c r="E150" s="319" t="s">
        <v>2988</v>
      </c>
      <c r="F150" s="319"/>
      <c r="G150" s="319"/>
      <c r="H150" s="319"/>
      <c r="I150" s="319"/>
    </row>
    <row r="151" customFormat="false" ht="53.25" hidden="false" customHeight="true" outlineLevel="0" collapsed="false">
      <c r="A151" s="319" t="s">
        <v>2985</v>
      </c>
      <c r="B151" s="319" t="s">
        <v>130</v>
      </c>
      <c r="C151" s="319" t="s">
        <v>711</v>
      </c>
      <c r="D151" s="319" t="s">
        <v>2866</v>
      </c>
      <c r="E151" s="319" t="s">
        <v>2989</v>
      </c>
      <c r="F151" s="319"/>
      <c r="G151" s="319" t="s">
        <v>2990</v>
      </c>
      <c r="H151" s="319" t="s">
        <v>2638</v>
      </c>
      <c r="I151" s="319" t="s">
        <v>2991</v>
      </c>
    </row>
    <row r="152" customFormat="false" ht="32.25" hidden="false" customHeight="true" outlineLevel="0" collapsed="false">
      <c r="A152" s="319" t="s">
        <v>2985</v>
      </c>
      <c r="B152" s="319" t="s">
        <v>130</v>
      </c>
      <c r="C152" s="319" t="s">
        <v>711</v>
      </c>
      <c r="D152" s="319" t="s">
        <v>2619</v>
      </c>
      <c r="E152" s="319"/>
      <c r="F152" s="319" t="s">
        <v>2992</v>
      </c>
      <c r="G152" s="319" t="s">
        <v>2993</v>
      </c>
      <c r="H152" s="319" t="s">
        <v>2638</v>
      </c>
      <c r="I152" s="319" t="s">
        <v>2994</v>
      </c>
    </row>
    <row r="153" customFormat="false" ht="42.75" hidden="false" customHeight="true" outlineLevel="0" collapsed="false">
      <c r="A153" s="319" t="s">
        <v>2985</v>
      </c>
      <c r="B153" s="319" t="s">
        <v>130</v>
      </c>
      <c r="C153" s="319" t="s">
        <v>711</v>
      </c>
      <c r="D153" s="319" t="s">
        <v>2619</v>
      </c>
      <c r="E153" s="319"/>
      <c r="F153" s="319" t="s">
        <v>2995</v>
      </c>
      <c r="G153" s="319" t="s">
        <v>2996</v>
      </c>
      <c r="H153" s="319" t="s">
        <v>2818</v>
      </c>
      <c r="I153" s="319" t="s">
        <v>2997</v>
      </c>
    </row>
    <row r="154" customFormat="false" ht="15" hidden="false" customHeight="true" outlineLevel="0" collapsed="false">
      <c r="A154" s="319" t="s">
        <v>2985</v>
      </c>
      <c r="B154" s="319" t="s">
        <v>130</v>
      </c>
      <c r="C154" s="319" t="s">
        <v>712</v>
      </c>
      <c r="D154" s="319" t="s">
        <v>2866</v>
      </c>
      <c r="E154" s="319" t="s">
        <v>2998</v>
      </c>
      <c r="F154" s="319"/>
      <c r="G154" s="319"/>
      <c r="H154" s="319" t="s">
        <v>2638</v>
      </c>
      <c r="I154" s="319" t="s">
        <v>2999</v>
      </c>
    </row>
    <row r="155" customFormat="false" ht="32.25" hidden="false" customHeight="true" outlineLevel="0" collapsed="false">
      <c r="A155" s="319" t="s">
        <v>2985</v>
      </c>
      <c r="B155" s="319" t="s">
        <v>130</v>
      </c>
      <c r="C155" s="319" t="s">
        <v>2635</v>
      </c>
      <c r="D155" s="319" t="s">
        <v>2866</v>
      </c>
      <c r="E155" s="319" t="s">
        <v>3000</v>
      </c>
      <c r="F155" s="319"/>
      <c r="G155" s="319" t="s">
        <v>3001</v>
      </c>
      <c r="H155" s="319" t="s">
        <v>2638</v>
      </c>
      <c r="I155" s="319" t="s">
        <v>3002</v>
      </c>
    </row>
    <row r="156" customFormat="false" ht="32.25" hidden="false" customHeight="true" outlineLevel="0" collapsed="false">
      <c r="A156" s="319" t="s">
        <v>2985</v>
      </c>
      <c r="B156" s="319" t="s">
        <v>130</v>
      </c>
      <c r="C156" s="319" t="s">
        <v>2635</v>
      </c>
      <c r="D156" s="319" t="s">
        <v>2866</v>
      </c>
      <c r="E156" s="319" t="s">
        <v>3003</v>
      </c>
      <c r="F156" s="319"/>
      <c r="G156" s="319" t="s">
        <v>3004</v>
      </c>
      <c r="H156" s="319" t="s">
        <v>2638</v>
      </c>
      <c r="I156" s="319" t="s">
        <v>3005</v>
      </c>
    </row>
    <row r="157" customFormat="false" ht="21.75" hidden="false" customHeight="true" outlineLevel="0" collapsed="false">
      <c r="A157" s="319" t="s">
        <v>2985</v>
      </c>
      <c r="B157" s="319" t="s">
        <v>130</v>
      </c>
      <c r="C157" s="319" t="s">
        <v>2635</v>
      </c>
      <c r="D157" s="319" t="s">
        <v>2866</v>
      </c>
      <c r="E157" s="319" t="s">
        <v>3006</v>
      </c>
      <c r="F157" s="319"/>
      <c r="G157" s="319" t="s">
        <v>3007</v>
      </c>
      <c r="H157" s="319" t="s">
        <v>2638</v>
      </c>
      <c r="I157" s="319" t="s">
        <v>3008</v>
      </c>
    </row>
    <row r="158" customFormat="false" ht="42.75" hidden="false" customHeight="true" outlineLevel="0" collapsed="false">
      <c r="A158" s="319" t="s">
        <v>2985</v>
      </c>
      <c r="B158" s="319" t="s">
        <v>130</v>
      </c>
      <c r="C158" s="319" t="s">
        <v>2635</v>
      </c>
      <c r="D158" s="319" t="s">
        <v>2619</v>
      </c>
      <c r="E158" s="319"/>
      <c r="F158" s="319" t="s">
        <v>3009</v>
      </c>
      <c r="G158" s="319" t="s">
        <v>3010</v>
      </c>
      <c r="H158" s="319" t="s">
        <v>2638</v>
      </c>
      <c r="I158" s="319" t="s">
        <v>3011</v>
      </c>
    </row>
    <row r="159" customFormat="false" ht="32.25" hidden="false" customHeight="true" outlineLevel="0" collapsed="false">
      <c r="A159" s="319" t="s">
        <v>2985</v>
      </c>
      <c r="B159" s="319" t="s">
        <v>130</v>
      </c>
      <c r="C159" s="319" t="s">
        <v>2635</v>
      </c>
      <c r="D159" s="319" t="s">
        <v>2619</v>
      </c>
      <c r="E159" s="319"/>
      <c r="F159" s="319" t="s">
        <v>3012</v>
      </c>
      <c r="G159" s="319" t="s">
        <v>3004</v>
      </c>
      <c r="H159" s="319" t="s">
        <v>2638</v>
      </c>
      <c r="I159" s="319" t="s">
        <v>3013</v>
      </c>
    </row>
    <row r="160" customFormat="false" ht="32.25" hidden="false" customHeight="true" outlineLevel="0" collapsed="false">
      <c r="A160" s="319" t="s">
        <v>2985</v>
      </c>
      <c r="B160" s="319" t="s">
        <v>130</v>
      </c>
      <c r="C160" s="319" t="s">
        <v>2635</v>
      </c>
      <c r="D160" s="319" t="s">
        <v>2619</v>
      </c>
      <c r="E160" s="319"/>
      <c r="F160" s="319" t="s">
        <v>3014</v>
      </c>
      <c r="G160" s="319" t="s">
        <v>3015</v>
      </c>
      <c r="H160" s="319" t="s">
        <v>2626</v>
      </c>
      <c r="I160" s="319" t="s">
        <v>3016</v>
      </c>
    </row>
    <row r="161" customFormat="false" ht="32.25" hidden="false" customHeight="true" outlineLevel="0" collapsed="false">
      <c r="A161" s="319" t="s">
        <v>2985</v>
      </c>
      <c r="B161" s="319" t="s">
        <v>130</v>
      </c>
      <c r="C161" s="319" t="s">
        <v>2635</v>
      </c>
      <c r="D161" s="319" t="s">
        <v>2619</v>
      </c>
      <c r="E161" s="319"/>
      <c r="F161" s="319" t="s">
        <v>3017</v>
      </c>
      <c r="G161" s="319" t="s">
        <v>3018</v>
      </c>
      <c r="H161" s="319" t="s">
        <v>2818</v>
      </c>
      <c r="I161" s="319" t="s">
        <v>3019</v>
      </c>
    </row>
    <row r="162" customFormat="false" ht="15" hidden="false" customHeight="true" outlineLevel="0" collapsed="false">
      <c r="A162" s="319" t="s">
        <v>2985</v>
      </c>
      <c r="B162" s="319" t="s">
        <v>130</v>
      </c>
      <c r="C162" s="319" t="s">
        <v>2642</v>
      </c>
      <c r="D162" s="319" t="s">
        <v>2866</v>
      </c>
      <c r="E162" s="319" t="s">
        <v>947</v>
      </c>
      <c r="F162" s="319"/>
      <c r="G162" s="319"/>
      <c r="H162" s="319" t="s">
        <v>2638</v>
      </c>
      <c r="I162" s="319" t="s">
        <v>3020</v>
      </c>
    </row>
    <row r="163" customFormat="false" ht="42.75" hidden="false" customHeight="true" outlineLevel="0" collapsed="false">
      <c r="A163" s="319" t="s">
        <v>2985</v>
      </c>
      <c r="B163" s="319" t="s">
        <v>130</v>
      </c>
      <c r="C163" s="319" t="s">
        <v>2660</v>
      </c>
      <c r="D163" s="319" t="s">
        <v>2661</v>
      </c>
      <c r="E163" s="319"/>
      <c r="F163" s="319" t="s">
        <v>3021</v>
      </c>
      <c r="G163" s="319"/>
      <c r="H163" s="319" t="s">
        <v>2778</v>
      </c>
      <c r="I163" s="319"/>
    </row>
    <row r="164" customFormat="false" ht="42.75" hidden="false" customHeight="true" outlineLevel="0" collapsed="false">
      <c r="A164" s="319" t="s">
        <v>3022</v>
      </c>
      <c r="B164" s="319" t="s">
        <v>962</v>
      </c>
      <c r="C164" s="319" t="s">
        <v>711</v>
      </c>
      <c r="D164" s="319" t="s">
        <v>2916</v>
      </c>
      <c r="E164" s="319" t="s">
        <v>3023</v>
      </c>
      <c r="F164" s="319" t="s">
        <v>3024</v>
      </c>
      <c r="G164" s="319" t="s">
        <v>3025</v>
      </c>
      <c r="H164" s="319" t="s">
        <v>2638</v>
      </c>
      <c r="I164" s="319" t="s">
        <v>3026</v>
      </c>
    </row>
    <row r="165" customFormat="false" ht="32.25" hidden="false" customHeight="true" outlineLevel="0" collapsed="false">
      <c r="A165" s="319" t="s">
        <v>3022</v>
      </c>
      <c r="B165" s="319" t="s">
        <v>962</v>
      </c>
      <c r="C165" s="319" t="s">
        <v>711</v>
      </c>
      <c r="D165" s="319" t="s">
        <v>2619</v>
      </c>
      <c r="E165" s="319"/>
      <c r="F165" s="319" t="s">
        <v>3027</v>
      </c>
      <c r="G165" s="319" t="s">
        <v>3028</v>
      </c>
      <c r="H165" s="319" t="s">
        <v>2626</v>
      </c>
      <c r="I165" s="319" t="s">
        <v>3029</v>
      </c>
    </row>
    <row r="166" customFormat="false" ht="32.25" hidden="false" customHeight="true" outlineLevel="0" collapsed="false">
      <c r="A166" s="319" t="s">
        <v>3022</v>
      </c>
      <c r="B166" s="319" t="s">
        <v>962</v>
      </c>
      <c r="C166" s="319" t="s">
        <v>711</v>
      </c>
      <c r="D166" s="319" t="s">
        <v>2619</v>
      </c>
      <c r="E166" s="319"/>
      <c r="F166" s="319" t="s">
        <v>3030</v>
      </c>
      <c r="G166" s="319" t="s">
        <v>3031</v>
      </c>
      <c r="H166" s="319" t="s">
        <v>2638</v>
      </c>
      <c r="I166" s="319" t="s">
        <v>3032</v>
      </c>
    </row>
    <row r="167" customFormat="false" ht="21.75" hidden="false" customHeight="true" outlineLevel="0" collapsed="false">
      <c r="A167" s="319" t="s">
        <v>3022</v>
      </c>
      <c r="B167" s="319" t="s">
        <v>962</v>
      </c>
      <c r="C167" s="319" t="s">
        <v>712</v>
      </c>
      <c r="D167" s="319" t="s">
        <v>2916</v>
      </c>
      <c r="E167" s="319" t="s">
        <v>3033</v>
      </c>
      <c r="F167" s="319" t="s">
        <v>3034</v>
      </c>
      <c r="G167" s="319"/>
      <c r="H167" s="319" t="s">
        <v>2638</v>
      </c>
      <c r="I167" s="319" t="s">
        <v>3035</v>
      </c>
    </row>
    <row r="168" customFormat="false" ht="21.75" hidden="false" customHeight="true" outlineLevel="0" collapsed="false">
      <c r="A168" s="319" t="s">
        <v>3022</v>
      </c>
      <c r="B168" s="319" t="s">
        <v>962</v>
      </c>
      <c r="C168" s="319" t="s">
        <v>2635</v>
      </c>
      <c r="D168" s="319" t="s">
        <v>2916</v>
      </c>
      <c r="E168" s="319" t="s">
        <v>3036</v>
      </c>
      <c r="F168" s="319" t="s">
        <v>3037</v>
      </c>
      <c r="G168" s="319" t="s">
        <v>3025</v>
      </c>
      <c r="H168" s="319" t="s">
        <v>2638</v>
      </c>
      <c r="I168" s="319" t="s">
        <v>3038</v>
      </c>
    </row>
    <row r="169" customFormat="false" ht="42.75" hidden="false" customHeight="true" outlineLevel="0" collapsed="false">
      <c r="A169" s="319" t="s">
        <v>3022</v>
      </c>
      <c r="B169" s="319" t="s">
        <v>962</v>
      </c>
      <c r="C169" s="319" t="s">
        <v>2635</v>
      </c>
      <c r="D169" s="319" t="s">
        <v>2866</v>
      </c>
      <c r="E169" s="319" t="s">
        <v>3039</v>
      </c>
      <c r="F169" s="319"/>
      <c r="G169" s="319" t="s">
        <v>3040</v>
      </c>
      <c r="H169" s="319" t="s">
        <v>2638</v>
      </c>
      <c r="I169" s="319" t="s">
        <v>3041</v>
      </c>
    </row>
    <row r="170" customFormat="false" ht="32.25" hidden="false" customHeight="true" outlineLevel="0" collapsed="false">
      <c r="A170" s="319" t="s">
        <v>3022</v>
      </c>
      <c r="B170" s="319" t="s">
        <v>962</v>
      </c>
      <c r="C170" s="319" t="s">
        <v>2635</v>
      </c>
      <c r="D170" s="319" t="s">
        <v>2619</v>
      </c>
      <c r="E170" s="319"/>
      <c r="F170" s="319" t="s">
        <v>3042</v>
      </c>
      <c r="G170" s="319" t="s">
        <v>3043</v>
      </c>
      <c r="H170" s="319" t="s">
        <v>2638</v>
      </c>
      <c r="I170" s="319" t="s">
        <v>3044</v>
      </c>
    </row>
    <row r="171" customFormat="false" ht="42.75" hidden="false" customHeight="true" outlineLevel="0" collapsed="false">
      <c r="A171" s="319" t="s">
        <v>3022</v>
      </c>
      <c r="B171" s="319" t="s">
        <v>962</v>
      </c>
      <c r="C171" s="319" t="s">
        <v>2642</v>
      </c>
      <c r="D171" s="319" t="s">
        <v>2953</v>
      </c>
      <c r="E171" s="319" t="s">
        <v>3045</v>
      </c>
      <c r="F171" s="319" t="s">
        <v>3046</v>
      </c>
      <c r="G171" s="319" t="s">
        <v>3047</v>
      </c>
      <c r="H171" s="319" t="s">
        <v>2638</v>
      </c>
      <c r="I171" s="319" t="s">
        <v>3048</v>
      </c>
    </row>
    <row r="172" customFormat="false" ht="53.25" hidden="false" customHeight="true" outlineLevel="0" collapsed="false">
      <c r="A172" s="319" t="s">
        <v>3022</v>
      </c>
      <c r="B172" s="319" t="s">
        <v>962</v>
      </c>
      <c r="C172" s="319" t="s">
        <v>2642</v>
      </c>
      <c r="D172" s="319" t="s">
        <v>2619</v>
      </c>
      <c r="E172" s="319"/>
      <c r="F172" s="319" t="s">
        <v>3049</v>
      </c>
      <c r="G172" s="319" t="s">
        <v>3050</v>
      </c>
      <c r="H172" s="319" t="s">
        <v>2622</v>
      </c>
      <c r="I172" s="319" t="s">
        <v>3051</v>
      </c>
    </row>
    <row r="173" customFormat="false" ht="32.25" hidden="false" customHeight="true" outlineLevel="0" collapsed="false">
      <c r="A173" s="319" t="s">
        <v>3022</v>
      </c>
      <c r="B173" s="319" t="s">
        <v>962</v>
      </c>
      <c r="C173" s="319" t="s">
        <v>2642</v>
      </c>
      <c r="D173" s="319" t="s">
        <v>2619</v>
      </c>
      <c r="E173" s="319"/>
      <c r="F173" s="319" t="s">
        <v>3052</v>
      </c>
      <c r="G173" s="319" t="s">
        <v>3053</v>
      </c>
      <c r="H173" s="319" t="s">
        <v>2818</v>
      </c>
      <c r="I173" s="319" t="s">
        <v>3054</v>
      </c>
    </row>
    <row r="174" customFormat="false" ht="42.75" hidden="false" customHeight="true" outlineLevel="0" collapsed="false">
      <c r="A174" s="319" t="s">
        <v>3022</v>
      </c>
      <c r="B174" s="319" t="s">
        <v>962</v>
      </c>
      <c r="C174" s="319" t="s">
        <v>2660</v>
      </c>
      <c r="D174" s="319" t="s">
        <v>2661</v>
      </c>
      <c r="E174" s="319"/>
      <c r="F174" s="319" t="s">
        <v>3055</v>
      </c>
      <c r="G174" s="319"/>
      <c r="H174" s="319" t="s">
        <v>2663</v>
      </c>
      <c r="I174" s="319"/>
    </row>
    <row r="175" customFormat="false" ht="32.25" hidden="false" customHeight="true" outlineLevel="0" collapsed="false">
      <c r="A175" s="319" t="s">
        <v>3056</v>
      </c>
      <c r="B175" s="319" t="s">
        <v>980</v>
      </c>
      <c r="C175" s="319" t="s">
        <v>711</v>
      </c>
      <c r="D175" s="319" t="s">
        <v>3057</v>
      </c>
      <c r="E175" s="319" t="s">
        <v>3058</v>
      </c>
      <c r="F175" s="319" t="s">
        <v>3059</v>
      </c>
      <c r="G175" s="319" t="s">
        <v>3060</v>
      </c>
      <c r="H175" s="319" t="s">
        <v>2638</v>
      </c>
      <c r="I175" s="319" t="s">
        <v>3061</v>
      </c>
    </row>
    <row r="176" customFormat="false" ht="21.75" hidden="false" customHeight="true" outlineLevel="0" collapsed="false">
      <c r="A176" s="319" t="s">
        <v>3056</v>
      </c>
      <c r="B176" s="319" t="s">
        <v>980</v>
      </c>
      <c r="C176" s="319" t="s">
        <v>711</v>
      </c>
      <c r="D176" s="319" t="s">
        <v>2619</v>
      </c>
      <c r="E176" s="319"/>
      <c r="F176" s="319" t="s">
        <v>3062</v>
      </c>
      <c r="G176" s="319" t="s">
        <v>3063</v>
      </c>
      <c r="H176" s="319" t="s">
        <v>2626</v>
      </c>
      <c r="I176" s="319" t="s">
        <v>3064</v>
      </c>
    </row>
    <row r="177" customFormat="false" ht="53.25" hidden="false" customHeight="true" outlineLevel="0" collapsed="false">
      <c r="A177" s="319" t="s">
        <v>3056</v>
      </c>
      <c r="B177" s="319" t="s">
        <v>980</v>
      </c>
      <c r="C177" s="319" t="s">
        <v>711</v>
      </c>
      <c r="D177" s="319" t="s">
        <v>2619</v>
      </c>
      <c r="E177" s="319"/>
      <c r="F177" s="319" t="s">
        <v>3065</v>
      </c>
      <c r="G177" s="319" t="s">
        <v>3066</v>
      </c>
      <c r="H177" s="319" t="s">
        <v>2622</v>
      </c>
      <c r="I177" s="319" t="s">
        <v>3067</v>
      </c>
    </row>
    <row r="178" customFormat="false" ht="21.75" hidden="false" customHeight="true" outlineLevel="0" collapsed="false">
      <c r="A178" s="319" t="s">
        <v>3056</v>
      </c>
      <c r="B178" s="319" t="s">
        <v>980</v>
      </c>
      <c r="C178" s="319" t="s">
        <v>712</v>
      </c>
      <c r="D178" s="319" t="s">
        <v>2940</v>
      </c>
      <c r="E178" s="319" t="s">
        <v>3068</v>
      </c>
      <c r="F178" s="319" t="s">
        <v>3069</v>
      </c>
      <c r="G178" s="319"/>
      <c r="H178" s="319" t="s">
        <v>2638</v>
      </c>
      <c r="I178" s="319" t="s">
        <v>3070</v>
      </c>
    </row>
    <row r="179" customFormat="false" ht="32.25" hidden="false" customHeight="true" outlineLevel="0" collapsed="false">
      <c r="A179" s="319" t="s">
        <v>3056</v>
      </c>
      <c r="B179" s="319" t="s">
        <v>980</v>
      </c>
      <c r="C179" s="319" t="s">
        <v>712</v>
      </c>
      <c r="D179" s="319" t="s">
        <v>2866</v>
      </c>
      <c r="E179" s="319" t="s">
        <v>3071</v>
      </c>
      <c r="F179" s="319"/>
      <c r="G179" s="319" t="s">
        <v>3060</v>
      </c>
      <c r="H179" s="319" t="s">
        <v>2638</v>
      </c>
      <c r="I179" s="319" t="s">
        <v>3072</v>
      </c>
    </row>
    <row r="180" customFormat="false" ht="42.75" hidden="false" customHeight="true" outlineLevel="0" collapsed="false">
      <c r="A180" s="319" t="s">
        <v>3056</v>
      </c>
      <c r="B180" s="319" t="s">
        <v>980</v>
      </c>
      <c r="C180" s="319" t="s">
        <v>712</v>
      </c>
      <c r="D180" s="319" t="s">
        <v>2619</v>
      </c>
      <c r="E180" s="319"/>
      <c r="F180" s="319" t="s">
        <v>3073</v>
      </c>
      <c r="G180" s="319" t="s">
        <v>3074</v>
      </c>
      <c r="H180" s="319" t="s">
        <v>2622</v>
      </c>
      <c r="I180" s="319" t="s">
        <v>3075</v>
      </c>
    </row>
    <row r="181" customFormat="false" ht="21.75" hidden="false" customHeight="true" outlineLevel="0" collapsed="false">
      <c r="A181" s="319" t="s">
        <v>3056</v>
      </c>
      <c r="B181" s="319" t="s">
        <v>980</v>
      </c>
      <c r="C181" s="319" t="s">
        <v>2635</v>
      </c>
      <c r="D181" s="319" t="s">
        <v>3057</v>
      </c>
      <c r="E181" s="319" t="s">
        <v>3076</v>
      </c>
      <c r="F181" s="319" t="s">
        <v>3077</v>
      </c>
      <c r="G181" s="319"/>
      <c r="H181" s="319" t="s">
        <v>2638</v>
      </c>
      <c r="I181" s="319" t="s">
        <v>3078</v>
      </c>
    </row>
    <row r="182" customFormat="false" ht="42.75" hidden="false" customHeight="true" outlineLevel="0" collapsed="false">
      <c r="A182" s="319" t="s">
        <v>3056</v>
      </c>
      <c r="B182" s="319" t="s">
        <v>980</v>
      </c>
      <c r="C182" s="319" t="s">
        <v>2635</v>
      </c>
      <c r="D182" s="319" t="s">
        <v>2866</v>
      </c>
      <c r="E182" s="319" t="s">
        <v>3079</v>
      </c>
      <c r="F182" s="319"/>
      <c r="G182" s="319"/>
      <c r="H182" s="319" t="s">
        <v>2622</v>
      </c>
      <c r="I182" s="319" t="s">
        <v>3080</v>
      </c>
    </row>
    <row r="183" customFormat="false" ht="32.25" hidden="false" customHeight="true" outlineLevel="0" collapsed="false">
      <c r="A183" s="319" t="s">
        <v>3056</v>
      </c>
      <c r="B183" s="319" t="s">
        <v>980</v>
      </c>
      <c r="C183" s="319" t="s">
        <v>2635</v>
      </c>
      <c r="D183" s="319" t="s">
        <v>3057</v>
      </c>
      <c r="E183" s="319" t="s">
        <v>3081</v>
      </c>
      <c r="F183" s="319" t="s">
        <v>3082</v>
      </c>
      <c r="G183" s="319" t="s">
        <v>3060</v>
      </c>
      <c r="H183" s="319" t="s">
        <v>2638</v>
      </c>
      <c r="I183" s="319" t="s">
        <v>3083</v>
      </c>
    </row>
    <row r="184" customFormat="false" ht="63.75" hidden="false" customHeight="true" outlineLevel="0" collapsed="false">
      <c r="A184" s="319" t="s">
        <v>3056</v>
      </c>
      <c r="B184" s="319" t="s">
        <v>980</v>
      </c>
      <c r="C184" s="319" t="s">
        <v>2635</v>
      </c>
      <c r="D184" s="319" t="s">
        <v>2619</v>
      </c>
      <c r="E184" s="319"/>
      <c r="F184" s="319" t="s">
        <v>3084</v>
      </c>
      <c r="G184" s="319" t="s">
        <v>3085</v>
      </c>
      <c r="H184" s="319" t="s">
        <v>2622</v>
      </c>
      <c r="I184" s="319" t="s">
        <v>3086</v>
      </c>
    </row>
    <row r="185" customFormat="false" ht="32.25" hidden="false" customHeight="true" outlineLevel="0" collapsed="false">
      <c r="A185" s="319" t="s">
        <v>3056</v>
      </c>
      <c r="B185" s="319" t="s">
        <v>980</v>
      </c>
      <c r="C185" s="319" t="s">
        <v>2642</v>
      </c>
      <c r="D185" s="319" t="s">
        <v>2953</v>
      </c>
      <c r="E185" s="319" t="s">
        <v>3087</v>
      </c>
      <c r="F185" s="319" t="s">
        <v>3088</v>
      </c>
      <c r="G185" s="319" t="s">
        <v>3060</v>
      </c>
      <c r="H185" s="319" t="s">
        <v>2638</v>
      </c>
      <c r="I185" s="319" t="s">
        <v>3089</v>
      </c>
    </row>
    <row r="186" customFormat="false" ht="21.75" hidden="false" customHeight="true" outlineLevel="0" collapsed="false">
      <c r="A186" s="319" t="s">
        <v>3056</v>
      </c>
      <c r="B186" s="319" t="s">
        <v>980</v>
      </c>
      <c r="C186" s="319" t="s">
        <v>2642</v>
      </c>
      <c r="D186" s="319" t="s">
        <v>2619</v>
      </c>
      <c r="E186" s="319"/>
      <c r="F186" s="319" t="s">
        <v>3090</v>
      </c>
      <c r="G186" s="319" t="s">
        <v>3091</v>
      </c>
      <c r="H186" s="319" t="s">
        <v>2626</v>
      </c>
      <c r="I186" s="319" t="s">
        <v>3092</v>
      </c>
    </row>
    <row r="187" customFormat="false" ht="42.75" hidden="false" customHeight="true" outlineLevel="0" collapsed="false">
      <c r="A187" s="319" t="s">
        <v>3056</v>
      </c>
      <c r="B187" s="319" t="s">
        <v>980</v>
      </c>
      <c r="C187" s="319" t="s">
        <v>2660</v>
      </c>
      <c r="D187" s="319" t="s">
        <v>2661</v>
      </c>
      <c r="E187" s="319"/>
      <c r="F187" s="319" t="s">
        <v>3093</v>
      </c>
      <c r="G187" s="319"/>
      <c r="H187" s="319" t="s">
        <v>2708</v>
      </c>
      <c r="I187" s="319"/>
    </row>
    <row r="188" customFormat="false" ht="63.75" hidden="false" customHeight="true" outlineLevel="0" collapsed="false">
      <c r="A188" s="319" t="s">
        <v>3094</v>
      </c>
      <c r="B188" s="319" t="s">
        <v>996</v>
      </c>
      <c r="C188" s="319" t="s">
        <v>711</v>
      </c>
      <c r="D188" s="319" t="s">
        <v>2866</v>
      </c>
      <c r="E188" s="319" t="s">
        <v>3095</v>
      </c>
      <c r="F188" s="319"/>
      <c r="G188" s="319" t="s">
        <v>3096</v>
      </c>
      <c r="H188" s="319" t="s">
        <v>2622</v>
      </c>
      <c r="I188" s="319" t="s">
        <v>3097</v>
      </c>
    </row>
    <row r="189" customFormat="false" ht="21.75" hidden="false" customHeight="true" outlineLevel="0" collapsed="false">
      <c r="A189" s="319" t="s">
        <v>3094</v>
      </c>
      <c r="B189" s="319" t="s">
        <v>996</v>
      </c>
      <c r="C189" s="319" t="s">
        <v>711</v>
      </c>
      <c r="D189" s="319" t="s">
        <v>2916</v>
      </c>
      <c r="E189" s="319" t="s">
        <v>3098</v>
      </c>
      <c r="F189" s="319" t="s">
        <v>3099</v>
      </c>
      <c r="G189" s="319" t="s">
        <v>3100</v>
      </c>
      <c r="H189" s="319" t="s">
        <v>2638</v>
      </c>
      <c r="I189" s="319" t="s">
        <v>3101</v>
      </c>
    </row>
    <row r="190" customFormat="false" ht="15" hidden="false" customHeight="true" outlineLevel="0" collapsed="false">
      <c r="A190" s="319" t="s">
        <v>3094</v>
      </c>
      <c r="B190" s="319" t="s">
        <v>996</v>
      </c>
      <c r="C190" s="319" t="s">
        <v>711</v>
      </c>
      <c r="D190" s="319" t="s">
        <v>2916</v>
      </c>
      <c r="E190" s="319" t="s">
        <v>3102</v>
      </c>
      <c r="F190" s="319" t="s">
        <v>3103</v>
      </c>
      <c r="G190" s="319"/>
      <c r="H190" s="319" t="s">
        <v>2638</v>
      </c>
      <c r="I190" s="319" t="s">
        <v>3104</v>
      </c>
    </row>
    <row r="191" customFormat="false" ht="53.25" hidden="false" customHeight="true" outlineLevel="0" collapsed="false">
      <c r="A191" s="319" t="s">
        <v>3094</v>
      </c>
      <c r="B191" s="319" t="s">
        <v>996</v>
      </c>
      <c r="C191" s="319" t="s">
        <v>711</v>
      </c>
      <c r="D191" s="319" t="s">
        <v>2619</v>
      </c>
      <c r="E191" s="319"/>
      <c r="F191" s="319" t="s">
        <v>3105</v>
      </c>
      <c r="G191" s="319" t="s">
        <v>3106</v>
      </c>
      <c r="H191" s="319" t="s">
        <v>2622</v>
      </c>
      <c r="I191" s="319" t="s">
        <v>3107</v>
      </c>
    </row>
    <row r="192" customFormat="false" ht="53.25" hidden="false" customHeight="true" outlineLevel="0" collapsed="false">
      <c r="A192" s="319" t="s">
        <v>3094</v>
      </c>
      <c r="B192" s="319" t="s">
        <v>996</v>
      </c>
      <c r="C192" s="319" t="s">
        <v>711</v>
      </c>
      <c r="D192" s="319" t="s">
        <v>2619</v>
      </c>
      <c r="E192" s="319"/>
      <c r="F192" s="319" t="s">
        <v>3108</v>
      </c>
      <c r="G192" s="319" t="s">
        <v>3109</v>
      </c>
      <c r="H192" s="319" t="s">
        <v>2622</v>
      </c>
      <c r="I192" s="319" t="s">
        <v>3110</v>
      </c>
    </row>
    <row r="193" customFormat="false" ht="32.25" hidden="false" customHeight="true" outlineLevel="0" collapsed="false">
      <c r="A193" s="319" t="s">
        <v>3094</v>
      </c>
      <c r="B193" s="319" t="s">
        <v>996</v>
      </c>
      <c r="C193" s="319" t="s">
        <v>712</v>
      </c>
      <c r="D193" s="319" t="s">
        <v>2916</v>
      </c>
      <c r="E193" s="319" t="s">
        <v>3111</v>
      </c>
      <c r="F193" s="319" t="s">
        <v>3112</v>
      </c>
      <c r="G193" s="319"/>
      <c r="H193" s="319" t="s">
        <v>2638</v>
      </c>
      <c r="I193" s="319" t="s">
        <v>3113</v>
      </c>
    </row>
    <row r="194" customFormat="false" ht="32.25" hidden="false" customHeight="true" outlineLevel="0" collapsed="false">
      <c r="A194" s="319" t="s">
        <v>3094</v>
      </c>
      <c r="B194" s="319" t="s">
        <v>996</v>
      </c>
      <c r="C194" s="319" t="s">
        <v>712</v>
      </c>
      <c r="D194" s="319" t="s">
        <v>2619</v>
      </c>
      <c r="E194" s="319"/>
      <c r="F194" s="319" t="s">
        <v>3114</v>
      </c>
      <c r="G194" s="319" t="s">
        <v>3115</v>
      </c>
      <c r="H194" s="319" t="s">
        <v>2638</v>
      </c>
      <c r="I194" s="319" t="s">
        <v>3116</v>
      </c>
    </row>
    <row r="195" customFormat="false" ht="32.25" hidden="false" customHeight="true" outlineLevel="0" collapsed="false">
      <c r="A195" s="319" t="s">
        <v>3094</v>
      </c>
      <c r="B195" s="319" t="s">
        <v>996</v>
      </c>
      <c r="C195" s="319" t="s">
        <v>2635</v>
      </c>
      <c r="D195" s="319" t="s">
        <v>2940</v>
      </c>
      <c r="E195" s="319" t="s">
        <v>3117</v>
      </c>
      <c r="F195" s="319" t="s">
        <v>3118</v>
      </c>
      <c r="G195" s="319" t="s">
        <v>3096</v>
      </c>
      <c r="H195" s="319" t="s">
        <v>2638</v>
      </c>
      <c r="I195" s="319" t="s">
        <v>3119</v>
      </c>
    </row>
    <row r="196" customFormat="false" ht="42.75" hidden="false" customHeight="true" outlineLevel="0" collapsed="false">
      <c r="A196" s="319" t="s">
        <v>3094</v>
      </c>
      <c r="B196" s="319" t="s">
        <v>996</v>
      </c>
      <c r="C196" s="319" t="s">
        <v>2635</v>
      </c>
      <c r="D196" s="319" t="s">
        <v>2619</v>
      </c>
      <c r="E196" s="319"/>
      <c r="F196" s="319" t="s">
        <v>3120</v>
      </c>
      <c r="G196" s="319" t="s">
        <v>3121</v>
      </c>
      <c r="H196" s="319" t="s">
        <v>2622</v>
      </c>
      <c r="I196" s="319" t="s">
        <v>3122</v>
      </c>
    </row>
    <row r="197" customFormat="false" ht="21.75" hidden="false" customHeight="true" outlineLevel="0" collapsed="false">
      <c r="A197" s="319" t="s">
        <v>3094</v>
      </c>
      <c r="B197" s="319" t="s">
        <v>996</v>
      </c>
      <c r="C197" s="319" t="s">
        <v>2642</v>
      </c>
      <c r="D197" s="319" t="s">
        <v>2916</v>
      </c>
      <c r="E197" s="319" t="s">
        <v>3123</v>
      </c>
      <c r="F197" s="319" t="s">
        <v>3124</v>
      </c>
      <c r="G197" s="319"/>
      <c r="H197" s="319" t="s">
        <v>2638</v>
      </c>
      <c r="I197" s="319" t="s">
        <v>3125</v>
      </c>
    </row>
    <row r="198" customFormat="false" ht="42.75" hidden="false" customHeight="true" outlineLevel="0" collapsed="false">
      <c r="A198" s="319" t="s">
        <v>3094</v>
      </c>
      <c r="B198" s="319" t="s">
        <v>996</v>
      </c>
      <c r="C198" s="319" t="s">
        <v>2660</v>
      </c>
      <c r="D198" s="319" t="s">
        <v>2661</v>
      </c>
      <c r="E198" s="319"/>
      <c r="F198" s="319" t="s">
        <v>3126</v>
      </c>
      <c r="G198" s="319"/>
      <c r="H198" s="319" t="s">
        <v>2663</v>
      </c>
      <c r="I198" s="319"/>
    </row>
    <row r="199" customFormat="false" ht="21.75" hidden="false" customHeight="true" outlineLevel="0" collapsed="false">
      <c r="A199" s="319" t="s">
        <v>3127</v>
      </c>
      <c r="B199" s="319" t="s">
        <v>1012</v>
      </c>
      <c r="C199" s="319" t="s">
        <v>711</v>
      </c>
      <c r="D199" s="319" t="s">
        <v>3057</v>
      </c>
      <c r="E199" s="319" t="s">
        <v>3128</v>
      </c>
      <c r="F199" s="319" t="s">
        <v>3129</v>
      </c>
      <c r="G199" s="319" t="s">
        <v>3130</v>
      </c>
      <c r="H199" s="319" t="s">
        <v>2638</v>
      </c>
      <c r="I199" s="319" t="s">
        <v>3131</v>
      </c>
    </row>
    <row r="200" customFormat="false" ht="32.25" hidden="false" customHeight="true" outlineLevel="0" collapsed="false">
      <c r="A200" s="319" t="s">
        <v>3127</v>
      </c>
      <c r="B200" s="319" t="s">
        <v>1012</v>
      </c>
      <c r="C200" s="319" t="s">
        <v>711</v>
      </c>
      <c r="D200" s="319" t="s">
        <v>2619</v>
      </c>
      <c r="E200" s="319"/>
      <c r="F200" s="319" t="s">
        <v>3132</v>
      </c>
      <c r="G200" s="319" t="s">
        <v>3133</v>
      </c>
      <c r="H200" s="319" t="s">
        <v>2638</v>
      </c>
      <c r="I200" s="319" t="s">
        <v>3134</v>
      </c>
    </row>
    <row r="201" customFormat="false" ht="15" hidden="false" customHeight="true" outlineLevel="0" collapsed="false">
      <c r="A201" s="319" t="s">
        <v>3127</v>
      </c>
      <c r="B201" s="319" t="s">
        <v>1012</v>
      </c>
      <c r="C201" s="319" t="s">
        <v>712</v>
      </c>
      <c r="D201" s="319" t="s">
        <v>2866</v>
      </c>
      <c r="E201" s="319" t="s">
        <v>1020</v>
      </c>
      <c r="F201" s="319"/>
      <c r="G201" s="319"/>
      <c r="H201" s="319" t="s">
        <v>2638</v>
      </c>
      <c r="I201" s="319" t="s">
        <v>3135</v>
      </c>
    </row>
    <row r="202" customFormat="false" ht="42.75" hidden="false" customHeight="true" outlineLevel="0" collapsed="false">
      <c r="A202" s="319" t="s">
        <v>3127</v>
      </c>
      <c r="B202" s="319" t="s">
        <v>1012</v>
      </c>
      <c r="C202" s="319" t="s">
        <v>2635</v>
      </c>
      <c r="D202" s="319" t="s">
        <v>2916</v>
      </c>
      <c r="E202" s="319" t="s">
        <v>3136</v>
      </c>
      <c r="F202" s="319" t="s">
        <v>3137</v>
      </c>
      <c r="G202" s="319" t="s">
        <v>3138</v>
      </c>
      <c r="H202" s="319" t="s">
        <v>2638</v>
      </c>
      <c r="I202" s="319" t="s">
        <v>3139</v>
      </c>
    </row>
    <row r="203" customFormat="false" ht="32.25" hidden="false" customHeight="true" outlineLevel="0" collapsed="false">
      <c r="A203" s="319" t="s">
        <v>3127</v>
      </c>
      <c r="B203" s="319" t="s">
        <v>1012</v>
      </c>
      <c r="C203" s="319" t="s">
        <v>2635</v>
      </c>
      <c r="D203" s="319" t="s">
        <v>2619</v>
      </c>
      <c r="E203" s="319"/>
      <c r="F203" s="319" t="s">
        <v>3140</v>
      </c>
      <c r="G203" s="319" t="s">
        <v>3141</v>
      </c>
      <c r="H203" s="319" t="s">
        <v>2638</v>
      </c>
      <c r="I203" s="319" t="s">
        <v>3142</v>
      </c>
    </row>
    <row r="204" customFormat="false" ht="42.75" hidden="false" customHeight="true" outlineLevel="0" collapsed="false">
      <c r="A204" s="319" t="s">
        <v>3127</v>
      </c>
      <c r="B204" s="319" t="s">
        <v>1012</v>
      </c>
      <c r="C204" s="319" t="s">
        <v>2642</v>
      </c>
      <c r="D204" s="319" t="s">
        <v>2916</v>
      </c>
      <c r="E204" s="319" t="s">
        <v>3143</v>
      </c>
      <c r="F204" s="319" t="s">
        <v>3144</v>
      </c>
      <c r="G204" s="319"/>
      <c r="H204" s="319" t="s">
        <v>2638</v>
      </c>
      <c r="I204" s="319" t="s">
        <v>3145</v>
      </c>
    </row>
    <row r="205" customFormat="false" ht="21.75" hidden="false" customHeight="true" outlineLevel="0" collapsed="false">
      <c r="A205" s="319" t="s">
        <v>3127</v>
      </c>
      <c r="B205" s="319" t="s">
        <v>1012</v>
      </c>
      <c r="C205" s="319" t="s">
        <v>2642</v>
      </c>
      <c r="D205" s="319" t="s">
        <v>2962</v>
      </c>
      <c r="E205" s="319" t="s">
        <v>3146</v>
      </c>
      <c r="F205" s="319"/>
      <c r="G205" s="319"/>
      <c r="H205" s="319"/>
      <c r="I205" s="319"/>
    </row>
    <row r="206" customFormat="false" ht="32.25" hidden="false" customHeight="true" outlineLevel="0" collapsed="false">
      <c r="A206" s="319" t="s">
        <v>3127</v>
      </c>
      <c r="B206" s="319" t="s">
        <v>1012</v>
      </c>
      <c r="C206" s="319" t="s">
        <v>2660</v>
      </c>
      <c r="D206" s="319" t="s">
        <v>2661</v>
      </c>
      <c r="E206" s="319"/>
      <c r="F206" s="319" t="s">
        <v>3147</v>
      </c>
      <c r="G206" s="319"/>
      <c r="H206" s="319" t="s">
        <v>2663</v>
      </c>
      <c r="I206" s="319"/>
    </row>
    <row r="207" customFormat="false" ht="21.75" hidden="false" customHeight="true" outlineLevel="0" collapsed="false">
      <c r="A207" s="319" t="s">
        <v>3148</v>
      </c>
      <c r="B207" s="319" t="s">
        <v>1031</v>
      </c>
      <c r="C207" s="319" t="s">
        <v>711</v>
      </c>
      <c r="D207" s="319" t="s">
        <v>2866</v>
      </c>
      <c r="E207" s="319" t="s">
        <v>3149</v>
      </c>
      <c r="F207" s="319"/>
      <c r="G207" s="319"/>
      <c r="H207" s="319" t="s">
        <v>2638</v>
      </c>
      <c r="I207" s="319" t="s">
        <v>3150</v>
      </c>
    </row>
    <row r="208" customFormat="false" ht="32.25" hidden="false" customHeight="true" outlineLevel="0" collapsed="false">
      <c r="A208" s="319" t="s">
        <v>3148</v>
      </c>
      <c r="B208" s="319" t="s">
        <v>1031</v>
      </c>
      <c r="C208" s="319" t="s">
        <v>711</v>
      </c>
      <c r="D208" s="319" t="s">
        <v>2962</v>
      </c>
      <c r="E208" s="319" t="s">
        <v>3151</v>
      </c>
      <c r="F208" s="319"/>
      <c r="G208" s="319" t="s">
        <v>3152</v>
      </c>
      <c r="H208" s="319"/>
      <c r="I208" s="319"/>
    </row>
    <row r="209" customFormat="false" ht="32.25" hidden="false" customHeight="true" outlineLevel="0" collapsed="false">
      <c r="A209" s="319" t="s">
        <v>3148</v>
      </c>
      <c r="B209" s="319" t="s">
        <v>1031</v>
      </c>
      <c r="C209" s="319" t="s">
        <v>711</v>
      </c>
      <c r="D209" s="319" t="s">
        <v>2619</v>
      </c>
      <c r="E209" s="319"/>
      <c r="F209" s="319" t="s">
        <v>3153</v>
      </c>
      <c r="G209" s="319" t="s">
        <v>3154</v>
      </c>
      <c r="H209" s="319" t="s">
        <v>2638</v>
      </c>
      <c r="I209" s="319" t="s">
        <v>3155</v>
      </c>
    </row>
    <row r="210" customFormat="false" ht="32.25" hidden="false" customHeight="true" outlineLevel="0" collapsed="false">
      <c r="A210" s="319" t="s">
        <v>3148</v>
      </c>
      <c r="B210" s="319" t="s">
        <v>1031</v>
      </c>
      <c r="C210" s="319" t="s">
        <v>711</v>
      </c>
      <c r="D210" s="319" t="s">
        <v>2619</v>
      </c>
      <c r="E210" s="319"/>
      <c r="F210" s="319" t="s">
        <v>3156</v>
      </c>
      <c r="G210" s="319" t="s">
        <v>3157</v>
      </c>
      <c r="H210" s="319" t="s">
        <v>2638</v>
      </c>
      <c r="I210" s="319" t="s">
        <v>3158</v>
      </c>
    </row>
    <row r="211" customFormat="false" ht="32.25" hidden="false" customHeight="true" outlineLevel="0" collapsed="false">
      <c r="A211" s="319" t="s">
        <v>3148</v>
      </c>
      <c r="B211" s="319" t="s">
        <v>1031</v>
      </c>
      <c r="C211" s="319" t="s">
        <v>711</v>
      </c>
      <c r="D211" s="319" t="s">
        <v>2619</v>
      </c>
      <c r="E211" s="319"/>
      <c r="F211" s="319" t="s">
        <v>3159</v>
      </c>
      <c r="G211" s="319" t="s">
        <v>3160</v>
      </c>
      <c r="H211" s="319" t="s">
        <v>2818</v>
      </c>
      <c r="I211" s="319" t="s">
        <v>3161</v>
      </c>
    </row>
    <row r="212" customFormat="false" ht="32.25" hidden="false" customHeight="true" outlineLevel="0" collapsed="false">
      <c r="A212" s="319" t="s">
        <v>3148</v>
      </c>
      <c r="B212" s="319" t="s">
        <v>1031</v>
      </c>
      <c r="C212" s="319" t="s">
        <v>712</v>
      </c>
      <c r="D212" s="319" t="s">
        <v>2866</v>
      </c>
      <c r="E212" s="319" t="s">
        <v>3162</v>
      </c>
      <c r="F212" s="319"/>
      <c r="G212" s="319" t="s">
        <v>3163</v>
      </c>
      <c r="H212" s="319" t="s">
        <v>2638</v>
      </c>
      <c r="I212" s="319" t="s">
        <v>3164</v>
      </c>
    </row>
    <row r="213" customFormat="false" ht="32.25" hidden="false" customHeight="true" outlineLevel="0" collapsed="false">
      <c r="A213" s="319" t="s">
        <v>3148</v>
      </c>
      <c r="B213" s="319" t="s">
        <v>1031</v>
      </c>
      <c r="C213" s="319" t="s">
        <v>712</v>
      </c>
      <c r="D213" s="319" t="s">
        <v>2619</v>
      </c>
      <c r="E213" s="319"/>
      <c r="F213" s="319" t="s">
        <v>3165</v>
      </c>
      <c r="G213" s="319" t="s">
        <v>3157</v>
      </c>
      <c r="H213" s="319" t="s">
        <v>2638</v>
      </c>
      <c r="I213" s="319" t="s">
        <v>3166</v>
      </c>
    </row>
    <row r="214" customFormat="false" ht="21.75" hidden="false" customHeight="true" outlineLevel="0" collapsed="false">
      <c r="A214" s="319" t="s">
        <v>3148</v>
      </c>
      <c r="B214" s="319" t="s">
        <v>1031</v>
      </c>
      <c r="C214" s="319" t="s">
        <v>2635</v>
      </c>
      <c r="D214" s="319" t="s">
        <v>2866</v>
      </c>
      <c r="E214" s="319" t="s">
        <v>3167</v>
      </c>
      <c r="F214" s="319"/>
      <c r="G214" s="319"/>
      <c r="H214" s="319" t="s">
        <v>2638</v>
      </c>
      <c r="I214" s="319" t="s">
        <v>3168</v>
      </c>
    </row>
    <row r="215" customFormat="false" ht="32.25" hidden="false" customHeight="true" outlineLevel="0" collapsed="false">
      <c r="A215" s="319" t="s">
        <v>3148</v>
      </c>
      <c r="B215" s="319" t="s">
        <v>1031</v>
      </c>
      <c r="C215" s="319" t="s">
        <v>2635</v>
      </c>
      <c r="D215" s="319" t="s">
        <v>2962</v>
      </c>
      <c r="E215" s="319" t="s">
        <v>3169</v>
      </c>
      <c r="F215" s="319"/>
      <c r="G215" s="319" t="s">
        <v>3170</v>
      </c>
      <c r="H215" s="319"/>
      <c r="I215" s="319"/>
    </row>
    <row r="216" customFormat="false" ht="32.25" hidden="false" customHeight="true" outlineLevel="0" collapsed="false">
      <c r="A216" s="319" t="s">
        <v>3148</v>
      </c>
      <c r="B216" s="319" t="s">
        <v>1031</v>
      </c>
      <c r="C216" s="319" t="s">
        <v>2635</v>
      </c>
      <c r="D216" s="319" t="s">
        <v>2866</v>
      </c>
      <c r="E216" s="319" t="s">
        <v>3171</v>
      </c>
      <c r="F216" s="319"/>
      <c r="G216" s="319" t="s">
        <v>3152</v>
      </c>
      <c r="H216" s="319" t="s">
        <v>2638</v>
      </c>
      <c r="I216" s="319" t="s">
        <v>3172</v>
      </c>
    </row>
    <row r="217" customFormat="false" ht="32.25" hidden="false" customHeight="true" outlineLevel="0" collapsed="false">
      <c r="A217" s="319" t="s">
        <v>3148</v>
      </c>
      <c r="B217" s="319" t="s">
        <v>1031</v>
      </c>
      <c r="C217" s="319" t="s">
        <v>2635</v>
      </c>
      <c r="D217" s="319" t="s">
        <v>2619</v>
      </c>
      <c r="E217" s="319"/>
      <c r="F217" s="319" t="s">
        <v>3173</v>
      </c>
      <c r="G217" s="319" t="s">
        <v>3174</v>
      </c>
      <c r="H217" s="319" t="s">
        <v>2638</v>
      </c>
      <c r="I217" s="319" t="s">
        <v>3175</v>
      </c>
    </row>
    <row r="218" customFormat="false" ht="21.75" hidden="false" customHeight="true" outlineLevel="0" collapsed="false">
      <c r="A218" s="319" t="s">
        <v>3148</v>
      </c>
      <c r="B218" s="319" t="s">
        <v>1031</v>
      </c>
      <c r="C218" s="319" t="s">
        <v>2642</v>
      </c>
      <c r="D218" s="319" t="s">
        <v>2866</v>
      </c>
      <c r="E218" s="319" t="s">
        <v>1041</v>
      </c>
      <c r="F218" s="319"/>
      <c r="G218" s="319"/>
      <c r="H218" s="319" t="s">
        <v>2638</v>
      </c>
      <c r="I218" s="319" t="s">
        <v>3135</v>
      </c>
    </row>
    <row r="219" customFormat="false" ht="32.25" hidden="false" customHeight="true" outlineLevel="0" collapsed="false">
      <c r="A219" s="319" t="s">
        <v>3148</v>
      </c>
      <c r="B219" s="319" t="s">
        <v>1031</v>
      </c>
      <c r="C219" s="319" t="s">
        <v>2660</v>
      </c>
      <c r="D219" s="319" t="s">
        <v>2661</v>
      </c>
      <c r="E219" s="319"/>
      <c r="F219" s="319" t="s">
        <v>3176</v>
      </c>
      <c r="G219" s="319"/>
      <c r="H219" s="319" t="s">
        <v>2778</v>
      </c>
      <c r="I219" s="319"/>
    </row>
    <row r="220" customFormat="false" ht="21.75" hidden="false" customHeight="true" outlineLevel="0" collapsed="false">
      <c r="A220" s="319" t="s">
        <v>3177</v>
      </c>
      <c r="B220" s="319" t="s">
        <v>1047</v>
      </c>
      <c r="C220" s="319" t="s">
        <v>711</v>
      </c>
      <c r="D220" s="319" t="s">
        <v>2916</v>
      </c>
      <c r="E220" s="319" t="s">
        <v>3178</v>
      </c>
      <c r="F220" s="319" t="s">
        <v>3179</v>
      </c>
      <c r="G220" s="319" t="s">
        <v>3180</v>
      </c>
      <c r="H220" s="319" t="s">
        <v>2638</v>
      </c>
      <c r="I220" s="319" t="s">
        <v>3181</v>
      </c>
    </row>
    <row r="221" customFormat="false" ht="21.75" hidden="false" customHeight="true" outlineLevel="0" collapsed="false">
      <c r="A221" s="319" t="s">
        <v>3177</v>
      </c>
      <c r="B221" s="319" t="s">
        <v>1047</v>
      </c>
      <c r="C221" s="319" t="s">
        <v>711</v>
      </c>
      <c r="D221" s="319" t="s">
        <v>2916</v>
      </c>
      <c r="E221" s="319" t="s">
        <v>3182</v>
      </c>
      <c r="F221" s="319" t="s">
        <v>3183</v>
      </c>
      <c r="G221" s="319" t="s">
        <v>3184</v>
      </c>
      <c r="H221" s="319" t="s">
        <v>2638</v>
      </c>
      <c r="I221" s="319" t="s">
        <v>3185</v>
      </c>
    </row>
    <row r="222" customFormat="false" ht="32.25" hidden="false" customHeight="true" outlineLevel="0" collapsed="false">
      <c r="A222" s="319" t="s">
        <v>3177</v>
      </c>
      <c r="B222" s="319" t="s">
        <v>1047</v>
      </c>
      <c r="C222" s="319" t="s">
        <v>711</v>
      </c>
      <c r="D222" s="319" t="s">
        <v>2619</v>
      </c>
      <c r="E222" s="319"/>
      <c r="F222" s="319" t="s">
        <v>3186</v>
      </c>
      <c r="G222" s="319" t="s">
        <v>3187</v>
      </c>
      <c r="H222" s="319" t="s">
        <v>2638</v>
      </c>
      <c r="I222" s="319" t="s">
        <v>3188</v>
      </c>
    </row>
    <row r="223" customFormat="false" ht="21.75" hidden="false" customHeight="true" outlineLevel="0" collapsed="false">
      <c r="A223" s="319" t="s">
        <v>3177</v>
      </c>
      <c r="B223" s="319" t="s">
        <v>1047</v>
      </c>
      <c r="C223" s="319" t="s">
        <v>712</v>
      </c>
      <c r="D223" s="319" t="s">
        <v>2953</v>
      </c>
      <c r="E223" s="319" t="s">
        <v>3189</v>
      </c>
      <c r="F223" s="319" t="s">
        <v>3190</v>
      </c>
      <c r="G223" s="319" t="s">
        <v>3191</v>
      </c>
      <c r="H223" s="319" t="s">
        <v>2638</v>
      </c>
      <c r="I223" s="319" t="s">
        <v>3192</v>
      </c>
    </row>
    <row r="224" customFormat="false" ht="53.25" hidden="false" customHeight="true" outlineLevel="0" collapsed="false">
      <c r="A224" s="319" t="s">
        <v>3177</v>
      </c>
      <c r="B224" s="319" t="s">
        <v>1047</v>
      </c>
      <c r="C224" s="319" t="s">
        <v>712</v>
      </c>
      <c r="D224" s="319" t="s">
        <v>2619</v>
      </c>
      <c r="E224" s="319"/>
      <c r="F224" s="319" t="s">
        <v>3193</v>
      </c>
      <c r="G224" s="319" t="s">
        <v>3187</v>
      </c>
      <c r="H224" s="319" t="s">
        <v>2622</v>
      </c>
      <c r="I224" s="319" t="s">
        <v>3194</v>
      </c>
    </row>
    <row r="225" customFormat="false" ht="21.75" hidden="false" customHeight="true" outlineLevel="0" collapsed="false">
      <c r="A225" s="319" t="s">
        <v>3177</v>
      </c>
      <c r="B225" s="319" t="s">
        <v>1047</v>
      </c>
      <c r="C225" s="319" t="s">
        <v>2635</v>
      </c>
      <c r="D225" s="319" t="s">
        <v>2916</v>
      </c>
      <c r="E225" s="319" t="s">
        <v>3195</v>
      </c>
      <c r="F225" s="319" t="s">
        <v>3196</v>
      </c>
      <c r="G225" s="319" t="s">
        <v>3180</v>
      </c>
      <c r="H225" s="319" t="s">
        <v>2638</v>
      </c>
      <c r="I225" s="319" t="s">
        <v>3197</v>
      </c>
    </row>
    <row r="226" customFormat="false" ht="21.75" hidden="false" customHeight="true" outlineLevel="0" collapsed="false">
      <c r="A226" s="319" t="s">
        <v>3177</v>
      </c>
      <c r="B226" s="319" t="s">
        <v>1047</v>
      </c>
      <c r="C226" s="319" t="s">
        <v>2635</v>
      </c>
      <c r="D226" s="319" t="s">
        <v>2916</v>
      </c>
      <c r="E226" s="319" t="s">
        <v>3198</v>
      </c>
      <c r="F226" s="319" t="s">
        <v>3199</v>
      </c>
      <c r="G226" s="319" t="s">
        <v>3200</v>
      </c>
      <c r="H226" s="319" t="s">
        <v>2638</v>
      </c>
      <c r="I226" s="319" t="s">
        <v>3197</v>
      </c>
    </row>
    <row r="227" customFormat="false" ht="53.25" hidden="false" customHeight="true" outlineLevel="0" collapsed="false">
      <c r="A227" s="319" t="s">
        <v>3177</v>
      </c>
      <c r="B227" s="319" t="s">
        <v>1047</v>
      </c>
      <c r="C227" s="319" t="s">
        <v>2635</v>
      </c>
      <c r="D227" s="319" t="s">
        <v>2619</v>
      </c>
      <c r="E227" s="319"/>
      <c r="F227" s="319" t="s">
        <v>3201</v>
      </c>
      <c r="G227" s="319" t="s">
        <v>3202</v>
      </c>
      <c r="H227" s="319" t="s">
        <v>2622</v>
      </c>
      <c r="I227" s="319" t="s">
        <v>3203</v>
      </c>
    </row>
    <row r="228" customFormat="false" ht="21.75" hidden="false" customHeight="true" outlineLevel="0" collapsed="false">
      <c r="A228" s="319" t="s">
        <v>3177</v>
      </c>
      <c r="B228" s="319" t="s">
        <v>1047</v>
      </c>
      <c r="C228" s="319" t="s">
        <v>2642</v>
      </c>
      <c r="D228" s="319" t="s">
        <v>2953</v>
      </c>
      <c r="E228" s="319" t="s">
        <v>3204</v>
      </c>
      <c r="F228" s="319" t="s">
        <v>3205</v>
      </c>
      <c r="G228" s="319" t="s">
        <v>3206</v>
      </c>
      <c r="H228" s="319" t="s">
        <v>2638</v>
      </c>
      <c r="I228" s="319" t="s">
        <v>3207</v>
      </c>
    </row>
    <row r="229" customFormat="false" ht="42.75" hidden="false" customHeight="true" outlineLevel="0" collapsed="false">
      <c r="A229" s="319" t="s">
        <v>3177</v>
      </c>
      <c r="B229" s="319" t="s">
        <v>1047</v>
      </c>
      <c r="C229" s="319" t="s">
        <v>2642</v>
      </c>
      <c r="D229" s="319" t="s">
        <v>2619</v>
      </c>
      <c r="E229" s="319"/>
      <c r="F229" s="319" t="s">
        <v>3208</v>
      </c>
      <c r="G229" s="319" t="s">
        <v>3209</v>
      </c>
      <c r="H229" s="319" t="s">
        <v>2638</v>
      </c>
      <c r="I229" s="319" t="s">
        <v>3210</v>
      </c>
    </row>
    <row r="230" customFormat="false" ht="42.75" hidden="false" customHeight="true" outlineLevel="0" collapsed="false">
      <c r="A230" s="319" t="s">
        <v>3177</v>
      </c>
      <c r="B230" s="319" t="s">
        <v>1047</v>
      </c>
      <c r="C230" s="319" t="s">
        <v>2660</v>
      </c>
      <c r="D230" s="319" t="s">
        <v>2661</v>
      </c>
      <c r="E230" s="319"/>
      <c r="F230" s="319" t="s">
        <v>3211</v>
      </c>
      <c r="G230" s="319"/>
      <c r="H230" s="319" t="s">
        <v>2663</v>
      </c>
      <c r="I230" s="319"/>
    </row>
    <row r="231" customFormat="false" ht="32.25" hidden="false" customHeight="true" outlineLevel="0" collapsed="false">
      <c r="A231" s="319" t="s">
        <v>3212</v>
      </c>
      <c r="B231" s="319" t="s">
        <v>2499</v>
      </c>
      <c r="C231" s="319" t="s">
        <v>711</v>
      </c>
      <c r="D231" s="319" t="s">
        <v>2866</v>
      </c>
      <c r="E231" s="319" t="s">
        <v>3213</v>
      </c>
      <c r="F231" s="319"/>
      <c r="G231" s="319" t="s">
        <v>3214</v>
      </c>
      <c r="H231" s="319" t="s">
        <v>2638</v>
      </c>
      <c r="I231" s="319" t="s">
        <v>3215</v>
      </c>
    </row>
    <row r="232" customFormat="false" ht="32.25" hidden="false" customHeight="true" outlineLevel="0" collapsed="false">
      <c r="A232" s="319" t="s">
        <v>3212</v>
      </c>
      <c r="B232" s="319" t="s">
        <v>2499</v>
      </c>
      <c r="C232" s="319" t="s">
        <v>711</v>
      </c>
      <c r="D232" s="319" t="s">
        <v>2916</v>
      </c>
      <c r="E232" s="319" t="s">
        <v>3216</v>
      </c>
      <c r="F232" s="319" t="s">
        <v>3217</v>
      </c>
      <c r="G232" s="319" t="s">
        <v>3218</v>
      </c>
      <c r="H232" s="319" t="s">
        <v>2626</v>
      </c>
      <c r="I232" s="319" t="s">
        <v>3219</v>
      </c>
    </row>
    <row r="233" customFormat="false" ht="42.75" hidden="false" customHeight="true" outlineLevel="0" collapsed="false">
      <c r="A233" s="319" t="s">
        <v>3212</v>
      </c>
      <c r="B233" s="319" t="s">
        <v>2499</v>
      </c>
      <c r="C233" s="319" t="s">
        <v>711</v>
      </c>
      <c r="D233" s="319" t="s">
        <v>2619</v>
      </c>
      <c r="E233" s="319"/>
      <c r="F233" s="319" t="s">
        <v>3220</v>
      </c>
      <c r="G233" s="319" t="s">
        <v>3221</v>
      </c>
      <c r="H233" s="319" t="s">
        <v>2638</v>
      </c>
      <c r="I233" s="319" t="s">
        <v>3222</v>
      </c>
    </row>
    <row r="234" customFormat="false" ht="74.25" hidden="false" customHeight="true" outlineLevel="0" collapsed="false">
      <c r="A234" s="319" t="s">
        <v>3212</v>
      </c>
      <c r="B234" s="319" t="s">
        <v>2499</v>
      </c>
      <c r="C234" s="319" t="s">
        <v>711</v>
      </c>
      <c r="D234" s="319" t="s">
        <v>2619</v>
      </c>
      <c r="E234" s="319"/>
      <c r="F234" s="319" t="s">
        <v>3223</v>
      </c>
      <c r="G234" s="319" t="s">
        <v>3224</v>
      </c>
      <c r="H234" s="319" t="s">
        <v>2622</v>
      </c>
      <c r="I234" s="319" t="s">
        <v>3225</v>
      </c>
    </row>
    <row r="235" customFormat="false" ht="32.25" hidden="false" customHeight="true" outlineLevel="0" collapsed="false">
      <c r="A235" s="319" t="s">
        <v>3212</v>
      </c>
      <c r="B235" s="319" t="s">
        <v>2499</v>
      </c>
      <c r="C235" s="319" t="s">
        <v>711</v>
      </c>
      <c r="D235" s="319" t="s">
        <v>2619</v>
      </c>
      <c r="E235" s="319"/>
      <c r="F235" s="319" t="s">
        <v>3226</v>
      </c>
      <c r="G235" s="319" t="s">
        <v>3227</v>
      </c>
      <c r="H235" s="319" t="s">
        <v>2638</v>
      </c>
      <c r="I235" s="319" t="s">
        <v>3228</v>
      </c>
    </row>
    <row r="236" customFormat="false" ht="32.25" hidden="false" customHeight="true" outlineLevel="0" collapsed="false">
      <c r="A236" s="319" t="s">
        <v>3212</v>
      </c>
      <c r="B236" s="319" t="s">
        <v>2499</v>
      </c>
      <c r="C236" s="319" t="s">
        <v>711</v>
      </c>
      <c r="D236" s="319" t="s">
        <v>2619</v>
      </c>
      <c r="E236" s="319"/>
      <c r="F236" s="319" t="s">
        <v>3229</v>
      </c>
      <c r="G236" s="319" t="s">
        <v>3230</v>
      </c>
      <c r="H236" s="319" t="s">
        <v>2626</v>
      </c>
      <c r="I236" s="319" t="s">
        <v>3231</v>
      </c>
    </row>
    <row r="237" customFormat="false" ht="32.25" hidden="false" customHeight="true" outlineLevel="0" collapsed="false">
      <c r="A237" s="319" t="s">
        <v>3212</v>
      </c>
      <c r="B237" s="319" t="s">
        <v>2499</v>
      </c>
      <c r="C237" s="319" t="s">
        <v>712</v>
      </c>
      <c r="D237" s="319" t="s">
        <v>2953</v>
      </c>
      <c r="E237" s="319" t="s">
        <v>3232</v>
      </c>
      <c r="F237" s="319" t="s">
        <v>3233</v>
      </c>
      <c r="G237" s="319" t="s">
        <v>3234</v>
      </c>
      <c r="H237" s="319" t="s">
        <v>2638</v>
      </c>
      <c r="I237" s="319" t="s">
        <v>3235</v>
      </c>
    </row>
    <row r="238" customFormat="false" ht="53.25" hidden="false" customHeight="true" outlineLevel="0" collapsed="false">
      <c r="A238" s="319" t="s">
        <v>3212</v>
      </c>
      <c r="B238" s="319" t="s">
        <v>2499</v>
      </c>
      <c r="C238" s="319" t="s">
        <v>2635</v>
      </c>
      <c r="D238" s="319" t="s">
        <v>2916</v>
      </c>
      <c r="E238" s="319" t="s">
        <v>3236</v>
      </c>
      <c r="F238" s="319" t="s">
        <v>3237</v>
      </c>
      <c r="G238" s="319" t="s">
        <v>3218</v>
      </c>
      <c r="H238" s="319" t="s">
        <v>2622</v>
      </c>
      <c r="I238" s="319" t="s">
        <v>3238</v>
      </c>
    </row>
    <row r="239" customFormat="false" ht="32.25" hidden="false" customHeight="true" outlineLevel="0" collapsed="false">
      <c r="A239" s="319" t="s">
        <v>3212</v>
      </c>
      <c r="B239" s="319" t="s">
        <v>2499</v>
      </c>
      <c r="C239" s="319" t="s">
        <v>2635</v>
      </c>
      <c r="D239" s="319" t="s">
        <v>2940</v>
      </c>
      <c r="E239" s="319" t="s">
        <v>3239</v>
      </c>
      <c r="F239" s="319" t="s">
        <v>3240</v>
      </c>
      <c r="G239" s="319" t="s">
        <v>3241</v>
      </c>
      <c r="H239" s="319" t="s">
        <v>2638</v>
      </c>
      <c r="I239" s="319" t="s">
        <v>3242</v>
      </c>
    </row>
    <row r="240" customFormat="false" ht="53.25" hidden="false" customHeight="true" outlineLevel="0" collapsed="false">
      <c r="A240" s="319" t="s">
        <v>3212</v>
      </c>
      <c r="B240" s="319" t="s">
        <v>2499</v>
      </c>
      <c r="C240" s="319" t="s">
        <v>2635</v>
      </c>
      <c r="D240" s="319" t="s">
        <v>2619</v>
      </c>
      <c r="E240" s="319"/>
      <c r="F240" s="319" t="s">
        <v>3243</v>
      </c>
      <c r="G240" s="319" t="s">
        <v>3244</v>
      </c>
      <c r="H240" s="319" t="s">
        <v>2622</v>
      </c>
      <c r="I240" s="319" t="s">
        <v>3245</v>
      </c>
    </row>
    <row r="241" customFormat="false" ht="32.25" hidden="false" customHeight="true" outlineLevel="0" collapsed="false">
      <c r="A241" s="319" t="s">
        <v>3212</v>
      </c>
      <c r="B241" s="319" t="s">
        <v>2499</v>
      </c>
      <c r="C241" s="319" t="s">
        <v>2635</v>
      </c>
      <c r="D241" s="319" t="s">
        <v>2619</v>
      </c>
      <c r="E241" s="319"/>
      <c r="F241" s="319" t="s">
        <v>3246</v>
      </c>
      <c r="G241" s="319" t="s">
        <v>3230</v>
      </c>
      <c r="H241" s="319" t="s">
        <v>2626</v>
      </c>
      <c r="I241" s="319" t="s">
        <v>3247</v>
      </c>
    </row>
    <row r="242" customFormat="false" ht="53.25" hidden="false" customHeight="true" outlineLevel="0" collapsed="false">
      <c r="A242" s="319" t="s">
        <v>3212</v>
      </c>
      <c r="B242" s="319" t="s">
        <v>2499</v>
      </c>
      <c r="C242" s="319" t="s">
        <v>2642</v>
      </c>
      <c r="D242" s="319" t="s">
        <v>2953</v>
      </c>
      <c r="E242" s="319" t="s">
        <v>1087</v>
      </c>
      <c r="F242" s="319" t="s">
        <v>3248</v>
      </c>
      <c r="G242" s="319"/>
      <c r="H242" s="319" t="s">
        <v>2622</v>
      </c>
      <c r="I242" s="319" t="s">
        <v>3249</v>
      </c>
    </row>
    <row r="243" customFormat="false" ht="21.75" hidden="false" customHeight="true" outlineLevel="0" collapsed="false">
      <c r="A243" s="319" t="s">
        <v>3212</v>
      </c>
      <c r="B243" s="319" t="s">
        <v>2499</v>
      </c>
      <c r="C243" s="319" t="s">
        <v>2642</v>
      </c>
      <c r="D243" s="319" t="s">
        <v>2962</v>
      </c>
      <c r="E243" s="319" t="s">
        <v>3250</v>
      </c>
      <c r="F243" s="319"/>
      <c r="G243" s="319" t="s">
        <v>3251</v>
      </c>
      <c r="H243" s="319"/>
      <c r="I243" s="319"/>
    </row>
    <row r="244" customFormat="false" ht="42.75" hidden="false" customHeight="true" outlineLevel="0" collapsed="false">
      <c r="A244" s="319" t="s">
        <v>3212</v>
      </c>
      <c r="B244" s="319" t="s">
        <v>2499</v>
      </c>
      <c r="C244" s="319" t="s">
        <v>2642</v>
      </c>
      <c r="D244" s="319" t="s">
        <v>2619</v>
      </c>
      <c r="E244" s="319"/>
      <c r="F244" s="319" t="s">
        <v>3252</v>
      </c>
      <c r="G244" s="319" t="s">
        <v>3253</v>
      </c>
      <c r="H244" s="319" t="s">
        <v>2622</v>
      </c>
      <c r="I244" s="319" t="s">
        <v>3254</v>
      </c>
    </row>
    <row r="245" customFormat="false" ht="42.75" hidden="false" customHeight="true" outlineLevel="0" collapsed="false">
      <c r="A245" s="319" t="s">
        <v>3212</v>
      </c>
      <c r="B245" s="319" t="s">
        <v>2499</v>
      </c>
      <c r="C245" s="319" t="s">
        <v>2660</v>
      </c>
      <c r="D245" s="319" t="s">
        <v>2661</v>
      </c>
      <c r="E245" s="319"/>
      <c r="F245" s="319" t="s">
        <v>3255</v>
      </c>
      <c r="G245" s="319"/>
      <c r="H245" s="319" t="s">
        <v>2663</v>
      </c>
      <c r="I245" s="319"/>
    </row>
    <row r="246" customFormat="false" ht="32.25" hidden="false" customHeight="true" outlineLevel="0" collapsed="false">
      <c r="A246" s="319" t="s">
        <v>3256</v>
      </c>
      <c r="B246" s="319" t="s">
        <v>1079</v>
      </c>
      <c r="C246" s="319" t="s">
        <v>711</v>
      </c>
      <c r="D246" s="319" t="s">
        <v>2866</v>
      </c>
      <c r="E246" s="319" t="s">
        <v>3257</v>
      </c>
      <c r="F246" s="319"/>
      <c r="G246" s="319" t="s">
        <v>3258</v>
      </c>
      <c r="H246" s="319" t="s">
        <v>2638</v>
      </c>
      <c r="I246" s="319" t="s">
        <v>3259</v>
      </c>
    </row>
    <row r="247" customFormat="false" ht="21.75" hidden="false" customHeight="true" outlineLevel="0" collapsed="false">
      <c r="A247" s="319" t="s">
        <v>3256</v>
      </c>
      <c r="B247" s="319" t="s">
        <v>1079</v>
      </c>
      <c r="C247" s="319" t="s">
        <v>711</v>
      </c>
      <c r="D247" s="319" t="s">
        <v>2866</v>
      </c>
      <c r="E247" s="319" t="s">
        <v>3260</v>
      </c>
      <c r="F247" s="319"/>
      <c r="G247" s="319" t="s">
        <v>3261</v>
      </c>
      <c r="H247" s="319" t="s">
        <v>2638</v>
      </c>
      <c r="I247" s="319"/>
    </row>
    <row r="248" customFormat="false" ht="42.75" hidden="false" customHeight="true" outlineLevel="0" collapsed="false">
      <c r="A248" s="319" t="s">
        <v>3256</v>
      </c>
      <c r="B248" s="319" t="s">
        <v>1079</v>
      </c>
      <c r="C248" s="319" t="s">
        <v>711</v>
      </c>
      <c r="D248" s="319" t="s">
        <v>2619</v>
      </c>
      <c r="E248" s="319"/>
      <c r="F248" s="319" t="s">
        <v>3262</v>
      </c>
      <c r="G248" s="319" t="s">
        <v>3263</v>
      </c>
      <c r="H248" s="319" t="s">
        <v>2638</v>
      </c>
      <c r="I248" s="319" t="s">
        <v>3264</v>
      </c>
    </row>
    <row r="249" customFormat="false" ht="21.75" hidden="false" customHeight="true" outlineLevel="0" collapsed="false">
      <c r="A249" s="319" t="s">
        <v>3256</v>
      </c>
      <c r="B249" s="319" t="s">
        <v>1079</v>
      </c>
      <c r="C249" s="319" t="s">
        <v>711</v>
      </c>
      <c r="D249" s="319" t="s">
        <v>2619</v>
      </c>
      <c r="E249" s="319"/>
      <c r="F249" s="319" t="s">
        <v>3265</v>
      </c>
      <c r="G249" s="319" t="s">
        <v>3266</v>
      </c>
      <c r="H249" s="319" t="s">
        <v>2638</v>
      </c>
      <c r="I249" s="319" t="s">
        <v>3267</v>
      </c>
    </row>
    <row r="250" customFormat="false" ht="42.75" hidden="false" customHeight="true" outlineLevel="0" collapsed="false">
      <c r="A250" s="319" t="s">
        <v>3256</v>
      </c>
      <c r="B250" s="319" t="s">
        <v>1079</v>
      </c>
      <c r="C250" s="319" t="s">
        <v>711</v>
      </c>
      <c r="D250" s="319" t="s">
        <v>2619</v>
      </c>
      <c r="E250" s="319"/>
      <c r="F250" s="319" t="s">
        <v>3268</v>
      </c>
      <c r="G250" s="319" t="s">
        <v>3269</v>
      </c>
      <c r="H250" s="319" t="s">
        <v>2622</v>
      </c>
      <c r="I250" s="319" t="s">
        <v>3270</v>
      </c>
    </row>
    <row r="251" customFormat="false" ht="32.25" hidden="false" customHeight="true" outlineLevel="0" collapsed="false">
      <c r="A251" s="319" t="s">
        <v>3256</v>
      </c>
      <c r="B251" s="319" t="s">
        <v>1079</v>
      </c>
      <c r="C251" s="319" t="s">
        <v>712</v>
      </c>
      <c r="D251" s="319" t="s">
        <v>2916</v>
      </c>
      <c r="E251" s="319" t="s">
        <v>3271</v>
      </c>
      <c r="F251" s="319" t="s">
        <v>3272</v>
      </c>
      <c r="G251" s="319" t="s">
        <v>3273</v>
      </c>
      <c r="H251" s="319" t="s">
        <v>2638</v>
      </c>
      <c r="I251" s="319" t="s">
        <v>3274</v>
      </c>
    </row>
    <row r="252" customFormat="false" ht="21.75" hidden="false" customHeight="true" outlineLevel="0" collapsed="false">
      <c r="A252" s="319" t="s">
        <v>3256</v>
      </c>
      <c r="B252" s="319" t="s">
        <v>1079</v>
      </c>
      <c r="C252" s="319" t="s">
        <v>712</v>
      </c>
      <c r="D252" s="319" t="s">
        <v>2940</v>
      </c>
      <c r="E252" s="319" t="s">
        <v>3275</v>
      </c>
      <c r="F252" s="319" t="s">
        <v>3276</v>
      </c>
      <c r="G252" s="319"/>
      <c r="H252" s="319" t="s">
        <v>2638</v>
      </c>
      <c r="I252" s="319" t="s">
        <v>3277</v>
      </c>
    </row>
    <row r="253" customFormat="false" ht="21.75" hidden="false" customHeight="true" outlineLevel="0" collapsed="false">
      <c r="A253" s="319" t="s">
        <v>3256</v>
      </c>
      <c r="B253" s="319" t="s">
        <v>1079</v>
      </c>
      <c r="C253" s="319" t="s">
        <v>712</v>
      </c>
      <c r="D253" s="319" t="s">
        <v>2962</v>
      </c>
      <c r="E253" s="319" t="s">
        <v>3278</v>
      </c>
      <c r="F253" s="319"/>
      <c r="G253" s="319"/>
      <c r="H253" s="319"/>
      <c r="I253" s="319"/>
    </row>
    <row r="254" customFormat="false" ht="21.75" hidden="false" customHeight="true" outlineLevel="0" collapsed="false">
      <c r="A254" s="319" t="s">
        <v>3256</v>
      </c>
      <c r="B254" s="319" t="s">
        <v>1079</v>
      </c>
      <c r="C254" s="319" t="s">
        <v>2635</v>
      </c>
      <c r="D254" s="319" t="s">
        <v>2866</v>
      </c>
      <c r="E254" s="319" t="s">
        <v>3279</v>
      </c>
      <c r="F254" s="319"/>
      <c r="G254" s="319" t="s">
        <v>3280</v>
      </c>
      <c r="H254" s="319" t="s">
        <v>2638</v>
      </c>
      <c r="I254" s="319" t="s">
        <v>3281</v>
      </c>
    </row>
    <row r="255" customFormat="false" ht="21.75" hidden="false" customHeight="true" outlineLevel="0" collapsed="false">
      <c r="A255" s="319" t="s">
        <v>3256</v>
      </c>
      <c r="B255" s="319" t="s">
        <v>1079</v>
      </c>
      <c r="C255" s="319" t="s">
        <v>2635</v>
      </c>
      <c r="D255" s="319" t="s">
        <v>2866</v>
      </c>
      <c r="E255" s="319" t="s">
        <v>3282</v>
      </c>
      <c r="F255" s="319"/>
      <c r="G255" s="319" t="s">
        <v>3261</v>
      </c>
      <c r="H255" s="319" t="s">
        <v>2638</v>
      </c>
      <c r="I255" s="319"/>
    </row>
    <row r="256" customFormat="false" ht="21.75" hidden="false" customHeight="true" outlineLevel="0" collapsed="false">
      <c r="A256" s="319" t="s">
        <v>3256</v>
      </c>
      <c r="B256" s="319" t="s">
        <v>1079</v>
      </c>
      <c r="C256" s="319" t="s">
        <v>2635</v>
      </c>
      <c r="D256" s="319" t="s">
        <v>2619</v>
      </c>
      <c r="E256" s="319"/>
      <c r="F256" s="319" t="s">
        <v>3283</v>
      </c>
      <c r="G256" s="319" t="s">
        <v>3284</v>
      </c>
      <c r="H256" s="319" t="s">
        <v>2638</v>
      </c>
      <c r="I256" s="319" t="s">
        <v>3285</v>
      </c>
    </row>
    <row r="257" customFormat="false" ht="32.25" hidden="false" customHeight="true" outlineLevel="0" collapsed="false">
      <c r="A257" s="319" t="s">
        <v>3256</v>
      </c>
      <c r="B257" s="319" t="s">
        <v>1079</v>
      </c>
      <c r="C257" s="319" t="s">
        <v>2642</v>
      </c>
      <c r="D257" s="319" t="s">
        <v>2866</v>
      </c>
      <c r="E257" s="319" t="s">
        <v>1087</v>
      </c>
      <c r="F257" s="319"/>
      <c r="G257" s="319"/>
      <c r="H257" s="319" t="s">
        <v>2638</v>
      </c>
      <c r="I257" s="319" t="s">
        <v>3286</v>
      </c>
    </row>
    <row r="258" customFormat="false" ht="42.75" hidden="false" customHeight="true" outlineLevel="0" collapsed="false">
      <c r="A258" s="319" t="s">
        <v>3256</v>
      </c>
      <c r="B258" s="319" t="s">
        <v>1079</v>
      </c>
      <c r="C258" s="319" t="s">
        <v>2660</v>
      </c>
      <c r="D258" s="319" t="s">
        <v>2661</v>
      </c>
      <c r="E258" s="319"/>
      <c r="F258" s="319" t="s">
        <v>3287</v>
      </c>
      <c r="G258" s="319"/>
      <c r="H258" s="319" t="s">
        <v>2778</v>
      </c>
      <c r="I258" s="319"/>
    </row>
    <row r="259" customFormat="false" ht="32.25" hidden="false" customHeight="true" outlineLevel="0" collapsed="false">
      <c r="A259" s="319" t="s">
        <v>3288</v>
      </c>
      <c r="B259" s="319" t="s">
        <v>1094</v>
      </c>
      <c r="C259" s="319" t="s">
        <v>711</v>
      </c>
      <c r="D259" s="319" t="s">
        <v>2866</v>
      </c>
      <c r="E259" s="319" t="s">
        <v>3289</v>
      </c>
      <c r="F259" s="319"/>
      <c r="G259" s="319" t="s">
        <v>3290</v>
      </c>
      <c r="H259" s="319" t="s">
        <v>2638</v>
      </c>
      <c r="I259" s="319" t="s">
        <v>3291</v>
      </c>
    </row>
    <row r="260" customFormat="false" ht="21.75" hidden="false" customHeight="true" outlineLevel="0" collapsed="false">
      <c r="A260" s="319" t="s">
        <v>3288</v>
      </c>
      <c r="B260" s="319" t="s">
        <v>1094</v>
      </c>
      <c r="C260" s="319" t="s">
        <v>711</v>
      </c>
      <c r="D260" s="319" t="s">
        <v>2866</v>
      </c>
      <c r="E260" s="319" t="s">
        <v>3292</v>
      </c>
      <c r="F260" s="319"/>
      <c r="G260" s="319" t="s">
        <v>3293</v>
      </c>
      <c r="H260" s="319" t="s">
        <v>2638</v>
      </c>
      <c r="I260" s="319"/>
    </row>
    <row r="261" customFormat="false" ht="32.25" hidden="false" customHeight="true" outlineLevel="0" collapsed="false">
      <c r="A261" s="319" t="s">
        <v>3288</v>
      </c>
      <c r="B261" s="319" t="s">
        <v>1094</v>
      </c>
      <c r="C261" s="319" t="s">
        <v>711</v>
      </c>
      <c r="D261" s="319" t="s">
        <v>2619</v>
      </c>
      <c r="E261" s="319"/>
      <c r="F261" s="319" t="s">
        <v>3294</v>
      </c>
      <c r="G261" s="319" t="s">
        <v>3295</v>
      </c>
      <c r="H261" s="319" t="s">
        <v>2638</v>
      </c>
      <c r="I261" s="319" t="s">
        <v>3296</v>
      </c>
    </row>
    <row r="262" customFormat="false" ht="32.25" hidden="false" customHeight="true" outlineLevel="0" collapsed="false">
      <c r="A262" s="319" t="s">
        <v>3288</v>
      </c>
      <c r="B262" s="319" t="s">
        <v>1094</v>
      </c>
      <c r="C262" s="319" t="s">
        <v>711</v>
      </c>
      <c r="D262" s="319" t="s">
        <v>2619</v>
      </c>
      <c r="E262" s="319"/>
      <c r="F262" s="319" t="s">
        <v>3297</v>
      </c>
      <c r="G262" s="319" t="s">
        <v>3298</v>
      </c>
      <c r="H262" s="319" t="s">
        <v>2622</v>
      </c>
      <c r="I262" s="319" t="s">
        <v>3299</v>
      </c>
    </row>
    <row r="263" customFormat="false" ht="21.75" hidden="false" customHeight="true" outlineLevel="0" collapsed="false">
      <c r="A263" s="319" t="s">
        <v>3288</v>
      </c>
      <c r="B263" s="319" t="s">
        <v>1094</v>
      </c>
      <c r="C263" s="319" t="s">
        <v>711</v>
      </c>
      <c r="D263" s="319" t="s">
        <v>2619</v>
      </c>
      <c r="E263" s="319"/>
      <c r="F263" s="319" t="s">
        <v>3300</v>
      </c>
      <c r="G263" s="319" t="s">
        <v>3301</v>
      </c>
      <c r="H263" s="319" t="s">
        <v>2638</v>
      </c>
      <c r="I263" s="319" t="s">
        <v>3302</v>
      </c>
    </row>
    <row r="264" customFormat="false" ht="21.75" hidden="false" customHeight="true" outlineLevel="0" collapsed="false">
      <c r="A264" s="319" t="s">
        <v>3288</v>
      </c>
      <c r="B264" s="319" t="s">
        <v>1094</v>
      </c>
      <c r="C264" s="319" t="s">
        <v>712</v>
      </c>
      <c r="D264" s="319" t="s">
        <v>2953</v>
      </c>
      <c r="E264" s="319" t="s">
        <v>3303</v>
      </c>
      <c r="F264" s="319" t="s">
        <v>3304</v>
      </c>
      <c r="G264" s="319" t="s">
        <v>3305</v>
      </c>
      <c r="H264" s="319" t="s">
        <v>2638</v>
      </c>
      <c r="I264" s="319" t="s">
        <v>3306</v>
      </c>
    </row>
    <row r="265" customFormat="false" ht="21.75" hidden="false" customHeight="true" outlineLevel="0" collapsed="false">
      <c r="A265" s="319" t="s">
        <v>3288</v>
      </c>
      <c r="B265" s="319" t="s">
        <v>1094</v>
      </c>
      <c r="C265" s="319" t="s">
        <v>712</v>
      </c>
      <c r="D265" s="319" t="s">
        <v>2953</v>
      </c>
      <c r="E265" s="319" t="s">
        <v>3307</v>
      </c>
      <c r="F265" s="319" t="s">
        <v>3308</v>
      </c>
      <c r="G265" s="319" t="s">
        <v>3309</v>
      </c>
      <c r="H265" s="319" t="s">
        <v>2638</v>
      </c>
      <c r="I265" s="319"/>
    </row>
    <row r="266" customFormat="false" ht="32.25" hidden="false" customHeight="true" outlineLevel="0" collapsed="false">
      <c r="A266" s="319" t="s">
        <v>3288</v>
      </c>
      <c r="B266" s="319" t="s">
        <v>1094</v>
      </c>
      <c r="C266" s="319" t="s">
        <v>712</v>
      </c>
      <c r="D266" s="319" t="s">
        <v>2619</v>
      </c>
      <c r="E266" s="319"/>
      <c r="F266" s="319" t="s">
        <v>3310</v>
      </c>
      <c r="G266" s="319" t="s">
        <v>3311</v>
      </c>
      <c r="H266" s="319" t="s">
        <v>2622</v>
      </c>
      <c r="I266" s="319" t="s">
        <v>3312</v>
      </c>
    </row>
    <row r="267" customFormat="false" ht="32.25" hidden="false" customHeight="true" outlineLevel="0" collapsed="false">
      <c r="A267" s="319" t="s">
        <v>3288</v>
      </c>
      <c r="B267" s="319" t="s">
        <v>1094</v>
      </c>
      <c r="C267" s="319" t="s">
        <v>2635</v>
      </c>
      <c r="D267" s="319" t="s">
        <v>2940</v>
      </c>
      <c r="E267" s="319" t="s">
        <v>3313</v>
      </c>
      <c r="F267" s="319" t="s">
        <v>3314</v>
      </c>
      <c r="G267" s="319" t="s">
        <v>3290</v>
      </c>
      <c r="H267" s="319" t="s">
        <v>2638</v>
      </c>
      <c r="I267" s="319" t="s">
        <v>3315</v>
      </c>
    </row>
    <row r="268" customFormat="false" ht="21.75" hidden="false" customHeight="true" outlineLevel="0" collapsed="false">
      <c r="A268" s="319" t="s">
        <v>3288</v>
      </c>
      <c r="B268" s="319" t="s">
        <v>1094</v>
      </c>
      <c r="C268" s="319" t="s">
        <v>2635</v>
      </c>
      <c r="D268" s="319" t="s">
        <v>2940</v>
      </c>
      <c r="E268" s="319" t="s">
        <v>3316</v>
      </c>
      <c r="F268" s="319" t="s">
        <v>3317</v>
      </c>
      <c r="G268" s="319" t="s">
        <v>3318</v>
      </c>
      <c r="H268" s="319" t="s">
        <v>2638</v>
      </c>
      <c r="I268" s="319"/>
    </row>
    <row r="269" customFormat="false" ht="32.25" hidden="false" customHeight="true" outlineLevel="0" collapsed="false">
      <c r="A269" s="319" t="s">
        <v>3288</v>
      </c>
      <c r="B269" s="319" t="s">
        <v>1094</v>
      </c>
      <c r="C269" s="319" t="s">
        <v>2635</v>
      </c>
      <c r="D269" s="319" t="s">
        <v>2619</v>
      </c>
      <c r="E269" s="319"/>
      <c r="F269" s="319" t="s">
        <v>3319</v>
      </c>
      <c r="G269" s="319" t="s">
        <v>3320</v>
      </c>
      <c r="H269" s="319" t="s">
        <v>2626</v>
      </c>
      <c r="I269" s="319" t="s">
        <v>3321</v>
      </c>
    </row>
    <row r="270" customFormat="false" ht="32.25" hidden="false" customHeight="true" outlineLevel="0" collapsed="false">
      <c r="A270" s="319" t="s">
        <v>3288</v>
      </c>
      <c r="B270" s="319" t="s">
        <v>1094</v>
      </c>
      <c r="C270" s="319" t="s">
        <v>2635</v>
      </c>
      <c r="D270" s="319" t="s">
        <v>2619</v>
      </c>
      <c r="E270" s="319"/>
      <c r="F270" s="319" t="s">
        <v>3322</v>
      </c>
      <c r="G270" s="319" t="s">
        <v>3295</v>
      </c>
      <c r="H270" s="319" t="s">
        <v>2638</v>
      </c>
      <c r="I270" s="319" t="s">
        <v>3323</v>
      </c>
    </row>
    <row r="271" customFormat="false" ht="42.75" hidden="false" customHeight="true" outlineLevel="0" collapsed="false">
      <c r="A271" s="319" t="s">
        <v>3288</v>
      </c>
      <c r="B271" s="319" t="s">
        <v>1094</v>
      </c>
      <c r="C271" s="319" t="s">
        <v>2642</v>
      </c>
      <c r="D271" s="319" t="s">
        <v>2953</v>
      </c>
      <c r="E271" s="319" t="s">
        <v>3324</v>
      </c>
      <c r="F271" s="319" t="s">
        <v>3325</v>
      </c>
      <c r="G271" s="319" t="s">
        <v>3326</v>
      </c>
      <c r="H271" s="319" t="s">
        <v>2622</v>
      </c>
      <c r="I271" s="319" t="s">
        <v>3327</v>
      </c>
    </row>
    <row r="272" customFormat="false" ht="32.25" hidden="false" customHeight="true" outlineLevel="0" collapsed="false">
      <c r="A272" s="319" t="s">
        <v>3288</v>
      </c>
      <c r="B272" s="319" t="s">
        <v>1094</v>
      </c>
      <c r="C272" s="319" t="s">
        <v>2642</v>
      </c>
      <c r="D272" s="319" t="s">
        <v>2619</v>
      </c>
      <c r="E272" s="319"/>
      <c r="F272" s="319" t="s">
        <v>3328</v>
      </c>
      <c r="G272" s="319" t="s">
        <v>3311</v>
      </c>
      <c r="H272" s="319" t="s">
        <v>2622</v>
      </c>
      <c r="I272" s="319" t="s">
        <v>3329</v>
      </c>
    </row>
    <row r="273" customFormat="false" ht="42.75" hidden="false" customHeight="true" outlineLevel="0" collapsed="false">
      <c r="A273" s="319" t="s">
        <v>3288</v>
      </c>
      <c r="B273" s="319" t="s">
        <v>1094</v>
      </c>
      <c r="C273" s="319" t="s">
        <v>2660</v>
      </c>
      <c r="D273" s="319" t="s">
        <v>2661</v>
      </c>
      <c r="E273" s="319"/>
      <c r="F273" s="319" t="s">
        <v>3330</v>
      </c>
      <c r="G273" s="319"/>
      <c r="H273" s="319" t="s">
        <v>2663</v>
      </c>
      <c r="I273" s="319"/>
    </row>
    <row r="274" customFormat="false" ht="21.75" hidden="false" customHeight="true" outlineLevel="0" collapsed="false">
      <c r="A274" s="319" t="s">
        <v>3331</v>
      </c>
      <c r="B274" s="319" t="s">
        <v>1111</v>
      </c>
      <c r="C274" s="319" t="s">
        <v>711</v>
      </c>
      <c r="D274" s="319" t="s">
        <v>2866</v>
      </c>
      <c r="E274" s="319" t="s">
        <v>3332</v>
      </c>
      <c r="F274" s="319"/>
      <c r="G274" s="319" t="s">
        <v>3333</v>
      </c>
      <c r="H274" s="319" t="s">
        <v>2638</v>
      </c>
      <c r="I274" s="319"/>
    </row>
    <row r="275" customFormat="false" ht="32.25" hidden="false" customHeight="true" outlineLevel="0" collapsed="false">
      <c r="A275" s="319" t="s">
        <v>3331</v>
      </c>
      <c r="B275" s="319" t="s">
        <v>1111</v>
      </c>
      <c r="C275" s="319" t="s">
        <v>711</v>
      </c>
      <c r="D275" s="319" t="s">
        <v>2916</v>
      </c>
      <c r="E275" s="319" t="s">
        <v>3334</v>
      </c>
      <c r="F275" s="319" t="s">
        <v>3335</v>
      </c>
      <c r="G275" s="319" t="s">
        <v>3336</v>
      </c>
      <c r="H275" s="319" t="s">
        <v>2626</v>
      </c>
      <c r="I275" s="319" t="s">
        <v>3337</v>
      </c>
    </row>
    <row r="276" customFormat="false" ht="32.25" hidden="false" customHeight="true" outlineLevel="0" collapsed="false">
      <c r="A276" s="319" t="s">
        <v>3331</v>
      </c>
      <c r="B276" s="319" t="s">
        <v>1111</v>
      </c>
      <c r="C276" s="319" t="s">
        <v>711</v>
      </c>
      <c r="D276" s="319" t="s">
        <v>2619</v>
      </c>
      <c r="E276" s="319"/>
      <c r="F276" s="319" t="s">
        <v>3338</v>
      </c>
      <c r="G276" s="319" t="s">
        <v>3339</v>
      </c>
      <c r="H276" s="319" t="s">
        <v>2638</v>
      </c>
      <c r="I276" s="319" t="s">
        <v>3340</v>
      </c>
    </row>
    <row r="277" customFormat="false" ht="21.75" hidden="false" customHeight="true" outlineLevel="0" collapsed="false">
      <c r="A277" s="319" t="s">
        <v>3331</v>
      </c>
      <c r="B277" s="319" t="s">
        <v>1111</v>
      </c>
      <c r="C277" s="319" t="s">
        <v>711</v>
      </c>
      <c r="D277" s="319" t="s">
        <v>2619</v>
      </c>
      <c r="E277" s="319"/>
      <c r="F277" s="319" t="s">
        <v>3341</v>
      </c>
      <c r="G277" s="319" t="s">
        <v>3342</v>
      </c>
      <c r="H277" s="319" t="s">
        <v>2638</v>
      </c>
      <c r="I277" s="319" t="s">
        <v>3343</v>
      </c>
    </row>
    <row r="278" customFormat="false" ht="42.75" hidden="false" customHeight="true" outlineLevel="0" collapsed="false">
      <c r="A278" s="319" t="s">
        <v>3331</v>
      </c>
      <c r="B278" s="319" t="s">
        <v>1111</v>
      </c>
      <c r="C278" s="319" t="s">
        <v>711</v>
      </c>
      <c r="D278" s="319" t="s">
        <v>2619</v>
      </c>
      <c r="E278" s="319"/>
      <c r="F278" s="319" t="s">
        <v>3344</v>
      </c>
      <c r="G278" s="319" t="s">
        <v>3345</v>
      </c>
      <c r="H278" s="319" t="s">
        <v>2622</v>
      </c>
      <c r="I278" s="319" t="s">
        <v>3346</v>
      </c>
    </row>
    <row r="279" customFormat="false" ht="42.75" hidden="false" customHeight="true" outlineLevel="0" collapsed="false">
      <c r="A279" s="319" t="s">
        <v>3331</v>
      </c>
      <c r="B279" s="319" t="s">
        <v>1111</v>
      </c>
      <c r="C279" s="319" t="s">
        <v>711</v>
      </c>
      <c r="D279" s="319" t="s">
        <v>2619</v>
      </c>
      <c r="E279" s="319"/>
      <c r="F279" s="319" t="s">
        <v>3347</v>
      </c>
      <c r="G279" s="319" t="s">
        <v>3348</v>
      </c>
      <c r="H279" s="319" t="s">
        <v>2638</v>
      </c>
      <c r="I279" s="319" t="s">
        <v>3349</v>
      </c>
    </row>
    <row r="280" customFormat="false" ht="21.75" hidden="false" customHeight="true" outlineLevel="0" collapsed="false">
      <c r="A280" s="319" t="s">
        <v>3331</v>
      </c>
      <c r="B280" s="319" t="s">
        <v>1111</v>
      </c>
      <c r="C280" s="319" t="s">
        <v>712</v>
      </c>
      <c r="D280" s="319" t="s">
        <v>2953</v>
      </c>
      <c r="E280" s="319" t="s">
        <v>3350</v>
      </c>
      <c r="F280" s="319" t="s">
        <v>3351</v>
      </c>
      <c r="G280" s="319" t="s">
        <v>3352</v>
      </c>
      <c r="H280" s="319" t="s">
        <v>2638</v>
      </c>
      <c r="I280" s="319"/>
    </row>
    <row r="281" customFormat="false" ht="21.75" hidden="false" customHeight="true" outlineLevel="0" collapsed="false">
      <c r="A281" s="319" t="s">
        <v>3331</v>
      </c>
      <c r="B281" s="319" t="s">
        <v>1111</v>
      </c>
      <c r="C281" s="319" t="s">
        <v>712</v>
      </c>
      <c r="D281" s="319" t="s">
        <v>2866</v>
      </c>
      <c r="E281" s="319" t="s">
        <v>3353</v>
      </c>
      <c r="F281" s="319"/>
      <c r="G281" s="319" t="s">
        <v>3354</v>
      </c>
      <c r="H281" s="319" t="s">
        <v>2638</v>
      </c>
      <c r="I281" s="319"/>
    </row>
    <row r="282" customFormat="false" ht="32.25" hidden="false" customHeight="true" outlineLevel="0" collapsed="false">
      <c r="A282" s="319" t="s">
        <v>3331</v>
      </c>
      <c r="B282" s="319" t="s">
        <v>1111</v>
      </c>
      <c r="C282" s="319" t="s">
        <v>712</v>
      </c>
      <c r="D282" s="319" t="s">
        <v>2619</v>
      </c>
      <c r="E282" s="319"/>
      <c r="F282" s="319" t="s">
        <v>3355</v>
      </c>
      <c r="G282" s="319" t="s">
        <v>3348</v>
      </c>
      <c r="H282" s="319" t="s">
        <v>2638</v>
      </c>
      <c r="I282" s="319" t="s">
        <v>3356</v>
      </c>
    </row>
    <row r="283" customFormat="false" ht="32.25" hidden="false" customHeight="true" outlineLevel="0" collapsed="false">
      <c r="A283" s="319" t="s">
        <v>3331</v>
      </c>
      <c r="B283" s="319" t="s">
        <v>1111</v>
      </c>
      <c r="C283" s="319" t="s">
        <v>2635</v>
      </c>
      <c r="D283" s="319" t="s">
        <v>2866</v>
      </c>
      <c r="E283" s="319" t="s">
        <v>3357</v>
      </c>
      <c r="F283" s="319"/>
      <c r="G283" s="319" t="s">
        <v>3358</v>
      </c>
      <c r="H283" s="319" t="s">
        <v>2638</v>
      </c>
      <c r="I283" s="319"/>
    </row>
    <row r="284" customFormat="false" ht="21.75" hidden="false" customHeight="true" outlineLevel="0" collapsed="false">
      <c r="A284" s="319" t="s">
        <v>3331</v>
      </c>
      <c r="B284" s="319" t="s">
        <v>1111</v>
      </c>
      <c r="C284" s="319" t="s">
        <v>2635</v>
      </c>
      <c r="D284" s="319" t="s">
        <v>2916</v>
      </c>
      <c r="E284" s="319" t="s">
        <v>3359</v>
      </c>
      <c r="F284" s="319" t="s">
        <v>3360</v>
      </c>
      <c r="G284" s="319" t="s">
        <v>3354</v>
      </c>
      <c r="H284" s="319" t="s">
        <v>2626</v>
      </c>
      <c r="I284" s="319"/>
    </row>
    <row r="285" customFormat="false" ht="21.75" hidden="false" customHeight="true" outlineLevel="0" collapsed="false">
      <c r="A285" s="319" t="s">
        <v>3331</v>
      </c>
      <c r="B285" s="319" t="s">
        <v>1111</v>
      </c>
      <c r="C285" s="319" t="s">
        <v>2635</v>
      </c>
      <c r="D285" s="319" t="s">
        <v>2916</v>
      </c>
      <c r="E285" s="319" t="s">
        <v>3361</v>
      </c>
      <c r="F285" s="319" t="s">
        <v>3362</v>
      </c>
      <c r="G285" s="319" t="s">
        <v>3354</v>
      </c>
      <c r="H285" s="319" t="s">
        <v>2626</v>
      </c>
      <c r="I285" s="319"/>
    </row>
    <row r="286" customFormat="false" ht="32.25" hidden="false" customHeight="true" outlineLevel="0" collapsed="false">
      <c r="A286" s="319" t="s">
        <v>3331</v>
      </c>
      <c r="B286" s="319" t="s">
        <v>1111</v>
      </c>
      <c r="C286" s="319" t="s">
        <v>2635</v>
      </c>
      <c r="D286" s="319" t="s">
        <v>2619</v>
      </c>
      <c r="E286" s="319"/>
      <c r="F286" s="319" t="s">
        <v>3363</v>
      </c>
      <c r="G286" s="319" t="s">
        <v>3348</v>
      </c>
      <c r="H286" s="319" t="s">
        <v>2638</v>
      </c>
      <c r="I286" s="319" t="s">
        <v>3364</v>
      </c>
    </row>
    <row r="287" customFormat="false" ht="32.25" hidden="false" customHeight="true" outlineLevel="0" collapsed="false">
      <c r="A287" s="319" t="s">
        <v>3331</v>
      </c>
      <c r="B287" s="319" t="s">
        <v>1111</v>
      </c>
      <c r="C287" s="319" t="s">
        <v>2635</v>
      </c>
      <c r="D287" s="319" t="s">
        <v>2619</v>
      </c>
      <c r="E287" s="319"/>
      <c r="F287" s="319" t="s">
        <v>3365</v>
      </c>
      <c r="G287" s="319" t="s">
        <v>3339</v>
      </c>
      <c r="H287" s="319" t="s">
        <v>2622</v>
      </c>
      <c r="I287" s="319" t="s">
        <v>3366</v>
      </c>
    </row>
    <row r="288" customFormat="false" ht="32.25" hidden="false" customHeight="true" outlineLevel="0" collapsed="false">
      <c r="A288" s="319" t="s">
        <v>3331</v>
      </c>
      <c r="B288" s="319" t="s">
        <v>1111</v>
      </c>
      <c r="C288" s="319" t="s">
        <v>2642</v>
      </c>
      <c r="D288" s="319" t="s">
        <v>2940</v>
      </c>
      <c r="E288" s="319" t="s">
        <v>3367</v>
      </c>
      <c r="F288" s="319" t="s">
        <v>3368</v>
      </c>
      <c r="G288" s="319" t="s">
        <v>3336</v>
      </c>
      <c r="H288" s="319" t="s">
        <v>2638</v>
      </c>
      <c r="I288" s="319" t="s">
        <v>3369</v>
      </c>
    </row>
    <row r="289" customFormat="false" ht="42.75" hidden="false" customHeight="true" outlineLevel="0" collapsed="false">
      <c r="A289" s="319" t="s">
        <v>3331</v>
      </c>
      <c r="B289" s="319" t="s">
        <v>1111</v>
      </c>
      <c r="C289" s="319" t="s">
        <v>2642</v>
      </c>
      <c r="D289" s="319" t="s">
        <v>2940</v>
      </c>
      <c r="E289" s="319" t="s">
        <v>3370</v>
      </c>
      <c r="F289" s="319" t="s">
        <v>3371</v>
      </c>
      <c r="G289" s="319" t="s">
        <v>3372</v>
      </c>
      <c r="H289" s="319" t="s">
        <v>2638</v>
      </c>
      <c r="I289" s="319" t="s">
        <v>3373</v>
      </c>
    </row>
    <row r="290" customFormat="false" ht="21.75" hidden="false" customHeight="true" outlineLevel="0" collapsed="false">
      <c r="A290" s="319" t="s">
        <v>3331</v>
      </c>
      <c r="B290" s="319" t="s">
        <v>1111</v>
      </c>
      <c r="C290" s="319" t="s">
        <v>2642</v>
      </c>
      <c r="D290" s="319" t="s">
        <v>2619</v>
      </c>
      <c r="E290" s="319"/>
      <c r="F290" s="319" t="s">
        <v>3374</v>
      </c>
      <c r="G290" s="319" t="s">
        <v>3348</v>
      </c>
      <c r="H290" s="319" t="s">
        <v>2638</v>
      </c>
      <c r="I290" s="319" t="s">
        <v>3375</v>
      </c>
    </row>
    <row r="291" customFormat="false" ht="42.75" hidden="false" customHeight="true" outlineLevel="0" collapsed="false">
      <c r="A291" s="319" t="s">
        <v>3331</v>
      </c>
      <c r="B291" s="319" t="s">
        <v>1111</v>
      </c>
      <c r="C291" s="319" t="s">
        <v>2660</v>
      </c>
      <c r="D291" s="319" t="s">
        <v>2661</v>
      </c>
      <c r="E291" s="319"/>
      <c r="F291" s="319" t="s">
        <v>3376</v>
      </c>
      <c r="G291" s="319"/>
      <c r="H291" s="319" t="s">
        <v>2778</v>
      </c>
      <c r="I291" s="319"/>
    </row>
    <row r="292" customFormat="false" ht="42.75" hidden="false" customHeight="true" outlineLevel="0" collapsed="false">
      <c r="A292" s="319" t="s">
        <v>3377</v>
      </c>
      <c r="B292" s="319" t="s">
        <v>1125</v>
      </c>
      <c r="C292" s="319" t="s">
        <v>711</v>
      </c>
      <c r="D292" s="319" t="s">
        <v>2916</v>
      </c>
      <c r="E292" s="319" t="s">
        <v>3378</v>
      </c>
      <c r="F292" s="319" t="s">
        <v>3379</v>
      </c>
      <c r="G292" s="319" t="s">
        <v>3380</v>
      </c>
      <c r="H292" s="319" t="s">
        <v>2638</v>
      </c>
      <c r="I292" s="319" t="s">
        <v>3381</v>
      </c>
    </row>
    <row r="293" customFormat="false" ht="21.75" hidden="false" customHeight="true" outlineLevel="0" collapsed="false">
      <c r="A293" s="319" t="s">
        <v>3377</v>
      </c>
      <c r="B293" s="319" t="s">
        <v>1125</v>
      </c>
      <c r="C293" s="319" t="s">
        <v>711</v>
      </c>
      <c r="D293" s="319" t="s">
        <v>2916</v>
      </c>
      <c r="E293" s="319" t="s">
        <v>3382</v>
      </c>
      <c r="F293" s="319" t="s">
        <v>3383</v>
      </c>
      <c r="G293" s="319" t="s">
        <v>3384</v>
      </c>
      <c r="H293" s="319" t="s">
        <v>2626</v>
      </c>
      <c r="I293" s="319"/>
    </row>
    <row r="294" customFormat="false" ht="32.25" hidden="false" customHeight="true" outlineLevel="0" collapsed="false">
      <c r="A294" s="319" t="s">
        <v>3377</v>
      </c>
      <c r="B294" s="319" t="s">
        <v>1125</v>
      </c>
      <c r="C294" s="319" t="s">
        <v>711</v>
      </c>
      <c r="D294" s="319" t="s">
        <v>2619</v>
      </c>
      <c r="E294" s="319"/>
      <c r="F294" s="319" t="s">
        <v>3385</v>
      </c>
      <c r="G294" s="319" t="s">
        <v>3386</v>
      </c>
      <c r="H294" s="319" t="s">
        <v>2638</v>
      </c>
      <c r="I294" s="319" t="s">
        <v>3387</v>
      </c>
    </row>
    <row r="295" customFormat="false" ht="32.25" hidden="false" customHeight="true" outlineLevel="0" collapsed="false">
      <c r="A295" s="319" t="s">
        <v>3377</v>
      </c>
      <c r="B295" s="319" t="s">
        <v>1125</v>
      </c>
      <c r="C295" s="319" t="s">
        <v>711</v>
      </c>
      <c r="D295" s="319" t="s">
        <v>2619</v>
      </c>
      <c r="E295" s="319"/>
      <c r="F295" s="319" t="s">
        <v>3388</v>
      </c>
      <c r="G295" s="319" t="s">
        <v>3389</v>
      </c>
      <c r="H295" s="319" t="s">
        <v>2638</v>
      </c>
      <c r="I295" s="319" t="s">
        <v>3390</v>
      </c>
    </row>
    <row r="296" customFormat="false" ht="32.25" hidden="false" customHeight="true" outlineLevel="0" collapsed="false">
      <c r="A296" s="319" t="s">
        <v>3377</v>
      </c>
      <c r="B296" s="319" t="s">
        <v>1125</v>
      </c>
      <c r="C296" s="319" t="s">
        <v>711</v>
      </c>
      <c r="D296" s="319" t="s">
        <v>2619</v>
      </c>
      <c r="E296" s="319"/>
      <c r="F296" s="319" t="s">
        <v>3391</v>
      </c>
      <c r="G296" s="319" t="s">
        <v>3392</v>
      </c>
      <c r="H296" s="319" t="s">
        <v>2638</v>
      </c>
      <c r="I296" s="319" t="s">
        <v>3393</v>
      </c>
    </row>
    <row r="297" customFormat="false" ht="21.75" hidden="false" customHeight="true" outlineLevel="0" collapsed="false">
      <c r="A297" s="319" t="s">
        <v>3377</v>
      </c>
      <c r="B297" s="319" t="s">
        <v>1125</v>
      </c>
      <c r="C297" s="319" t="s">
        <v>711</v>
      </c>
      <c r="D297" s="319" t="s">
        <v>2619</v>
      </c>
      <c r="E297" s="319"/>
      <c r="F297" s="319" t="s">
        <v>3394</v>
      </c>
      <c r="G297" s="319" t="s">
        <v>3395</v>
      </c>
      <c r="H297" s="319" t="s">
        <v>2626</v>
      </c>
      <c r="I297" s="319" t="s">
        <v>3396</v>
      </c>
    </row>
    <row r="298" customFormat="false" ht="21.75" hidden="false" customHeight="true" outlineLevel="0" collapsed="false">
      <c r="A298" s="319" t="s">
        <v>3377</v>
      </c>
      <c r="B298" s="319" t="s">
        <v>1125</v>
      </c>
      <c r="C298" s="319" t="s">
        <v>712</v>
      </c>
      <c r="D298" s="319" t="s">
        <v>2953</v>
      </c>
      <c r="E298" s="319" t="s">
        <v>3397</v>
      </c>
      <c r="F298" s="319" t="s">
        <v>3398</v>
      </c>
      <c r="G298" s="319" t="s">
        <v>3399</v>
      </c>
      <c r="H298" s="319" t="s">
        <v>2638</v>
      </c>
      <c r="I298" s="319"/>
    </row>
    <row r="299" customFormat="false" ht="32.25" hidden="false" customHeight="true" outlineLevel="0" collapsed="false">
      <c r="A299" s="319" t="s">
        <v>3377</v>
      </c>
      <c r="B299" s="319" t="s">
        <v>1125</v>
      </c>
      <c r="C299" s="319" t="s">
        <v>712</v>
      </c>
      <c r="D299" s="319" t="s">
        <v>2953</v>
      </c>
      <c r="E299" s="319" t="s">
        <v>3400</v>
      </c>
      <c r="F299" s="319" t="s">
        <v>3401</v>
      </c>
      <c r="G299" s="319" t="s">
        <v>3402</v>
      </c>
      <c r="H299" s="319" t="s">
        <v>2638</v>
      </c>
      <c r="I299" s="319"/>
    </row>
    <row r="300" customFormat="false" ht="21.75" hidden="false" customHeight="true" outlineLevel="0" collapsed="false">
      <c r="A300" s="319" t="s">
        <v>3377</v>
      </c>
      <c r="B300" s="319" t="s">
        <v>1125</v>
      </c>
      <c r="C300" s="319" t="s">
        <v>2635</v>
      </c>
      <c r="D300" s="319" t="s">
        <v>2916</v>
      </c>
      <c r="E300" s="319" t="s">
        <v>3403</v>
      </c>
      <c r="F300" s="319" t="s">
        <v>3404</v>
      </c>
      <c r="G300" s="319" t="s">
        <v>3380</v>
      </c>
      <c r="H300" s="319" t="s">
        <v>2626</v>
      </c>
      <c r="I300" s="319"/>
    </row>
    <row r="301" customFormat="false" ht="21.75" hidden="false" customHeight="true" outlineLevel="0" collapsed="false">
      <c r="A301" s="319" t="s">
        <v>3377</v>
      </c>
      <c r="B301" s="319" t="s">
        <v>1125</v>
      </c>
      <c r="C301" s="319" t="s">
        <v>2635</v>
      </c>
      <c r="D301" s="319" t="s">
        <v>2916</v>
      </c>
      <c r="E301" s="319" t="s">
        <v>3405</v>
      </c>
      <c r="F301" s="319" t="s">
        <v>3406</v>
      </c>
      <c r="G301" s="319" t="s">
        <v>3407</v>
      </c>
      <c r="H301" s="319" t="s">
        <v>2638</v>
      </c>
      <c r="I301" s="319" t="s">
        <v>3408</v>
      </c>
    </row>
    <row r="302" customFormat="false" ht="21.75" hidden="false" customHeight="true" outlineLevel="0" collapsed="false">
      <c r="A302" s="319" t="s">
        <v>3377</v>
      </c>
      <c r="B302" s="319" t="s">
        <v>1125</v>
      </c>
      <c r="C302" s="319" t="s">
        <v>2635</v>
      </c>
      <c r="D302" s="319" t="s">
        <v>2866</v>
      </c>
      <c r="E302" s="319" t="s">
        <v>3409</v>
      </c>
      <c r="F302" s="319"/>
      <c r="G302" s="319" t="s">
        <v>3410</v>
      </c>
      <c r="H302" s="319" t="s">
        <v>2638</v>
      </c>
      <c r="I302" s="319"/>
    </row>
    <row r="303" customFormat="false" ht="42.75" hidden="false" customHeight="true" outlineLevel="0" collapsed="false">
      <c r="A303" s="319" t="s">
        <v>3377</v>
      </c>
      <c r="B303" s="319" t="s">
        <v>1125</v>
      </c>
      <c r="C303" s="319" t="s">
        <v>2635</v>
      </c>
      <c r="D303" s="319" t="s">
        <v>2619</v>
      </c>
      <c r="E303" s="319"/>
      <c r="F303" s="319" t="s">
        <v>3411</v>
      </c>
      <c r="G303" s="319" t="s">
        <v>3412</v>
      </c>
      <c r="H303" s="319" t="s">
        <v>2638</v>
      </c>
      <c r="I303" s="319" t="s">
        <v>3413</v>
      </c>
    </row>
    <row r="304" customFormat="false" ht="21.75" hidden="false" customHeight="true" outlineLevel="0" collapsed="false">
      <c r="A304" s="319" t="s">
        <v>3377</v>
      </c>
      <c r="B304" s="319" t="s">
        <v>1125</v>
      </c>
      <c r="C304" s="319" t="s">
        <v>2642</v>
      </c>
      <c r="D304" s="319" t="s">
        <v>2866</v>
      </c>
      <c r="E304" s="319" t="s">
        <v>1087</v>
      </c>
      <c r="F304" s="319"/>
      <c r="G304" s="319"/>
      <c r="H304" s="319" t="s">
        <v>2638</v>
      </c>
      <c r="I304" s="319" t="s">
        <v>3414</v>
      </c>
    </row>
    <row r="305" customFormat="false" ht="42.75" hidden="false" customHeight="true" outlineLevel="0" collapsed="false">
      <c r="A305" s="319" t="s">
        <v>3377</v>
      </c>
      <c r="B305" s="319" t="s">
        <v>1125</v>
      </c>
      <c r="C305" s="319" t="s">
        <v>2660</v>
      </c>
      <c r="D305" s="319" t="s">
        <v>2661</v>
      </c>
      <c r="E305" s="319"/>
      <c r="F305" s="319" t="s">
        <v>3415</v>
      </c>
      <c r="G305" s="319"/>
      <c r="H305" s="319" t="s">
        <v>2663</v>
      </c>
      <c r="I305" s="319"/>
    </row>
    <row r="306" customFormat="false" ht="21.75" hidden="false" customHeight="true" outlineLevel="0" collapsed="false">
      <c r="A306" s="319" t="s">
        <v>3416</v>
      </c>
      <c r="B306" s="319" t="s">
        <v>3417</v>
      </c>
      <c r="C306" s="319" t="s">
        <v>711</v>
      </c>
      <c r="D306" s="319" t="s">
        <v>2866</v>
      </c>
      <c r="E306" s="319" t="s">
        <v>3418</v>
      </c>
      <c r="F306" s="319"/>
      <c r="G306" s="319" t="s">
        <v>3419</v>
      </c>
      <c r="H306" s="319" t="s">
        <v>2638</v>
      </c>
      <c r="I306" s="319"/>
    </row>
    <row r="307" customFormat="false" ht="21.75" hidden="false" customHeight="true" outlineLevel="0" collapsed="false">
      <c r="A307" s="319" t="s">
        <v>3416</v>
      </c>
      <c r="B307" s="319" t="s">
        <v>3417</v>
      </c>
      <c r="C307" s="319" t="s">
        <v>711</v>
      </c>
      <c r="D307" s="319" t="s">
        <v>2866</v>
      </c>
      <c r="E307" s="319" t="s">
        <v>3420</v>
      </c>
      <c r="F307" s="319"/>
      <c r="G307" s="319" t="s">
        <v>3421</v>
      </c>
      <c r="H307" s="319" t="s">
        <v>2638</v>
      </c>
      <c r="I307" s="319"/>
    </row>
    <row r="308" customFormat="false" ht="21.75" hidden="false" customHeight="true" outlineLevel="0" collapsed="false">
      <c r="A308" s="319" t="s">
        <v>3416</v>
      </c>
      <c r="B308" s="319" t="s">
        <v>3417</v>
      </c>
      <c r="C308" s="319" t="s">
        <v>711</v>
      </c>
      <c r="D308" s="319" t="s">
        <v>2866</v>
      </c>
      <c r="E308" s="319" t="s">
        <v>3422</v>
      </c>
      <c r="F308" s="319"/>
      <c r="G308" s="319" t="s">
        <v>3423</v>
      </c>
      <c r="H308" s="319" t="s">
        <v>2638</v>
      </c>
      <c r="I308" s="319"/>
    </row>
    <row r="309" customFormat="false" ht="42.75" hidden="false" customHeight="true" outlineLevel="0" collapsed="false">
      <c r="A309" s="319" t="s">
        <v>3416</v>
      </c>
      <c r="B309" s="319" t="s">
        <v>3417</v>
      </c>
      <c r="C309" s="319" t="s">
        <v>711</v>
      </c>
      <c r="D309" s="319" t="s">
        <v>2619</v>
      </c>
      <c r="E309" s="319"/>
      <c r="F309" s="319" t="s">
        <v>3424</v>
      </c>
      <c r="G309" s="319" t="s">
        <v>3419</v>
      </c>
      <c r="H309" s="319" t="s">
        <v>2638</v>
      </c>
      <c r="I309" s="319" t="s">
        <v>3425</v>
      </c>
    </row>
    <row r="310" customFormat="false" ht="42.75" hidden="false" customHeight="true" outlineLevel="0" collapsed="false">
      <c r="A310" s="319" t="s">
        <v>3416</v>
      </c>
      <c r="B310" s="319" t="s">
        <v>3417</v>
      </c>
      <c r="C310" s="319" t="s">
        <v>711</v>
      </c>
      <c r="D310" s="319" t="s">
        <v>2619</v>
      </c>
      <c r="E310" s="319"/>
      <c r="F310" s="319" t="s">
        <v>3426</v>
      </c>
      <c r="G310" s="319" t="s">
        <v>3427</v>
      </c>
      <c r="H310" s="319" t="s">
        <v>2622</v>
      </c>
      <c r="I310" s="319" t="s">
        <v>3428</v>
      </c>
    </row>
    <row r="311" customFormat="false" ht="32.25" hidden="false" customHeight="true" outlineLevel="0" collapsed="false">
      <c r="A311" s="319" t="s">
        <v>3416</v>
      </c>
      <c r="B311" s="319" t="s">
        <v>3417</v>
      </c>
      <c r="C311" s="319" t="s">
        <v>712</v>
      </c>
      <c r="D311" s="319" t="s">
        <v>2953</v>
      </c>
      <c r="E311" s="319" t="s">
        <v>3429</v>
      </c>
      <c r="F311" s="319" t="s">
        <v>3430</v>
      </c>
      <c r="G311" s="319" t="s">
        <v>3431</v>
      </c>
      <c r="H311" s="319" t="s">
        <v>2638</v>
      </c>
      <c r="I311" s="319"/>
    </row>
    <row r="312" customFormat="false" ht="53.25" hidden="false" customHeight="true" outlineLevel="0" collapsed="false">
      <c r="A312" s="319" t="s">
        <v>3416</v>
      </c>
      <c r="B312" s="319" t="s">
        <v>3417</v>
      </c>
      <c r="C312" s="319" t="s">
        <v>712</v>
      </c>
      <c r="D312" s="319" t="s">
        <v>2866</v>
      </c>
      <c r="E312" s="319" t="s">
        <v>3432</v>
      </c>
      <c r="F312" s="319"/>
      <c r="G312" s="319" t="s">
        <v>3419</v>
      </c>
      <c r="H312" s="319" t="s">
        <v>2622</v>
      </c>
      <c r="I312" s="319" t="s">
        <v>3433</v>
      </c>
    </row>
    <row r="313" customFormat="false" ht="42.75" hidden="false" customHeight="true" outlineLevel="0" collapsed="false">
      <c r="A313" s="319" t="s">
        <v>3416</v>
      </c>
      <c r="B313" s="319" t="s">
        <v>3417</v>
      </c>
      <c r="C313" s="319" t="s">
        <v>712</v>
      </c>
      <c r="D313" s="319" t="s">
        <v>2619</v>
      </c>
      <c r="E313" s="319"/>
      <c r="F313" s="319" t="s">
        <v>3434</v>
      </c>
      <c r="G313" s="319" t="s">
        <v>3435</v>
      </c>
      <c r="H313" s="319" t="s">
        <v>2622</v>
      </c>
      <c r="I313" s="319" t="s">
        <v>3436</v>
      </c>
    </row>
    <row r="314" customFormat="false" ht="21.75" hidden="false" customHeight="true" outlineLevel="0" collapsed="false">
      <c r="A314" s="319" t="s">
        <v>3416</v>
      </c>
      <c r="B314" s="319" t="s">
        <v>3417</v>
      </c>
      <c r="C314" s="319" t="s">
        <v>2635</v>
      </c>
      <c r="D314" s="319" t="s">
        <v>2866</v>
      </c>
      <c r="E314" s="319" t="s">
        <v>3437</v>
      </c>
      <c r="F314" s="319"/>
      <c r="G314" s="319" t="s">
        <v>3423</v>
      </c>
      <c r="H314" s="319" t="s">
        <v>2638</v>
      </c>
      <c r="I314" s="319"/>
    </row>
    <row r="315" customFormat="false" ht="21.75" hidden="false" customHeight="true" outlineLevel="0" collapsed="false">
      <c r="A315" s="319" t="s">
        <v>3416</v>
      </c>
      <c r="B315" s="319" t="s">
        <v>3417</v>
      </c>
      <c r="C315" s="319" t="s">
        <v>2635</v>
      </c>
      <c r="D315" s="319" t="s">
        <v>2866</v>
      </c>
      <c r="E315" s="319" t="s">
        <v>3438</v>
      </c>
      <c r="F315" s="319"/>
      <c r="G315" s="319" t="s">
        <v>3421</v>
      </c>
      <c r="H315" s="319" t="s">
        <v>2638</v>
      </c>
      <c r="I315" s="319"/>
    </row>
    <row r="316" customFormat="false" ht="32.25" hidden="false" customHeight="true" outlineLevel="0" collapsed="false">
      <c r="A316" s="319" t="s">
        <v>3416</v>
      </c>
      <c r="B316" s="319" t="s">
        <v>3417</v>
      </c>
      <c r="C316" s="319" t="s">
        <v>2635</v>
      </c>
      <c r="D316" s="319" t="s">
        <v>2619</v>
      </c>
      <c r="E316" s="319"/>
      <c r="F316" s="319" t="s">
        <v>3439</v>
      </c>
      <c r="G316" s="319" t="s">
        <v>3440</v>
      </c>
      <c r="H316" s="319" t="s">
        <v>2638</v>
      </c>
      <c r="I316" s="319" t="s">
        <v>3441</v>
      </c>
    </row>
    <row r="317" customFormat="false" ht="42.75" hidden="false" customHeight="true" outlineLevel="0" collapsed="false">
      <c r="A317" s="319" t="s">
        <v>3416</v>
      </c>
      <c r="B317" s="319" t="s">
        <v>3417</v>
      </c>
      <c r="C317" s="319" t="s">
        <v>2635</v>
      </c>
      <c r="D317" s="319" t="s">
        <v>2619</v>
      </c>
      <c r="E317" s="319"/>
      <c r="F317" s="319" t="s">
        <v>3442</v>
      </c>
      <c r="G317" s="319" t="s">
        <v>3443</v>
      </c>
      <c r="H317" s="319" t="s">
        <v>2622</v>
      </c>
      <c r="I317" s="319" t="s">
        <v>3444</v>
      </c>
    </row>
    <row r="318" customFormat="false" ht="32.25" hidden="false" customHeight="true" outlineLevel="0" collapsed="false">
      <c r="A318" s="319" t="s">
        <v>3416</v>
      </c>
      <c r="B318" s="319" t="s">
        <v>3417</v>
      </c>
      <c r="C318" s="319" t="s">
        <v>2642</v>
      </c>
      <c r="D318" s="319" t="s">
        <v>2940</v>
      </c>
      <c r="E318" s="319" t="s">
        <v>3445</v>
      </c>
      <c r="F318" s="319" t="s">
        <v>3446</v>
      </c>
      <c r="G318" s="319" t="s">
        <v>3421</v>
      </c>
      <c r="H318" s="319" t="s">
        <v>2638</v>
      </c>
      <c r="I318" s="319" t="s">
        <v>3447</v>
      </c>
    </row>
    <row r="319" customFormat="false" ht="32.25" hidden="false" customHeight="true" outlineLevel="0" collapsed="false">
      <c r="A319" s="319" t="s">
        <v>3416</v>
      </c>
      <c r="B319" s="319" t="s">
        <v>3417</v>
      </c>
      <c r="C319" s="319" t="s">
        <v>2642</v>
      </c>
      <c r="D319" s="319" t="s">
        <v>2866</v>
      </c>
      <c r="E319" s="319" t="s">
        <v>3448</v>
      </c>
      <c r="F319" s="319"/>
      <c r="G319" s="319" t="s">
        <v>3419</v>
      </c>
      <c r="H319" s="319" t="s">
        <v>2638</v>
      </c>
      <c r="I319" s="319" t="s">
        <v>3449</v>
      </c>
    </row>
    <row r="320" customFormat="false" ht="42.75" hidden="false" customHeight="true" outlineLevel="0" collapsed="false">
      <c r="A320" s="319" t="s">
        <v>3416</v>
      </c>
      <c r="B320" s="319" t="s">
        <v>3417</v>
      </c>
      <c r="C320" s="319" t="s">
        <v>2660</v>
      </c>
      <c r="D320" s="319" t="s">
        <v>2661</v>
      </c>
      <c r="E320" s="319"/>
      <c r="F320" s="319" t="s">
        <v>3450</v>
      </c>
      <c r="G320" s="319"/>
      <c r="H320" s="319" t="s">
        <v>2778</v>
      </c>
      <c r="I320" s="319"/>
    </row>
    <row r="321" customFormat="false" ht="21.75" hidden="false" customHeight="true" outlineLevel="0" collapsed="false">
      <c r="A321" s="319" t="s">
        <v>3451</v>
      </c>
      <c r="B321" s="319" t="s">
        <v>3452</v>
      </c>
      <c r="C321" s="319" t="s">
        <v>711</v>
      </c>
      <c r="D321" s="319" t="s">
        <v>2866</v>
      </c>
      <c r="E321" s="319" t="s">
        <v>3453</v>
      </c>
      <c r="F321" s="319"/>
      <c r="G321" s="319" t="s">
        <v>3454</v>
      </c>
      <c r="H321" s="319" t="s">
        <v>2638</v>
      </c>
      <c r="I321" s="319"/>
    </row>
    <row r="322" customFormat="false" ht="32.25" hidden="false" customHeight="true" outlineLevel="0" collapsed="false">
      <c r="A322" s="319" t="s">
        <v>3451</v>
      </c>
      <c r="B322" s="319" t="s">
        <v>3452</v>
      </c>
      <c r="C322" s="319" t="s">
        <v>711</v>
      </c>
      <c r="D322" s="319" t="s">
        <v>2916</v>
      </c>
      <c r="E322" s="319" t="s">
        <v>3455</v>
      </c>
      <c r="F322" s="319" t="s">
        <v>3456</v>
      </c>
      <c r="G322" s="319" t="s">
        <v>3457</v>
      </c>
      <c r="H322" s="319" t="s">
        <v>2638</v>
      </c>
      <c r="I322" s="319" t="s">
        <v>3458</v>
      </c>
    </row>
    <row r="323" customFormat="false" ht="42.75" hidden="false" customHeight="true" outlineLevel="0" collapsed="false">
      <c r="A323" s="319" t="s">
        <v>3451</v>
      </c>
      <c r="B323" s="319" t="s">
        <v>3452</v>
      </c>
      <c r="C323" s="319" t="s">
        <v>711</v>
      </c>
      <c r="D323" s="319" t="s">
        <v>2619</v>
      </c>
      <c r="E323" s="319"/>
      <c r="F323" s="319" t="s">
        <v>3459</v>
      </c>
      <c r="G323" s="319" t="s">
        <v>3460</v>
      </c>
      <c r="H323" s="319" t="s">
        <v>2622</v>
      </c>
      <c r="I323" s="319" t="s">
        <v>3461</v>
      </c>
    </row>
    <row r="324" customFormat="false" ht="21.75" hidden="false" customHeight="true" outlineLevel="0" collapsed="false">
      <c r="A324" s="319" t="s">
        <v>3451</v>
      </c>
      <c r="B324" s="319" t="s">
        <v>3452</v>
      </c>
      <c r="C324" s="319" t="s">
        <v>711</v>
      </c>
      <c r="D324" s="319" t="s">
        <v>2619</v>
      </c>
      <c r="E324" s="319"/>
      <c r="F324" s="319" t="s">
        <v>3462</v>
      </c>
      <c r="G324" s="319" t="s">
        <v>3463</v>
      </c>
      <c r="H324" s="319" t="s">
        <v>2638</v>
      </c>
      <c r="I324" s="319" t="s">
        <v>3464</v>
      </c>
    </row>
    <row r="325" customFormat="false" ht="32.25" hidden="false" customHeight="true" outlineLevel="0" collapsed="false">
      <c r="A325" s="319" t="s">
        <v>3451</v>
      </c>
      <c r="B325" s="319" t="s">
        <v>3452</v>
      </c>
      <c r="C325" s="319" t="s">
        <v>711</v>
      </c>
      <c r="D325" s="319" t="s">
        <v>2619</v>
      </c>
      <c r="E325" s="319"/>
      <c r="F325" s="319" t="s">
        <v>3465</v>
      </c>
      <c r="G325" s="319" t="s">
        <v>3466</v>
      </c>
      <c r="H325" s="319" t="s">
        <v>2622</v>
      </c>
      <c r="I325" s="319" t="s">
        <v>3467</v>
      </c>
    </row>
    <row r="326" customFormat="false" ht="21.75" hidden="false" customHeight="true" outlineLevel="0" collapsed="false">
      <c r="A326" s="319" t="s">
        <v>3451</v>
      </c>
      <c r="B326" s="319" t="s">
        <v>3452</v>
      </c>
      <c r="C326" s="319" t="s">
        <v>712</v>
      </c>
      <c r="D326" s="319" t="s">
        <v>2953</v>
      </c>
      <c r="E326" s="319" t="s">
        <v>3468</v>
      </c>
      <c r="F326" s="319" t="s">
        <v>3398</v>
      </c>
      <c r="G326" s="319" t="s">
        <v>3457</v>
      </c>
      <c r="H326" s="319" t="s">
        <v>2638</v>
      </c>
      <c r="I326" s="319"/>
    </row>
    <row r="327" customFormat="false" ht="21.75" hidden="false" customHeight="true" outlineLevel="0" collapsed="false">
      <c r="A327" s="319" t="s">
        <v>3451</v>
      </c>
      <c r="B327" s="319" t="s">
        <v>3452</v>
      </c>
      <c r="C327" s="319" t="s">
        <v>712</v>
      </c>
      <c r="D327" s="319" t="s">
        <v>2953</v>
      </c>
      <c r="E327" s="319" t="s">
        <v>3469</v>
      </c>
      <c r="F327" s="319" t="s">
        <v>3470</v>
      </c>
      <c r="G327" s="319" t="s">
        <v>3471</v>
      </c>
      <c r="H327" s="319" t="s">
        <v>2638</v>
      </c>
      <c r="I327" s="319"/>
    </row>
    <row r="328" customFormat="false" ht="21.75" hidden="false" customHeight="true" outlineLevel="0" collapsed="false">
      <c r="A328" s="319" t="s">
        <v>3451</v>
      </c>
      <c r="B328" s="319" t="s">
        <v>3452</v>
      </c>
      <c r="C328" s="319" t="s">
        <v>712</v>
      </c>
      <c r="D328" s="319" t="s">
        <v>2619</v>
      </c>
      <c r="E328" s="319"/>
      <c r="F328" s="319" t="s">
        <v>3472</v>
      </c>
      <c r="G328" s="319" t="s">
        <v>3466</v>
      </c>
      <c r="H328" s="319" t="s">
        <v>2622</v>
      </c>
      <c r="I328" s="319" t="s">
        <v>3473</v>
      </c>
    </row>
    <row r="329" customFormat="false" ht="21.75" hidden="false" customHeight="true" outlineLevel="0" collapsed="false">
      <c r="A329" s="319" t="s">
        <v>3451</v>
      </c>
      <c r="B329" s="319" t="s">
        <v>3452</v>
      </c>
      <c r="C329" s="319" t="s">
        <v>2635</v>
      </c>
      <c r="D329" s="319" t="s">
        <v>2916</v>
      </c>
      <c r="E329" s="319" t="s">
        <v>3474</v>
      </c>
      <c r="F329" s="319" t="s">
        <v>3475</v>
      </c>
      <c r="G329" s="319" t="s">
        <v>3454</v>
      </c>
      <c r="H329" s="319" t="s">
        <v>2638</v>
      </c>
      <c r="I329" s="319" t="s">
        <v>3476</v>
      </c>
    </row>
    <row r="330" customFormat="false" ht="21.75" hidden="false" customHeight="true" outlineLevel="0" collapsed="false">
      <c r="A330" s="319" t="s">
        <v>3451</v>
      </c>
      <c r="B330" s="319" t="s">
        <v>3452</v>
      </c>
      <c r="C330" s="319" t="s">
        <v>2635</v>
      </c>
      <c r="D330" s="319" t="s">
        <v>2619</v>
      </c>
      <c r="E330" s="319"/>
      <c r="F330" s="319" t="s">
        <v>3477</v>
      </c>
      <c r="G330" s="319" t="s">
        <v>3460</v>
      </c>
      <c r="H330" s="319" t="s">
        <v>2622</v>
      </c>
      <c r="I330" s="319" t="s">
        <v>3478</v>
      </c>
    </row>
    <row r="331" customFormat="false" ht="32.25" hidden="false" customHeight="true" outlineLevel="0" collapsed="false">
      <c r="A331" s="319" t="s">
        <v>3451</v>
      </c>
      <c r="B331" s="319" t="s">
        <v>3452</v>
      </c>
      <c r="C331" s="319" t="s">
        <v>2642</v>
      </c>
      <c r="D331" s="319" t="s">
        <v>2866</v>
      </c>
      <c r="E331" s="319" t="s">
        <v>1087</v>
      </c>
      <c r="F331" s="319"/>
      <c r="G331" s="319"/>
      <c r="H331" s="319" t="s">
        <v>2622</v>
      </c>
      <c r="I331" s="319" t="s">
        <v>3479</v>
      </c>
    </row>
    <row r="332" customFormat="false" ht="21.75" hidden="false" customHeight="true" outlineLevel="0" collapsed="false">
      <c r="A332" s="319" t="s">
        <v>3451</v>
      </c>
      <c r="B332" s="319" t="s">
        <v>3452</v>
      </c>
      <c r="C332" s="319" t="s">
        <v>2642</v>
      </c>
      <c r="D332" s="319" t="s">
        <v>2619</v>
      </c>
      <c r="E332" s="319"/>
      <c r="F332" s="319" t="s">
        <v>3480</v>
      </c>
      <c r="G332" s="319" t="s">
        <v>3466</v>
      </c>
      <c r="H332" s="319" t="s">
        <v>2622</v>
      </c>
      <c r="I332" s="319" t="s">
        <v>3481</v>
      </c>
    </row>
    <row r="333" customFormat="false" ht="42.75" hidden="false" customHeight="true" outlineLevel="0" collapsed="false">
      <c r="A333" s="319" t="s">
        <v>3451</v>
      </c>
      <c r="B333" s="319" t="s">
        <v>3452</v>
      </c>
      <c r="C333" s="319" t="s">
        <v>2660</v>
      </c>
      <c r="D333" s="319" t="s">
        <v>2661</v>
      </c>
      <c r="E333" s="319"/>
      <c r="F333" s="319" t="s">
        <v>3482</v>
      </c>
      <c r="G333" s="319"/>
      <c r="H333" s="319" t="s">
        <v>2708</v>
      </c>
      <c r="I333" s="319"/>
    </row>
    <row r="334" customFormat="false" ht="32.25" hidden="false" customHeight="true" outlineLevel="0" collapsed="false">
      <c r="A334" s="319" t="s">
        <v>3483</v>
      </c>
      <c r="B334" s="319" t="s">
        <v>1168</v>
      </c>
      <c r="C334" s="319" t="s">
        <v>711</v>
      </c>
      <c r="D334" s="319" t="s">
        <v>2866</v>
      </c>
      <c r="E334" s="319" t="s">
        <v>3484</v>
      </c>
      <c r="F334" s="319"/>
      <c r="G334" s="319" t="s">
        <v>3485</v>
      </c>
      <c r="H334" s="319" t="s">
        <v>2638</v>
      </c>
      <c r="I334" s="319" t="s">
        <v>3486</v>
      </c>
    </row>
    <row r="335" customFormat="false" ht="21.75" hidden="false" customHeight="true" outlineLevel="0" collapsed="false">
      <c r="A335" s="319" t="s">
        <v>3483</v>
      </c>
      <c r="B335" s="319" t="s">
        <v>1168</v>
      </c>
      <c r="C335" s="319" t="s">
        <v>711</v>
      </c>
      <c r="D335" s="319" t="s">
        <v>2866</v>
      </c>
      <c r="E335" s="319" t="s">
        <v>3487</v>
      </c>
      <c r="F335" s="319"/>
      <c r="G335" s="319" t="s">
        <v>3488</v>
      </c>
      <c r="H335" s="319" t="s">
        <v>2638</v>
      </c>
      <c r="I335" s="319" t="s">
        <v>3489</v>
      </c>
    </row>
    <row r="336" customFormat="false" ht="32.25" hidden="false" customHeight="true" outlineLevel="0" collapsed="false">
      <c r="A336" s="319" t="s">
        <v>3483</v>
      </c>
      <c r="B336" s="319" t="s">
        <v>1168</v>
      </c>
      <c r="C336" s="319" t="s">
        <v>711</v>
      </c>
      <c r="D336" s="319" t="s">
        <v>2619</v>
      </c>
      <c r="E336" s="319"/>
      <c r="F336" s="319" t="s">
        <v>3490</v>
      </c>
      <c r="G336" s="319" t="s">
        <v>3488</v>
      </c>
      <c r="H336" s="319" t="s">
        <v>2622</v>
      </c>
      <c r="I336" s="319" t="s">
        <v>3491</v>
      </c>
    </row>
    <row r="337" customFormat="false" ht="21.75" hidden="false" customHeight="true" outlineLevel="0" collapsed="false">
      <c r="A337" s="319" t="s">
        <v>3483</v>
      </c>
      <c r="B337" s="319" t="s">
        <v>1168</v>
      </c>
      <c r="C337" s="319" t="s">
        <v>711</v>
      </c>
      <c r="D337" s="319" t="s">
        <v>2619</v>
      </c>
      <c r="E337" s="319"/>
      <c r="F337" s="319" t="s">
        <v>3492</v>
      </c>
      <c r="G337" s="319" t="s">
        <v>3493</v>
      </c>
      <c r="H337" s="319" t="s">
        <v>2638</v>
      </c>
      <c r="I337" s="319" t="s">
        <v>3494</v>
      </c>
    </row>
    <row r="338" customFormat="false" ht="21.75" hidden="false" customHeight="true" outlineLevel="0" collapsed="false">
      <c r="A338" s="319" t="s">
        <v>3483</v>
      </c>
      <c r="B338" s="319" t="s">
        <v>1168</v>
      </c>
      <c r="C338" s="319" t="s">
        <v>712</v>
      </c>
      <c r="D338" s="319" t="s">
        <v>2953</v>
      </c>
      <c r="E338" s="319" t="s">
        <v>3495</v>
      </c>
      <c r="F338" s="319" t="s">
        <v>3496</v>
      </c>
      <c r="G338" s="319" t="s">
        <v>3497</v>
      </c>
      <c r="H338" s="319" t="s">
        <v>2638</v>
      </c>
      <c r="I338" s="319" t="s">
        <v>3498</v>
      </c>
    </row>
    <row r="339" customFormat="false" ht="21.75" hidden="false" customHeight="true" outlineLevel="0" collapsed="false">
      <c r="A339" s="319" t="s">
        <v>3483</v>
      </c>
      <c r="B339" s="319" t="s">
        <v>1168</v>
      </c>
      <c r="C339" s="319" t="s">
        <v>712</v>
      </c>
      <c r="D339" s="319" t="s">
        <v>2953</v>
      </c>
      <c r="E339" s="319" t="s">
        <v>3499</v>
      </c>
      <c r="F339" s="319" t="s">
        <v>3500</v>
      </c>
      <c r="G339" s="319" t="s">
        <v>3488</v>
      </c>
      <c r="H339" s="319" t="s">
        <v>2638</v>
      </c>
      <c r="I339" s="319" t="s">
        <v>3501</v>
      </c>
    </row>
    <row r="340" customFormat="false" ht="21.75" hidden="false" customHeight="true" outlineLevel="0" collapsed="false">
      <c r="A340" s="319" t="s">
        <v>3483</v>
      </c>
      <c r="B340" s="319" t="s">
        <v>1168</v>
      </c>
      <c r="C340" s="319" t="s">
        <v>2635</v>
      </c>
      <c r="D340" s="319" t="s">
        <v>2866</v>
      </c>
      <c r="E340" s="319" t="s">
        <v>3502</v>
      </c>
      <c r="F340" s="319"/>
      <c r="G340" s="319" t="s">
        <v>3488</v>
      </c>
      <c r="H340" s="319" t="s">
        <v>2638</v>
      </c>
      <c r="I340" s="319"/>
    </row>
    <row r="341" customFormat="false" ht="21.75" hidden="false" customHeight="true" outlineLevel="0" collapsed="false">
      <c r="A341" s="319" t="s">
        <v>3483</v>
      </c>
      <c r="B341" s="319" t="s">
        <v>1168</v>
      </c>
      <c r="C341" s="319" t="s">
        <v>2635</v>
      </c>
      <c r="D341" s="319" t="s">
        <v>2916</v>
      </c>
      <c r="E341" s="319" t="s">
        <v>3503</v>
      </c>
      <c r="F341" s="319" t="s">
        <v>3504</v>
      </c>
      <c r="G341" s="319" t="s">
        <v>3505</v>
      </c>
      <c r="H341" s="319" t="s">
        <v>2638</v>
      </c>
      <c r="I341" s="319" t="s">
        <v>3506</v>
      </c>
    </row>
    <row r="342" customFormat="false" ht="21.75" hidden="false" customHeight="true" outlineLevel="0" collapsed="false">
      <c r="A342" s="319" t="s">
        <v>3483</v>
      </c>
      <c r="B342" s="319" t="s">
        <v>1168</v>
      </c>
      <c r="C342" s="319" t="s">
        <v>2635</v>
      </c>
      <c r="D342" s="319" t="s">
        <v>2619</v>
      </c>
      <c r="E342" s="319"/>
      <c r="F342" s="319" t="s">
        <v>3507</v>
      </c>
      <c r="G342" s="319" t="s">
        <v>3488</v>
      </c>
      <c r="H342" s="319" t="s">
        <v>2638</v>
      </c>
      <c r="I342" s="319" t="s">
        <v>3508</v>
      </c>
    </row>
    <row r="343" customFormat="false" ht="15" hidden="false" customHeight="true" outlineLevel="0" collapsed="false">
      <c r="A343" s="319" t="s">
        <v>3483</v>
      </c>
      <c r="B343" s="319" t="s">
        <v>1168</v>
      </c>
      <c r="C343" s="319" t="s">
        <v>2642</v>
      </c>
      <c r="D343" s="319" t="s">
        <v>2866</v>
      </c>
      <c r="E343" s="319" t="s">
        <v>1087</v>
      </c>
      <c r="F343" s="319"/>
      <c r="G343" s="319"/>
      <c r="H343" s="319" t="s">
        <v>2638</v>
      </c>
      <c r="I343" s="319" t="s">
        <v>3509</v>
      </c>
    </row>
    <row r="344" customFormat="false" ht="42.75" hidden="false" customHeight="true" outlineLevel="0" collapsed="false">
      <c r="A344" s="319" t="s">
        <v>3483</v>
      </c>
      <c r="B344" s="319" t="s">
        <v>1168</v>
      </c>
      <c r="C344" s="319" t="s">
        <v>2660</v>
      </c>
      <c r="D344" s="319" t="s">
        <v>2661</v>
      </c>
      <c r="E344" s="319"/>
      <c r="F344" s="319" t="s">
        <v>3510</v>
      </c>
      <c r="G344" s="319"/>
      <c r="H344" s="319" t="s">
        <v>2663</v>
      </c>
      <c r="I344" s="319"/>
    </row>
    <row r="345" customFormat="false" ht="21.75" hidden="false" customHeight="true" outlineLevel="0" collapsed="false">
      <c r="A345" s="319" t="s">
        <v>3511</v>
      </c>
      <c r="B345" s="319" t="s">
        <v>1182</v>
      </c>
      <c r="C345" s="319" t="s">
        <v>711</v>
      </c>
      <c r="D345" s="319" t="s">
        <v>2866</v>
      </c>
      <c r="E345" s="319" t="s">
        <v>3512</v>
      </c>
      <c r="F345" s="319"/>
      <c r="G345" s="319" t="s">
        <v>3513</v>
      </c>
      <c r="H345" s="319" t="s">
        <v>2638</v>
      </c>
      <c r="I345" s="319"/>
    </row>
    <row r="346" customFormat="false" ht="42.75" hidden="false" customHeight="true" outlineLevel="0" collapsed="false">
      <c r="A346" s="319" t="s">
        <v>3511</v>
      </c>
      <c r="B346" s="319" t="s">
        <v>1182</v>
      </c>
      <c r="C346" s="319" t="s">
        <v>711</v>
      </c>
      <c r="D346" s="319" t="s">
        <v>2916</v>
      </c>
      <c r="E346" s="319" t="s">
        <v>3514</v>
      </c>
      <c r="F346" s="319" t="s">
        <v>3515</v>
      </c>
      <c r="G346" s="319" t="s">
        <v>3516</v>
      </c>
      <c r="H346" s="319" t="s">
        <v>2638</v>
      </c>
      <c r="I346" s="319" t="s">
        <v>3517</v>
      </c>
    </row>
    <row r="347" customFormat="false" ht="32.25" hidden="false" customHeight="true" outlineLevel="0" collapsed="false">
      <c r="A347" s="319" t="s">
        <v>3511</v>
      </c>
      <c r="B347" s="319" t="s">
        <v>1182</v>
      </c>
      <c r="C347" s="319" t="s">
        <v>711</v>
      </c>
      <c r="D347" s="319" t="s">
        <v>2619</v>
      </c>
      <c r="E347" s="319"/>
      <c r="F347" s="319" t="s">
        <v>3518</v>
      </c>
      <c r="G347" s="319" t="s">
        <v>3513</v>
      </c>
      <c r="H347" s="319" t="s">
        <v>2638</v>
      </c>
      <c r="I347" s="319" t="s">
        <v>3519</v>
      </c>
    </row>
    <row r="348" customFormat="false" ht="21.75" hidden="false" customHeight="true" outlineLevel="0" collapsed="false">
      <c r="A348" s="319" t="s">
        <v>3511</v>
      </c>
      <c r="B348" s="319" t="s">
        <v>1182</v>
      </c>
      <c r="C348" s="319" t="s">
        <v>711</v>
      </c>
      <c r="D348" s="319" t="s">
        <v>2619</v>
      </c>
      <c r="E348" s="319"/>
      <c r="F348" s="319" t="s">
        <v>3520</v>
      </c>
      <c r="G348" s="319" t="s">
        <v>3521</v>
      </c>
      <c r="H348" s="319" t="s">
        <v>2638</v>
      </c>
      <c r="I348" s="319" t="s">
        <v>3522</v>
      </c>
    </row>
    <row r="349" customFormat="false" ht="42.75" hidden="false" customHeight="true" outlineLevel="0" collapsed="false">
      <c r="A349" s="319" t="s">
        <v>3511</v>
      </c>
      <c r="B349" s="319" t="s">
        <v>1182</v>
      </c>
      <c r="C349" s="319" t="s">
        <v>711</v>
      </c>
      <c r="D349" s="319" t="s">
        <v>2619</v>
      </c>
      <c r="E349" s="319"/>
      <c r="F349" s="319" t="s">
        <v>3523</v>
      </c>
      <c r="G349" s="319" t="s">
        <v>3524</v>
      </c>
      <c r="H349" s="319" t="s">
        <v>2622</v>
      </c>
      <c r="I349" s="319" t="s">
        <v>3525</v>
      </c>
    </row>
    <row r="350" customFormat="false" ht="32.25" hidden="false" customHeight="true" outlineLevel="0" collapsed="false">
      <c r="A350" s="319" t="s">
        <v>3511</v>
      </c>
      <c r="B350" s="319" t="s">
        <v>1182</v>
      </c>
      <c r="C350" s="319" t="s">
        <v>712</v>
      </c>
      <c r="D350" s="319" t="s">
        <v>2953</v>
      </c>
      <c r="E350" s="319" t="s">
        <v>3526</v>
      </c>
      <c r="F350" s="319" t="s">
        <v>3527</v>
      </c>
      <c r="G350" s="319" t="s">
        <v>3528</v>
      </c>
      <c r="H350" s="319" t="s">
        <v>2638</v>
      </c>
      <c r="I350" s="319" t="s">
        <v>3529</v>
      </c>
    </row>
    <row r="351" customFormat="false" ht="21.75" hidden="false" customHeight="true" outlineLevel="0" collapsed="false">
      <c r="A351" s="319" t="s">
        <v>3511</v>
      </c>
      <c r="B351" s="319" t="s">
        <v>1182</v>
      </c>
      <c r="C351" s="319" t="s">
        <v>712</v>
      </c>
      <c r="D351" s="319" t="s">
        <v>2953</v>
      </c>
      <c r="E351" s="319" t="s">
        <v>3530</v>
      </c>
      <c r="F351" s="319" t="s">
        <v>3531</v>
      </c>
      <c r="G351" s="319" t="s">
        <v>3532</v>
      </c>
      <c r="H351" s="319" t="s">
        <v>2638</v>
      </c>
      <c r="I351" s="319" t="s">
        <v>3369</v>
      </c>
    </row>
    <row r="352" customFormat="false" ht="21.75" hidden="false" customHeight="true" outlineLevel="0" collapsed="false">
      <c r="A352" s="319" t="s">
        <v>3511</v>
      </c>
      <c r="B352" s="319" t="s">
        <v>1182</v>
      </c>
      <c r="C352" s="319" t="s">
        <v>2635</v>
      </c>
      <c r="D352" s="319" t="s">
        <v>2940</v>
      </c>
      <c r="E352" s="319" t="s">
        <v>3533</v>
      </c>
      <c r="F352" s="319" t="s">
        <v>3534</v>
      </c>
      <c r="G352" s="319" t="s">
        <v>3535</v>
      </c>
      <c r="H352" s="319" t="s">
        <v>2638</v>
      </c>
      <c r="I352" s="319"/>
    </row>
    <row r="353" customFormat="false" ht="15" hidden="false" customHeight="true" outlineLevel="0" collapsed="false">
      <c r="A353" s="319" t="s">
        <v>3511</v>
      </c>
      <c r="B353" s="319" t="s">
        <v>1182</v>
      </c>
      <c r="C353" s="319" t="s">
        <v>2635</v>
      </c>
      <c r="D353" s="319" t="s">
        <v>2940</v>
      </c>
      <c r="E353" s="319" t="s">
        <v>3536</v>
      </c>
      <c r="F353" s="319" t="s">
        <v>3537</v>
      </c>
      <c r="G353" s="319" t="s">
        <v>3538</v>
      </c>
      <c r="H353" s="319" t="s">
        <v>2638</v>
      </c>
      <c r="I353" s="319"/>
    </row>
    <row r="354" customFormat="false" ht="21.75" hidden="false" customHeight="true" outlineLevel="0" collapsed="false">
      <c r="A354" s="319" t="s">
        <v>3511</v>
      </c>
      <c r="B354" s="319" t="s">
        <v>1182</v>
      </c>
      <c r="C354" s="319" t="s">
        <v>2635</v>
      </c>
      <c r="D354" s="319" t="s">
        <v>2916</v>
      </c>
      <c r="E354" s="319" t="s">
        <v>3539</v>
      </c>
      <c r="F354" s="319" t="s">
        <v>3540</v>
      </c>
      <c r="G354" s="319" t="s">
        <v>3538</v>
      </c>
      <c r="H354" s="319" t="s">
        <v>2638</v>
      </c>
      <c r="I354" s="319"/>
    </row>
    <row r="355" customFormat="false" ht="15" hidden="false" customHeight="true" outlineLevel="0" collapsed="false">
      <c r="A355" s="319" t="s">
        <v>3511</v>
      </c>
      <c r="B355" s="319" t="s">
        <v>1182</v>
      </c>
      <c r="C355" s="319" t="s">
        <v>2642</v>
      </c>
      <c r="D355" s="319" t="s">
        <v>2866</v>
      </c>
      <c r="E355" s="319" t="s">
        <v>1087</v>
      </c>
      <c r="F355" s="319"/>
      <c r="G355" s="319"/>
      <c r="H355" s="319" t="s">
        <v>2638</v>
      </c>
      <c r="I355" s="319"/>
    </row>
    <row r="356" customFormat="false" ht="42.75" hidden="false" customHeight="true" outlineLevel="0" collapsed="false">
      <c r="A356" s="319" t="s">
        <v>3511</v>
      </c>
      <c r="B356" s="319" t="s">
        <v>1182</v>
      </c>
      <c r="C356" s="319" t="s">
        <v>2660</v>
      </c>
      <c r="D356" s="319" t="s">
        <v>2661</v>
      </c>
      <c r="E356" s="319"/>
      <c r="F356" s="319" t="s">
        <v>3541</v>
      </c>
      <c r="G356" s="319"/>
      <c r="H356" s="319" t="s">
        <v>2663</v>
      </c>
      <c r="I356" s="319"/>
    </row>
    <row r="357" customFormat="false" ht="42.75" hidden="false" customHeight="true" outlineLevel="0" collapsed="false">
      <c r="A357" s="319" t="s">
        <v>3542</v>
      </c>
      <c r="B357" s="319" t="s">
        <v>1196</v>
      </c>
      <c r="C357" s="319" t="s">
        <v>711</v>
      </c>
      <c r="D357" s="319" t="s">
        <v>2866</v>
      </c>
      <c r="E357" s="319" t="s">
        <v>3543</v>
      </c>
      <c r="F357" s="319"/>
      <c r="G357" s="319" t="s">
        <v>3544</v>
      </c>
      <c r="H357" s="319" t="s">
        <v>2622</v>
      </c>
      <c r="I357" s="319" t="s">
        <v>3545</v>
      </c>
    </row>
    <row r="358" customFormat="false" ht="32.25" hidden="false" customHeight="true" outlineLevel="0" collapsed="false">
      <c r="A358" s="319" t="s">
        <v>3542</v>
      </c>
      <c r="B358" s="319" t="s">
        <v>1196</v>
      </c>
      <c r="C358" s="319" t="s">
        <v>711</v>
      </c>
      <c r="D358" s="319" t="s">
        <v>2953</v>
      </c>
      <c r="E358" s="319" t="s">
        <v>3546</v>
      </c>
      <c r="F358" s="319" t="s">
        <v>3547</v>
      </c>
      <c r="G358" s="319" t="s">
        <v>3548</v>
      </c>
      <c r="H358" s="319" t="s">
        <v>2638</v>
      </c>
      <c r="I358" s="319" t="s">
        <v>3549</v>
      </c>
    </row>
    <row r="359" customFormat="false" ht="42.75" hidden="false" customHeight="true" outlineLevel="0" collapsed="false">
      <c r="A359" s="319" t="s">
        <v>3542</v>
      </c>
      <c r="B359" s="319" t="s">
        <v>1196</v>
      </c>
      <c r="C359" s="319" t="s">
        <v>711</v>
      </c>
      <c r="D359" s="319" t="s">
        <v>2619</v>
      </c>
      <c r="E359" s="319"/>
      <c r="F359" s="319" t="s">
        <v>3550</v>
      </c>
      <c r="G359" s="319" t="s">
        <v>3551</v>
      </c>
      <c r="H359" s="319" t="s">
        <v>2622</v>
      </c>
      <c r="I359" s="319" t="s">
        <v>3552</v>
      </c>
    </row>
    <row r="360" customFormat="false" ht="42.75" hidden="false" customHeight="true" outlineLevel="0" collapsed="false">
      <c r="A360" s="319" t="s">
        <v>3542</v>
      </c>
      <c r="B360" s="319" t="s">
        <v>1196</v>
      </c>
      <c r="C360" s="319" t="s">
        <v>711</v>
      </c>
      <c r="D360" s="319" t="s">
        <v>2619</v>
      </c>
      <c r="E360" s="319"/>
      <c r="F360" s="319" t="s">
        <v>3553</v>
      </c>
      <c r="G360" s="319" t="s">
        <v>3554</v>
      </c>
      <c r="H360" s="319" t="s">
        <v>2622</v>
      </c>
      <c r="I360" s="319" t="s">
        <v>3555</v>
      </c>
    </row>
    <row r="361" customFormat="false" ht="32.25" hidden="false" customHeight="true" outlineLevel="0" collapsed="false">
      <c r="A361" s="319" t="s">
        <v>3542</v>
      </c>
      <c r="B361" s="319" t="s">
        <v>1196</v>
      </c>
      <c r="C361" s="319" t="s">
        <v>711</v>
      </c>
      <c r="D361" s="319" t="s">
        <v>2619</v>
      </c>
      <c r="E361" s="319"/>
      <c r="F361" s="319" t="s">
        <v>3556</v>
      </c>
      <c r="G361" s="319" t="s">
        <v>3557</v>
      </c>
      <c r="H361" s="319" t="s">
        <v>2638</v>
      </c>
      <c r="I361" s="319" t="s">
        <v>3558</v>
      </c>
    </row>
    <row r="362" customFormat="false" ht="32.25" hidden="false" customHeight="true" outlineLevel="0" collapsed="false">
      <c r="A362" s="319" t="s">
        <v>3542</v>
      </c>
      <c r="B362" s="319" t="s">
        <v>1196</v>
      </c>
      <c r="C362" s="319" t="s">
        <v>712</v>
      </c>
      <c r="D362" s="319" t="s">
        <v>2953</v>
      </c>
      <c r="E362" s="319" t="s">
        <v>3559</v>
      </c>
      <c r="F362" s="319" t="s">
        <v>3560</v>
      </c>
      <c r="G362" s="319" t="s">
        <v>3561</v>
      </c>
      <c r="H362" s="319" t="s">
        <v>2638</v>
      </c>
      <c r="I362" s="319" t="s">
        <v>3369</v>
      </c>
    </row>
    <row r="363" customFormat="false" ht="32.25" hidden="false" customHeight="true" outlineLevel="0" collapsed="false">
      <c r="A363" s="319" t="s">
        <v>3542</v>
      </c>
      <c r="B363" s="319" t="s">
        <v>1196</v>
      </c>
      <c r="C363" s="319" t="s">
        <v>712</v>
      </c>
      <c r="D363" s="319" t="s">
        <v>2953</v>
      </c>
      <c r="E363" s="319" t="s">
        <v>3562</v>
      </c>
      <c r="F363" s="319" t="s">
        <v>3563</v>
      </c>
      <c r="G363" s="319" t="s">
        <v>3561</v>
      </c>
      <c r="H363" s="319" t="s">
        <v>2638</v>
      </c>
      <c r="I363" s="319"/>
    </row>
    <row r="364" customFormat="false" ht="32.25" hidden="false" customHeight="true" outlineLevel="0" collapsed="false">
      <c r="A364" s="319" t="s">
        <v>3542</v>
      </c>
      <c r="B364" s="319" t="s">
        <v>1196</v>
      </c>
      <c r="C364" s="319" t="s">
        <v>712</v>
      </c>
      <c r="D364" s="319" t="s">
        <v>2953</v>
      </c>
      <c r="E364" s="319" t="s">
        <v>3564</v>
      </c>
      <c r="F364" s="319" t="s">
        <v>3565</v>
      </c>
      <c r="G364" s="319" t="s">
        <v>3561</v>
      </c>
      <c r="H364" s="319" t="s">
        <v>2638</v>
      </c>
      <c r="I364" s="319"/>
    </row>
    <row r="365" customFormat="false" ht="42.75" hidden="false" customHeight="true" outlineLevel="0" collapsed="false">
      <c r="A365" s="319" t="s">
        <v>3542</v>
      </c>
      <c r="B365" s="319" t="s">
        <v>1196</v>
      </c>
      <c r="C365" s="319" t="s">
        <v>2635</v>
      </c>
      <c r="D365" s="319" t="s">
        <v>2953</v>
      </c>
      <c r="E365" s="319" t="s">
        <v>3566</v>
      </c>
      <c r="F365" s="319" t="s">
        <v>3567</v>
      </c>
      <c r="G365" s="319" t="s">
        <v>3568</v>
      </c>
      <c r="H365" s="319" t="s">
        <v>2638</v>
      </c>
      <c r="I365" s="319" t="s">
        <v>3569</v>
      </c>
    </row>
    <row r="366" customFormat="false" ht="32.25" hidden="false" customHeight="true" outlineLevel="0" collapsed="false">
      <c r="A366" s="319" t="s">
        <v>3542</v>
      </c>
      <c r="B366" s="319" t="s">
        <v>1196</v>
      </c>
      <c r="C366" s="319" t="s">
        <v>2635</v>
      </c>
      <c r="D366" s="319" t="s">
        <v>2619</v>
      </c>
      <c r="E366" s="319"/>
      <c r="F366" s="319" t="s">
        <v>3570</v>
      </c>
      <c r="G366" s="319" t="s">
        <v>3571</v>
      </c>
      <c r="H366" s="319" t="s">
        <v>2626</v>
      </c>
      <c r="I366" s="319" t="s">
        <v>3572</v>
      </c>
    </row>
    <row r="367" customFormat="false" ht="15" hidden="false" customHeight="true" outlineLevel="0" collapsed="false">
      <c r="A367" s="319" t="s">
        <v>3542</v>
      </c>
      <c r="B367" s="319" t="s">
        <v>1196</v>
      </c>
      <c r="C367" s="319" t="s">
        <v>2642</v>
      </c>
      <c r="D367" s="319" t="s">
        <v>2866</v>
      </c>
      <c r="E367" s="319" t="s">
        <v>1207</v>
      </c>
      <c r="F367" s="319"/>
      <c r="G367" s="319"/>
      <c r="H367" s="319" t="s">
        <v>2638</v>
      </c>
      <c r="I367" s="319" t="s">
        <v>3573</v>
      </c>
    </row>
    <row r="368" customFormat="false" ht="53.25" hidden="false" customHeight="true" outlineLevel="0" collapsed="false">
      <c r="A368" s="319" t="s">
        <v>3542</v>
      </c>
      <c r="B368" s="319" t="s">
        <v>1196</v>
      </c>
      <c r="C368" s="319" t="s">
        <v>2660</v>
      </c>
      <c r="D368" s="319" t="s">
        <v>2661</v>
      </c>
      <c r="E368" s="319"/>
      <c r="F368" s="319" t="s">
        <v>3574</v>
      </c>
      <c r="G368" s="319"/>
      <c r="H368" s="319" t="s">
        <v>2778</v>
      </c>
      <c r="I368" s="319"/>
    </row>
    <row r="369" customFormat="false" ht="42.75" hidden="false" customHeight="true" outlineLevel="0" collapsed="false">
      <c r="A369" s="319" t="s">
        <v>3575</v>
      </c>
      <c r="B369" s="319" t="s">
        <v>1212</v>
      </c>
      <c r="C369" s="319" t="s">
        <v>711</v>
      </c>
      <c r="D369" s="319" t="s">
        <v>2953</v>
      </c>
      <c r="E369" s="319" t="s">
        <v>3576</v>
      </c>
      <c r="F369" s="319" t="s">
        <v>3577</v>
      </c>
      <c r="G369" s="319" t="s">
        <v>3578</v>
      </c>
      <c r="H369" s="319" t="s">
        <v>2638</v>
      </c>
      <c r="I369" s="319" t="s">
        <v>3579</v>
      </c>
    </row>
    <row r="370" customFormat="false" ht="42.75" hidden="false" customHeight="true" outlineLevel="0" collapsed="false">
      <c r="A370" s="319" t="s">
        <v>3575</v>
      </c>
      <c r="B370" s="319" t="s">
        <v>1212</v>
      </c>
      <c r="C370" s="319" t="s">
        <v>711</v>
      </c>
      <c r="D370" s="319" t="s">
        <v>2619</v>
      </c>
      <c r="E370" s="319"/>
      <c r="F370" s="319" t="s">
        <v>3580</v>
      </c>
      <c r="G370" s="319" t="s">
        <v>3581</v>
      </c>
      <c r="H370" s="319" t="s">
        <v>2638</v>
      </c>
      <c r="I370" s="319" t="s">
        <v>3582</v>
      </c>
    </row>
    <row r="371" customFormat="false" ht="32.25" hidden="false" customHeight="true" outlineLevel="0" collapsed="false">
      <c r="A371" s="319" t="s">
        <v>3575</v>
      </c>
      <c r="B371" s="319" t="s">
        <v>1212</v>
      </c>
      <c r="C371" s="319" t="s">
        <v>711</v>
      </c>
      <c r="D371" s="319" t="s">
        <v>2619</v>
      </c>
      <c r="E371" s="319"/>
      <c r="F371" s="319" t="s">
        <v>3583</v>
      </c>
      <c r="G371" s="319" t="s">
        <v>3584</v>
      </c>
      <c r="H371" s="319" t="s">
        <v>2638</v>
      </c>
      <c r="I371" s="319" t="s">
        <v>3585</v>
      </c>
    </row>
    <row r="372" customFormat="false" ht="32.25" hidden="false" customHeight="true" outlineLevel="0" collapsed="false">
      <c r="A372" s="319" t="s">
        <v>3575</v>
      </c>
      <c r="B372" s="319" t="s">
        <v>1212</v>
      </c>
      <c r="C372" s="319" t="s">
        <v>712</v>
      </c>
      <c r="D372" s="319" t="s">
        <v>2953</v>
      </c>
      <c r="E372" s="319" t="s">
        <v>3586</v>
      </c>
      <c r="F372" s="319" t="s">
        <v>3587</v>
      </c>
      <c r="G372" s="319" t="s">
        <v>3588</v>
      </c>
      <c r="H372" s="319" t="s">
        <v>2638</v>
      </c>
      <c r="I372" s="319" t="s">
        <v>3369</v>
      </c>
    </row>
    <row r="373" customFormat="false" ht="42.75" hidden="false" customHeight="true" outlineLevel="0" collapsed="false">
      <c r="A373" s="319" t="s">
        <v>3575</v>
      </c>
      <c r="B373" s="319" t="s">
        <v>1212</v>
      </c>
      <c r="C373" s="319" t="s">
        <v>712</v>
      </c>
      <c r="D373" s="319" t="s">
        <v>2619</v>
      </c>
      <c r="E373" s="319"/>
      <c r="F373" s="319" t="s">
        <v>3589</v>
      </c>
      <c r="G373" s="319" t="s">
        <v>3590</v>
      </c>
      <c r="H373" s="319" t="s">
        <v>2638</v>
      </c>
      <c r="I373" s="319" t="s">
        <v>3591</v>
      </c>
    </row>
    <row r="374" customFormat="false" ht="42.75" hidden="false" customHeight="true" outlineLevel="0" collapsed="false">
      <c r="A374" s="319" t="s">
        <v>3575</v>
      </c>
      <c r="B374" s="319" t="s">
        <v>1212</v>
      </c>
      <c r="C374" s="319" t="s">
        <v>2635</v>
      </c>
      <c r="D374" s="319" t="s">
        <v>2962</v>
      </c>
      <c r="E374" s="319" t="s">
        <v>3592</v>
      </c>
      <c r="F374" s="319"/>
      <c r="G374" s="319" t="s">
        <v>3593</v>
      </c>
      <c r="H374" s="319"/>
      <c r="I374" s="319"/>
    </row>
    <row r="375" customFormat="false" ht="32.25" hidden="false" customHeight="true" outlineLevel="0" collapsed="false">
      <c r="A375" s="319" t="s">
        <v>3575</v>
      </c>
      <c r="B375" s="319" t="s">
        <v>1212</v>
      </c>
      <c r="C375" s="319" t="s">
        <v>2635</v>
      </c>
      <c r="D375" s="319" t="s">
        <v>2962</v>
      </c>
      <c r="E375" s="319" t="s">
        <v>3594</v>
      </c>
      <c r="F375" s="319"/>
      <c r="G375" s="319"/>
      <c r="H375" s="319"/>
      <c r="I375" s="319"/>
    </row>
    <row r="376" customFormat="false" ht="32.25" hidden="false" customHeight="true" outlineLevel="0" collapsed="false">
      <c r="A376" s="319" t="s">
        <v>3575</v>
      </c>
      <c r="B376" s="319" t="s">
        <v>1212</v>
      </c>
      <c r="C376" s="319" t="s">
        <v>2635</v>
      </c>
      <c r="D376" s="319" t="s">
        <v>2953</v>
      </c>
      <c r="E376" s="319" t="s">
        <v>3595</v>
      </c>
      <c r="F376" s="319" t="s">
        <v>3596</v>
      </c>
      <c r="G376" s="319" t="s">
        <v>3597</v>
      </c>
      <c r="H376" s="319" t="s">
        <v>2638</v>
      </c>
      <c r="I376" s="319"/>
    </row>
    <row r="377" customFormat="false" ht="32.25" hidden="false" customHeight="true" outlineLevel="0" collapsed="false">
      <c r="A377" s="319" t="s">
        <v>3575</v>
      </c>
      <c r="B377" s="319" t="s">
        <v>1212</v>
      </c>
      <c r="C377" s="319" t="s">
        <v>2635</v>
      </c>
      <c r="D377" s="319" t="s">
        <v>2619</v>
      </c>
      <c r="E377" s="319"/>
      <c r="F377" s="319" t="s">
        <v>3598</v>
      </c>
      <c r="G377" s="319" t="s">
        <v>3599</v>
      </c>
      <c r="H377" s="319" t="s">
        <v>2638</v>
      </c>
      <c r="I377" s="319" t="s">
        <v>3600</v>
      </c>
    </row>
    <row r="378" customFormat="false" ht="15" hidden="false" customHeight="true" outlineLevel="0" collapsed="false">
      <c r="A378" s="319" t="s">
        <v>3575</v>
      </c>
      <c r="B378" s="319" t="s">
        <v>1212</v>
      </c>
      <c r="C378" s="319" t="s">
        <v>2642</v>
      </c>
      <c r="D378" s="319" t="s">
        <v>2866</v>
      </c>
      <c r="E378" s="319" t="s">
        <v>1207</v>
      </c>
      <c r="F378" s="319"/>
      <c r="G378" s="319"/>
      <c r="H378" s="319" t="s">
        <v>2638</v>
      </c>
      <c r="I378" s="319"/>
    </row>
    <row r="379" customFormat="false" ht="42.75" hidden="false" customHeight="true" outlineLevel="0" collapsed="false">
      <c r="A379" s="319" t="s">
        <v>3575</v>
      </c>
      <c r="B379" s="319" t="s">
        <v>1212</v>
      </c>
      <c r="C379" s="319" t="s">
        <v>2660</v>
      </c>
      <c r="D379" s="319" t="s">
        <v>2661</v>
      </c>
      <c r="E379" s="319"/>
      <c r="F379" s="319" t="s">
        <v>3601</v>
      </c>
      <c r="G379" s="319"/>
      <c r="H379" s="319" t="s">
        <v>2778</v>
      </c>
      <c r="I379" s="319"/>
    </row>
    <row r="380" customFormat="false" ht="42.75" hidden="false" customHeight="true" outlineLevel="0" collapsed="false">
      <c r="A380" s="319" t="s">
        <v>3602</v>
      </c>
      <c r="B380" s="319" t="s">
        <v>3603</v>
      </c>
      <c r="C380" s="319" t="s">
        <v>711</v>
      </c>
      <c r="D380" s="319" t="s">
        <v>2916</v>
      </c>
      <c r="E380" s="319" t="s">
        <v>3604</v>
      </c>
      <c r="F380" s="319" t="s">
        <v>3605</v>
      </c>
      <c r="G380" s="319"/>
      <c r="H380" s="319" t="s">
        <v>2638</v>
      </c>
      <c r="I380" s="319" t="s">
        <v>3606</v>
      </c>
    </row>
    <row r="381" customFormat="false" ht="42.75" hidden="false" customHeight="true" outlineLevel="0" collapsed="false">
      <c r="A381" s="319" t="s">
        <v>3602</v>
      </c>
      <c r="B381" s="319" t="s">
        <v>3603</v>
      </c>
      <c r="C381" s="319" t="s">
        <v>711</v>
      </c>
      <c r="D381" s="319" t="s">
        <v>2619</v>
      </c>
      <c r="E381" s="319"/>
      <c r="F381" s="319" t="s">
        <v>3607</v>
      </c>
      <c r="G381" s="319" t="s">
        <v>3608</v>
      </c>
      <c r="H381" s="319" t="s">
        <v>2622</v>
      </c>
      <c r="I381" s="319" t="s">
        <v>3609</v>
      </c>
    </row>
    <row r="382" customFormat="false" ht="32.25" hidden="false" customHeight="true" outlineLevel="0" collapsed="false">
      <c r="A382" s="319" t="s">
        <v>3602</v>
      </c>
      <c r="B382" s="319" t="s">
        <v>3603</v>
      </c>
      <c r="C382" s="319" t="s">
        <v>711</v>
      </c>
      <c r="D382" s="319" t="s">
        <v>2619</v>
      </c>
      <c r="E382" s="319"/>
      <c r="F382" s="319" t="s">
        <v>3610</v>
      </c>
      <c r="G382" s="319" t="s">
        <v>3611</v>
      </c>
      <c r="H382" s="319" t="s">
        <v>2622</v>
      </c>
      <c r="I382" s="319" t="s">
        <v>3612</v>
      </c>
    </row>
    <row r="383" customFormat="false" ht="21.75" hidden="false" customHeight="true" outlineLevel="0" collapsed="false">
      <c r="A383" s="319" t="s">
        <v>3602</v>
      </c>
      <c r="B383" s="319" t="s">
        <v>3603</v>
      </c>
      <c r="C383" s="319" t="s">
        <v>711</v>
      </c>
      <c r="D383" s="319" t="s">
        <v>2619</v>
      </c>
      <c r="E383" s="319"/>
      <c r="F383" s="319" t="s">
        <v>3613</v>
      </c>
      <c r="G383" s="319" t="s">
        <v>3614</v>
      </c>
      <c r="H383" s="319" t="s">
        <v>2638</v>
      </c>
      <c r="I383" s="319" t="s">
        <v>3615</v>
      </c>
    </row>
    <row r="384" customFormat="false" ht="15" hidden="false" customHeight="true" outlineLevel="0" collapsed="false">
      <c r="A384" s="319" t="s">
        <v>3602</v>
      </c>
      <c r="B384" s="319" t="s">
        <v>3603</v>
      </c>
      <c r="C384" s="319" t="s">
        <v>712</v>
      </c>
      <c r="D384" s="319" t="s">
        <v>2866</v>
      </c>
      <c r="E384" s="319" t="s">
        <v>1232</v>
      </c>
      <c r="F384" s="319"/>
      <c r="G384" s="319"/>
      <c r="H384" s="319" t="s">
        <v>2638</v>
      </c>
      <c r="I384" s="319"/>
    </row>
    <row r="385" customFormat="false" ht="84.75" hidden="false" customHeight="true" outlineLevel="0" collapsed="false">
      <c r="A385" s="319" t="s">
        <v>3602</v>
      </c>
      <c r="B385" s="319" t="s">
        <v>3603</v>
      </c>
      <c r="C385" s="319" t="s">
        <v>2635</v>
      </c>
      <c r="D385" s="319" t="s">
        <v>2916</v>
      </c>
      <c r="E385" s="319" t="s">
        <v>3616</v>
      </c>
      <c r="F385" s="319" t="s">
        <v>3617</v>
      </c>
      <c r="G385" s="319" t="s">
        <v>3618</v>
      </c>
      <c r="H385" s="319" t="s">
        <v>2638</v>
      </c>
      <c r="I385" s="319" t="s">
        <v>3619</v>
      </c>
    </row>
    <row r="386" customFormat="false" ht="42.75" hidden="false" customHeight="true" outlineLevel="0" collapsed="false">
      <c r="A386" s="319" t="s">
        <v>3602</v>
      </c>
      <c r="B386" s="319" t="s">
        <v>3603</v>
      </c>
      <c r="C386" s="319" t="s">
        <v>2635</v>
      </c>
      <c r="D386" s="319" t="s">
        <v>2619</v>
      </c>
      <c r="E386" s="319"/>
      <c r="F386" s="319" t="s">
        <v>3620</v>
      </c>
      <c r="G386" s="319" t="s">
        <v>3621</v>
      </c>
      <c r="H386" s="319" t="s">
        <v>2638</v>
      </c>
      <c r="I386" s="319" t="s">
        <v>3622</v>
      </c>
    </row>
    <row r="387" customFormat="false" ht="15" hidden="false" customHeight="true" outlineLevel="0" collapsed="false">
      <c r="A387" s="319" t="s">
        <v>3602</v>
      </c>
      <c r="B387" s="319" t="s">
        <v>3603</v>
      </c>
      <c r="C387" s="319" t="s">
        <v>2642</v>
      </c>
      <c r="D387" s="319" t="s">
        <v>2866</v>
      </c>
      <c r="E387" s="319" t="s">
        <v>1207</v>
      </c>
      <c r="F387" s="319"/>
      <c r="G387" s="319"/>
      <c r="H387" s="319" t="s">
        <v>2638</v>
      </c>
      <c r="I387" s="319" t="s">
        <v>3623</v>
      </c>
    </row>
    <row r="388" customFormat="false" ht="42.75" hidden="false" customHeight="true" outlineLevel="0" collapsed="false">
      <c r="A388" s="319" t="s">
        <v>3602</v>
      </c>
      <c r="B388" s="319" t="s">
        <v>3603</v>
      </c>
      <c r="C388" s="319" t="s">
        <v>2660</v>
      </c>
      <c r="D388" s="319" t="s">
        <v>2661</v>
      </c>
      <c r="E388" s="319"/>
      <c r="F388" s="319" t="s">
        <v>3624</v>
      </c>
      <c r="G388" s="319"/>
      <c r="H388" s="319" t="s">
        <v>2663</v>
      </c>
      <c r="I388" s="319"/>
    </row>
    <row r="389" customFormat="false" ht="32.25" hidden="false" customHeight="true" outlineLevel="0" collapsed="false">
      <c r="A389" s="319" t="s">
        <v>3625</v>
      </c>
      <c r="B389" s="319" t="s">
        <v>3626</v>
      </c>
      <c r="C389" s="319" t="s">
        <v>711</v>
      </c>
      <c r="D389" s="319" t="s">
        <v>2953</v>
      </c>
      <c r="E389" s="319" t="s">
        <v>3627</v>
      </c>
      <c r="F389" s="319" t="s">
        <v>3628</v>
      </c>
      <c r="G389" s="319" t="s">
        <v>3629</v>
      </c>
      <c r="H389" s="319" t="s">
        <v>2638</v>
      </c>
      <c r="I389" s="319" t="s">
        <v>3630</v>
      </c>
    </row>
    <row r="390" customFormat="false" ht="42.75" hidden="false" customHeight="true" outlineLevel="0" collapsed="false">
      <c r="A390" s="319" t="s">
        <v>3625</v>
      </c>
      <c r="B390" s="319" t="s">
        <v>3626</v>
      </c>
      <c r="C390" s="319" t="s">
        <v>711</v>
      </c>
      <c r="D390" s="319" t="s">
        <v>2619</v>
      </c>
      <c r="E390" s="319"/>
      <c r="F390" s="319" t="s">
        <v>3631</v>
      </c>
      <c r="G390" s="319" t="s">
        <v>3632</v>
      </c>
      <c r="H390" s="319" t="s">
        <v>2626</v>
      </c>
      <c r="I390" s="319" t="s">
        <v>3633</v>
      </c>
    </row>
    <row r="391" customFormat="false" ht="21.75" hidden="false" customHeight="true" outlineLevel="0" collapsed="false">
      <c r="A391" s="319" t="s">
        <v>3625</v>
      </c>
      <c r="B391" s="319" t="s">
        <v>3626</v>
      </c>
      <c r="C391" s="319" t="s">
        <v>712</v>
      </c>
      <c r="D391" s="319" t="s">
        <v>2866</v>
      </c>
      <c r="E391" s="319" t="s">
        <v>3634</v>
      </c>
      <c r="F391" s="319"/>
      <c r="G391" s="319" t="s">
        <v>3635</v>
      </c>
      <c r="H391" s="319" t="s">
        <v>2638</v>
      </c>
      <c r="I391" s="319"/>
    </row>
    <row r="392" customFormat="false" ht="63.75" hidden="false" customHeight="true" outlineLevel="0" collapsed="false">
      <c r="A392" s="319" t="s">
        <v>3625</v>
      </c>
      <c r="B392" s="319" t="s">
        <v>3626</v>
      </c>
      <c r="C392" s="319" t="s">
        <v>712</v>
      </c>
      <c r="D392" s="319" t="s">
        <v>2619</v>
      </c>
      <c r="E392" s="319"/>
      <c r="F392" s="319" t="s">
        <v>3636</v>
      </c>
      <c r="G392" s="319" t="s">
        <v>3637</v>
      </c>
      <c r="H392" s="319" t="s">
        <v>2622</v>
      </c>
      <c r="I392" s="319" t="s">
        <v>3638</v>
      </c>
    </row>
    <row r="393" customFormat="false" ht="53.25" hidden="false" customHeight="true" outlineLevel="0" collapsed="false">
      <c r="A393" s="319" t="s">
        <v>3625</v>
      </c>
      <c r="B393" s="319" t="s">
        <v>3626</v>
      </c>
      <c r="C393" s="319" t="s">
        <v>2635</v>
      </c>
      <c r="D393" s="319" t="s">
        <v>2953</v>
      </c>
      <c r="E393" s="319" t="s">
        <v>3639</v>
      </c>
      <c r="F393" s="319" t="s">
        <v>3640</v>
      </c>
      <c r="G393" s="319"/>
      <c r="H393" s="319" t="s">
        <v>2638</v>
      </c>
      <c r="I393" s="319" t="s">
        <v>3569</v>
      </c>
    </row>
    <row r="394" customFormat="false" ht="42.75" hidden="false" customHeight="true" outlineLevel="0" collapsed="false">
      <c r="A394" s="319" t="s">
        <v>3625</v>
      </c>
      <c r="B394" s="319" t="s">
        <v>3626</v>
      </c>
      <c r="C394" s="319" t="s">
        <v>2635</v>
      </c>
      <c r="D394" s="319" t="s">
        <v>2940</v>
      </c>
      <c r="E394" s="319" t="s">
        <v>3641</v>
      </c>
      <c r="F394" s="319" t="s">
        <v>3642</v>
      </c>
      <c r="G394" s="319" t="s">
        <v>3643</v>
      </c>
      <c r="H394" s="319" t="s">
        <v>2622</v>
      </c>
      <c r="I394" s="319" t="s">
        <v>3644</v>
      </c>
    </row>
    <row r="395" customFormat="false" ht="42.75" hidden="false" customHeight="true" outlineLevel="0" collapsed="false">
      <c r="A395" s="319" t="s">
        <v>3625</v>
      </c>
      <c r="B395" s="319" t="s">
        <v>3626</v>
      </c>
      <c r="C395" s="319" t="s">
        <v>2635</v>
      </c>
      <c r="D395" s="319" t="s">
        <v>2619</v>
      </c>
      <c r="E395" s="319"/>
      <c r="F395" s="319" t="s">
        <v>3645</v>
      </c>
      <c r="G395" s="319" t="s">
        <v>3632</v>
      </c>
      <c r="H395" s="319" t="s">
        <v>2638</v>
      </c>
      <c r="I395" s="319" t="s">
        <v>3646</v>
      </c>
    </row>
    <row r="396" customFormat="false" ht="53.25" hidden="false" customHeight="true" outlineLevel="0" collapsed="false">
      <c r="A396" s="319" t="s">
        <v>3625</v>
      </c>
      <c r="B396" s="319" t="s">
        <v>3626</v>
      </c>
      <c r="C396" s="319" t="s">
        <v>2635</v>
      </c>
      <c r="D396" s="319" t="s">
        <v>2619</v>
      </c>
      <c r="E396" s="319"/>
      <c r="F396" s="319" t="s">
        <v>3647</v>
      </c>
      <c r="G396" s="319" t="s">
        <v>3648</v>
      </c>
      <c r="H396" s="319" t="s">
        <v>2622</v>
      </c>
      <c r="I396" s="319" t="s">
        <v>3649</v>
      </c>
    </row>
    <row r="397" customFormat="false" ht="21.75" hidden="false" customHeight="true" outlineLevel="0" collapsed="false">
      <c r="A397" s="319" t="s">
        <v>3625</v>
      </c>
      <c r="B397" s="319" t="s">
        <v>3626</v>
      </c>
      <c r="C397" s="319" t="s">
        <v>2642</v>
      </c>
      <c r="D397" s="319" t="s">
        <v>2866</v>
      </c>
      <c r="E397" s="319" t="s">
        <v>1207</v>
      </c>
      <c r="F397" s="319"/>
      <c r="G397" s="319"/>
      <c r="H397" s="319" t="s">
        <v>2638</v>
      </c>
      <c r="I397" s="319" t="s">
        <v>3650</v>
      </c>
    </row>
    <row r="398" customFormat="false" ht="53.25" hidden="false" customHeight="true" outlineLevel="0" collapsed="false">
      <c r="A398" s="319" t="s">
        <v>3625</v>
      </c>
      <c r="B398" s="319" t="s">
        <v>3626</v>
      </c>
      <c r="C398" s="319" t="s">
        <v>2660</v>
      </c>
      <c r="D398" s="319" t="s">
        <v>2661</v>
      </c>
      <c r="E398" s="319"/>
      <c r="F398" s="319" t="s">
        <v>3651</v>
      </c>
      <c r="G398" s="319"/>
      <c r="H398" s="319" t="s">
        <v>2663</v>
      </c>
      <c r="I398" s="319"/>
    </row>
    <row r="399" customFormat="false" ht="42.75" hidden="false" customHeight="true" outlineLevel="0" collapsed="false">
      <c r="A399" s="319" t="s">
        <v>3652</v>
      </c>
      <c r="B399" s="319" t="s">
        <v>3653</v>
      </c>
      <c r="C399" s="319" t="s">
        <v>711</v>
      </c>
      <c r="D399" s="319" t="s">
        <v>2866</v>
      </c>
      <c r="E399" s="319" t="s">
        <v>3654</v>
      </c>
      <c r="F399" s="319"/>
      <c r="G399" s="319"/>
      <c r="H399" s="319" t="s">
        <v>2638</v>
      </c>
      <c r="I399" s="319" t="s">
        <v>3655</v>
      </c>
    </row>
    <row r="400" customFormat="false" ht="32.25" hidden="false" customHeight="true" outlineLevel="0" collapsed="false">
      <c r="A400" s="319" t="s">
        <v>3652</v>
      </c>
      <c r="B400" s="319" t="s">
        <v>3653</v>
      </c>
      <c r="C400" s="319" t="s">
        <v>711</v>
      </c>
      <c r="D400" s="319" t="s">
        <v>2962</v>
      </c>
      <c r="E400" s="319" t="s">
        <v>3656</v>
      </c>
      <c r="F400" s="319"/>
      <c r="G400" s="319"/>
      <c r="H400" s="319"/>
      <c r="I400" s="319"/>
    </row>
    <row r="401" customFormat="false" ht="53.25" hidden="false" customHeight="true" outlineLevel="0" collapsed="false">
      <c r="A401" s="319" t="s">
        <v>3652</v>
      </c>
      <c r="B401" s="319" t="s">
        <v>3653</v>
      </c>
      <c r="C401" s="319" t="s">
        <v>711</v>
      </c>
      <c r="D401" s="319" t="s">
        <v>2916</v>
      </c>
      <c r="E401" s="319" t="s">
        <v>3657</v>
      </c>
      <c r="F401" s="319" t="s">
        <v>3658</v>
      </c>
      <c r="G401" s="319"/>
      <c r="H401" s="319" t="s">
        <v>2638</v>
      </c>
      <c r="I401" s="319" t="s">
        <v>3659</v>
      </c>
    </row>
    <row r="402" customFormat="false" ht="32.25" hidden="false" customHeight="true" outlineLevel="0" collapsed="false">
      <c r="A402" s="319" t="s">
        <v>3652</v>
      </c>
      <c r="B402" s="319" t="s">
        <v>3653</v>
      </c>
      <c r="C402" s="319" t="s">
        <v>711</v>
      </c>
      <c r="D402" s="319" t="s">
        <v>2619</v>
      </c>
      <c r="E402" s="319"/>
      <c r="F402" s="319" t="s">
        <v>3660</v>
      </c>
      <c r="G402" s="319" t="s">
        <v>3661</v>
      </c>
      <c r="H402" s="319" t="s">
        <v>2638</v>
      </c>
      <c r="I402" s="319" t="s">
        <v>3662</v>
      </c>
    </row>
    <row r="403" customFormat="false" ht="32.25" hidden="false" customHeight="true" outlineLevel="0" collapsed="false">
      <c r="A403" s="319" t="s">
        <v>3652</v>
      </c>
      <c r="B403" s="319" t="s">
        <v>3653</v>
      </c>
      <c r="C403" s="319" t="s">
        <v>711</v>
      </c>
      <c r="D403" s="319" t="s">
        <v>2619</v>
      </c>
      <c r="E403" s="319"/>
      <c r="F403" s="319" t="s">
        <v>3663</v>
      </c>
      <c r="G403" s="319" t="s">
        <v>3664</v>
      </c>
      <c r="H403" s="319" t="s">
        <v>2638</v>
      </c>
      <c r="I403" s="319" t="s">
        <v>3665</v>
      </c>
    </row>
    <row r="404" customFormat="false" ht="42.75" hidden="false" customHeight="true" outlineLevel="0" collapsed="false">
      <c r="A404" s="319" t="s">
        <v>3652</v>
      </c>
      <c r="B404" s="319" t="s">
        <v>3653</v>
      </c>
      <c r="C404" s="319" t="s">
        <v>712</v>
      </c>
      <c r="D404" s="319" t="s">
        <v>2953</v>
      </c>
      <c r="E404" s="319" t="s">
        <v>3666</v>
      </c>
      <c r="F404" s="319" t="s">
        <v>3667</v>
      </c>
      <c r="G404" s="319"/>
      <c r="H404" s="319" t="s">
        <v>2638</v>
      </c>
      <c r="I404" s="319" t="s">
        <v>3668</v>
      </c>
    </row>
    <row r="405" customFormat="false" ht="53.25" hidden="false" customHeight="true" outlineLevel="0" collapsed="false">
      <c r="A405" s="319" t="s">
        <v>3652</v>
      </c>
      <c r="B405" s="319" t="s">
        <v>3653</v>
      </c>
      <c r="C405" s="319" t="s">
        <v>712</v>
      </c>
      <c r="D405" s="319" t="s">
        <v>2916</v>
      </c>
      <c r="E405" s="319" t="s">
        <v>3669</v>
      </c>
      <c r="F405" s="319" t="s">
        <v>3670</v>
      </c>
      <c r="G405" s="319" t="s">
        <v>3671</v>
      </c>
      <c r="H405" s="319" t="s">
        <v>2622</v>
      </c>
      <c r="I405" s="319" t="s">
        <v>3672</v>
      </c>
    </row>
    <row r="406" customFormat="false" ht="42.75" hidden="false" customHeight="true" outlineLevel="0" collapsed="false">
      <c r="A406" s="319" t="s">
        <v>3652</v>
      </c>
      <c r="B406" s="319" t="s">
        <v>3653</v>
      </c>
      <c r="C406" s="319" t="s">
        <v>2635</v>
      </c>
      <c r="D406" s="319" t="s">
        <v>2916</v>
      </c>
      <c r="E406" s="319" t="s">
        <v>3673</v>
      </c>
      <c r="F406" s="319" t="s">
        <v>3674</v>
      </c>
      <c r="G406" s="319"/>
      <c r="H406" s="319" t="s">
        <v>2638</v>
      </c>
      <c r="I406" s="319" t="s">
        <v>3675</v>
      </c>
    </row>
    <row r="407" customFormat="false" ht="21.75" hidden="false" customHeight="true" outlineLevel="0" collapsed="false">
      <c r="A407" s="319" t="s">
        <v>3652</v>
      </c>
      <c r="B407" s="319" t="s">
        <v>3653</v>
      </c>
      <c r="C407" s="319" t="s">
        <v>2642</v>
      </c>
      <c r="D407" s="319" t="s">
        <v>2866</v>
      </c>
      <c r="E407" s="319" t="s">
        <v>1207</v>
      </c>
      <c r="F407" s="319"/>
      <c r="G407" s="319"/>
      <c r="H407" s="319" t="s">
        <v>2638</v>
      </c>
      <c r="I407" s="319" t="s">
        <v>3676</v>
      </c>
    </row>
    <row r="408" customFormat="false" ht="42.75" hidden="false" customHeight="true" outlineLevel="0" collapsed="false">
      <c r="A408" s="319" t="s">
        <v>3652</v>
      </c>
      <c r="B408" s="319" t="s">
        <v>3653</v>
      </c>
      <c r="C408" s="319" t="s">
        <v>2660</v>
      </c>
      <c r="D408" s="319" t="s">
        <v>2661</v>
      </c>
      <c r="E408" s="319"/>
      <c r="F408" s="319" t="s">
        <v>3677</v>
      </c>
      <c r="G408" s="319"/>
      <c r="H408" s="319" t="s">
        <v>2663</v>
      </c>
      <c r="I408" s="319"/>
    </row>
    <row r="409" customFormat="false" ht="53.25" hidden="false" customHeight="true" outlineLevel="0" collapsed="false">
      <c r="A409" s="319" t="s">
        <v>3678</v>
      </c>
      <c r="B409" s="319" t="s">
        <v>1265</v>
      </c>
      <c r="C409" s="319" t="s">
        <v>711</v>
      </c>
      <c r="D409" s="319" t="s">
        <v>2916</v>
      </c>
      <c r="E409" s="319" t="s">
        <v>3679</v>
      </c>
      <c r="F409" s="319" t="s">
        <v>3680</v>
      </c>
      <c r="G409" s="319"/>
      <c r="H409" s="319" t="s">
        <v>2638</v>
      </c>
      <c r="I409" s="319" t="s">
        <v>3681</v>
      </c>
    </row>
    <row r="410" customFormat="false" ht="32.25" hidden="false" customHeight="true" outlineLevel="0" collapsed="false">
      <c r="A410" s="319" t="s">
        <v>3678</v>
      </c>
      <c r="B410" s="319" t="s">
        <v>1265</v>
      </c>
      <c r="C410" s="319" t="s">
        <v>711</v>
      </c>
      <c r="D410" s="319" t="s">
        <v>2953</v>
      </c>
      <c r="E410" s="319" t="s">
        <v>3682</v>
      </c>
      <c r="F410" s="319" t="s">
        <v>3683</v>
      </c>
      <c r="G410" s="319" t="s">
        <v>3684</v>
      </c>
      <c r="H410" s="319" t="s">
        <v>2638</v>
      </c>
      <c r="I410" s="319" t="s">
        <v>3685</v>
      </c>
    </row>
    <row r="411" customFormat="false" ht="32.25" hidden="false" customHeight="true" outlineLevel="0" collapsed="false">
      <c r="A411" s="319" t="s">
        <v>3678</v>
      </c>
      <c r="B411" s="319" t="s">
        <v>1265</v>
      </c>
      <c r="C411" s="319" t="s">
        <v>711</v>
      </c>
      <c r="D411" s="319" t="s">
        <v>2619</v>
      </c>
      <c r="E411" s="319"/>
      <c r="F411" s="319" t="s">
        <v>3686</v>
      </c>
      <c r="G411" s="319" t="s">
        <v>3687</v>
      </c>
      <c r="H411" s="319" t="s">
        <v>2638</v>
      </c>
      <c r="I411" s="319" t="s">
        <v>3688</v>
      </c>
    </row>
    <row r="412" customFormat="false" ht="42.75" hidden="false" customHeight="true" outlineLevel="0" collapsed="false">
      <c r="A412" s="319" t="s">
        <v>3678</v>
      </c>
      <c r="B412" s="319" t="s">
        <v>1265</v>
      </c>
      <c r="C412" s="319" t="s">
        <v>711</v>
      </c>
      <c r="D412" s="319" t="s">
        <v>2619</v>
      </c>
      <c r="E412" s="319"/>
      <c r="F412" s="319" t="s">
        <v>3689</v>
      </c>
      <c r="G412" s="319" t="s">
        <v>3690</v>
      </c>
      <c r="H412" s="319" t="s">
        <v>2638</v>
      </c>
      <c r="I412" s="319" t="s">
        <v>3691</v>
      </c>
    </row>
    <row r="413" customFormat="false" ht="21.75" hidden="false" customHeight="true" outlineLevel="0" collapsed="false">
      <c r="A413" s="319" t="s">
        <v>3678</v>
      </c>
      <c r="B413" s="319" t="s">
        <v>1265</v>
      </c>
      <c r="C413" s="319" t="s">
        <v>711</v>
      </c>
      <c r="D413" s="319" t="s">
        <v>2619</v>
      </c>
      <c r="E413" s="319"/>
      <c r="F413" s="319" t="s">
        <v>3692</v>
      </c>
      <c r="G413" s="319" t="s">
        <v>3693</v>
      </c>
      <c r="H413" s="319" t="s">
        <v>2638</v>
      </c>
      <c r="I413" s="319" t="s">
        <v>3694</v>
      </c>
    </row>
    <row r="414" customFormat="false" ht="21.75" hidden="false" customHeight="true" outlineLevel="0" collapsed="false">
      <c r="A414" s="319" t="s">
        <v>3678</v>
      </c>
      <c r="B414" s="319" t="s">
        <v>1265</v>
      </c>
      <c r="C414" s="319" t="s">
        <v>712</v>
      </c>
      <c r="D414" s="319" t="s">
        <v>2953</v>
      </c>
      <c r="E414" s="319" t="s">
        <v>3695</v>
      </c>
      <c r="F414" s="319" t="s">
        <v>3696</v>
      </c>
      <c r="G414" s="319" t="s">
        <v>3697</v>
      </c>
      <c r="H414" s="319" t="s">
        <v>2638</v>
      </c>
      <c r="I414" s="319" t="s">
        <v>3698</v>
      </c>
    </row>
    <row r="415" customFormat="false" ht="53.25" hidden="false" customHeight="true" outlineLevel="0" collapsed="false">
      <c r="A415" s="319" t="s">
        <v>3678</v>
      </c>
      <c r="B415" s="319" t="s">
        <v>1265</v>
      </c>
      <c r="C415" s="319" t="s">
        <v>712</v>
      </c>
      <c r="D415" s="319" t="s">
        <v>2619</v>
      </c>
      <c r="E415" s="319"/>
      <c r="F415" s="319" t="s">
        <v>3699</v>
      </c>
      <c r="G415" s="319" t="s">
        <v>3687</v>
      </c>
      <c r="H415" s="319" t="s">
        <v>2638</v>
      </c>
      <c r="I415" s="319" t="s">
        <v>3700</v>
      </c>
    </row>
    <row r="416" customFormat="false" ht="84.75" hidden="false" customHeight="true" outlineLevel="0" collapsed="false">
      <c r="A416" s="319" t="s">
        <v>3678</v>
      </c>
      <c r="B416" s="319" t="s">
        <v>1265</v>
      </c>
      <c r="C416" s="319" t="s">
        <v>2635</v>
      </c>
      <c r="D416" s="319" t="s">
        <v>2940</v>
      </c>
      <c r="E416" s="319" t="s">
        <v>3701</v>
      </c>
      <c r="F416" s="319" t="s">
        <v>3702</v>
      </c>
      <c r="G416" s="319" t="s">
        <v>3703</v>
      </c>
      <c r="H416" s="319" t="s">
        <v>2622</v>
      </c>
      <c r="I416" s="319" t="s">
        <v>3704</v>
      </c>
    </row>
    <row r="417" customFormat="false" ht="63.75" hidden="false" customHeight="true" outlineLevel="0" collapsed="false">
      <c r="A417" s="319" t="s">
        <v>3678</v>
      </c>
      <c r="B417" s="319" t="s">
        <v>1265</v>
      </c>
      <c r="C417" s="319" t="s">
        <v>2635</v>
      </c>
      <c r="D417" s="319" t="s">
        <v>2916</v>
      </c>
      <c r="E417" s="319" t="s">
        <v>3705</v>
      </c>
      <c r="F417" s="319" t="s">
        <v>3706</v>
      </c>
      <c r="G417" s="319" t="s">
        <v>3707</v>
      </c>
      <c r="H417" s="319" t="s">
        <v>2638</v>
      </c>
      <c r="I417" s="319" t="s">
        <v>3708</v>
      </c>
    </row>
    <row r="418" customFormat="false" ht="21.75" hidden="false" customHeight="true" outlineLevel="0" collapsed="false">
      <c r="A418" s="319" t="s">
        <v>3678</v>
      </c>
      <c r="B418" s="319" t="s">
        <v>1265</v>
      </c>
      <c r="C418" s="319" t="s">
        <v>2635</v>
      </c>
      <c r="D418" s="319" t="s">
        <v>2619</v>
      </c>
      <c r="E418" s="319"/>
      <c r="F418" s="319" t="s">
        <v>3709</v>
      </c>
      <c r="G418" s="319" t="s">
        <v>3710</v>
      </c>
      <c r="H418" s="319" t="s">
        <v>2638</v>
      </c>
      <c r="I418" s="319" t="s">
        <v>3711</v>
      </c>
    </row>
    <row r="419" customFormat="false" ht="32.25" hidden="false" customHeight="true" outlineLevel="0" collapsed="false">
      <c r="A419" s="319" t="s">
        <v>3678</v>
      </c>
      <c r="B419" s="319" t="s">
        <v>1265</v>
      </c>
      <c r="C419" s="319" t="s">
        <v>2635</v>
      </c>
      <c r="D419" s="319" t="s">
        <v>2619</v>
      </c>
      <c r="E419" s="319"/>
      <c r="F419" s="319" t="s">
        <v>3712</v>
      </c>
      <c r="G419" s="319" t="s">
        <v>3713</v>
      </c>
      <c r="H419" s="319" t="s">
        <v>2638</v>
      </c>
      <c r="I419" s="319" t="s">
        <v>3714</v>
      </c>
    </row>
    <row r="420" customFormat="false" ht="15" hidden="false" customHeight="true" outlineLevel="0" collapsed="false">
      <c r="A420" s="319" t="s">
        <v>3678</v>
      </c>
      <c r="B420" s="319" t="s">
        <v>1265</v>
      </c>
      <c r="C420" s="319" t="s">
        <v>2642</v>
      </c>
      <c r="D420" s="319" t="s">
        <v>2866</v>
      </c>
      <c r="E420" s="319" t="s">
        <v>1207</v>
      </c>
      <c r="F420" s="319"/>
      <c r="G420" s="319"/>
      <c r="H420" s="319" t="s">
        <v>2638</v>
      </c>
      <c r="I420" s="319" t="s">
        <v>3715</v>
      </c>
    </row>
    <row r="421" customFormat="false" ht="74.25" hidden="false" customHeight="true" outlineLevel="0" collapsed="false">
      <c r="A421" s="319" t="s">
        <v>3678</v>
      </c>
      <c r="B421" s="319" t="s">
        <v>1265</v>
      </c>
      <c r="C421" s="319"/>
      <c r="D421" s="319" t="s">
        <v>2823</v>
      </c>
      <c r="E421" s="319"/>
      <c r="F421" s="319" t="s">
        <v>3716</v>
      </c>
      <c r="G421" s="319" t="s">
        <v>3717</v>
      </c>
      <c r="H421" s="319" t="s">
        <v>2826</v>
      </c>
      <c r="I421" s="319" t="s">
        <v>3718</v>
      </c>
    </row>
    <row r="422" customFormat="false" ht="53.25" hidden="false" customHeight="true" outlineLevel="0" collapsed="false">
      <c r="A422" s="319" t="s">
        <v>3678</v>
      </c>
      <c r="B422" s="319" t="s">
        <v>1265</v>
      </c>
      <c r="C422" s="319" t="s">
        <v>2660</v>
      </c>
      <c r="D422" s="319" t="s">
        <v>2661</v>
      </c>
      <c r="E422" s="319"/>
      <c r="F422" s="319" t="s">
        <v>3719</v>
      </c>
      <c r="G422" s="319"/>
      <c r="H422" s="319" t="s">
        <v>2663</v>
      </c>
      <c r="I422" s="319"/>
    </row>
    <row r="423" customFormat="false" ht="63.75" hidden="false" customHeight="true" outlineLevel="0" collapsed="false">
      <c r="A423" s="319" t="s">
        <v>3720</v>
      </c>
      <c r="B423" s="319" t="s">
        <v>1277</v>
      </c>
      <c r="C423" s="319" t="s">
        <v>711</v>
      </c>
      <c r="D423" s="319" t="s">
        <v>2940</v>
      </c>
      <c r="E423" s="319" t="s">
        <v>3721</v>
      </c>
      <c r="F423" s="319" t="s">
        <v>3722</v>
      </c>
      <c r="G423" s="319" t="s">
        <v>3723</v>
      </c>
      <c r="H423" s="319" t="s">
        <v>2622</v>
      </c>
      <c r="I423" s="319" t="s">
        <v>3724</v>
      </c>
    </row>
    <row r="424" customFormat="false" ht="95.25" hidden="false" customHeight="true" outlineLevel="0" collapsed="false">
      <c r="A424" s="319" t="s">
        <v>3720</v>
      </c>
      <c r="B424" s="319" t="s">
        <v>1277</v>
      </c>
      <c r="C424" s="319" t="s">
        <v>711</v>
      </c>
      <c r="D424" s="319" t="s">
        <v>2940</v>
      </c>
      <c r="E424" s="319" t="s">
        <v>3725</v>
      </c>
      <c r="F424" s="319" t="s">
        <v>3726</v>
      </c>
      <c r="G424" s="319" t="s">
        <v>3727</v>
      </c>
      <c r="H424" s="319" t="s">
        <v>2622</v>
      </c>
      <c r="I424" s="319" t="s">
        <v>3728</v>
      </c>
    </row>
    <row r="425" customFormat="false" ht="32.25" hidden="false" customHeight="true" outlineLevel="0" collapsed="false">
      <c r="A425" s="319" t="s">
        <v>3720</v>
      </c>
      <c r="B425" s="319" t="s">
        <v>1277</v>
      </c>
      <c r="C425" s="319" t="s">
        <v>711</v>
      </c>
      <c r="D425" s="319" t="s">
        <v>2619</v>
      </c>
      <c r="E425" s="319"/>
      <c r="F425" s="319" t="s">
        <v>3729</v>
      </c>
      <c r="G425" s="319" t="s">
        <v>3730</v>
      </c>
      <c r="H425" s="319" t="s">
        <v>2638</v>
      </c>
      <c r="I425" s="319" t="s">
        <v>3731</v>
      </c>
    </row>
    <row r="426" customFormat="false" ht="21.75" hidden="false" customHeight="true" outlineLevel="0" collapsed="false">
      <c r="A426" s="319" t="s">
        <v>3720</v>
      </c>
      <c r="B426" s="319" t="s">
        <v>1277</v>
      </c>
      <c r="C426" s="319" t="s">
        <v>711</v>
      </c>
      <c r="D426" s="319" t="s">
        <v>2619</v>
      </c>
      <c r="E426" s="319"/>
      <c r="F426" s="319" t="s">
        <v>3732</v>
      </c>
      <c r="G426" s="319" t="s">
        <v>3733</v>
      </c>
      <c r="H426" s="319" t="s">
        <v>2638</v>
      </c>
      <c r="I426" s="319" t="s">
        <v>3734</v>
      </c>
    </row>
    <row r="427" customFormat="false" ht="21.75" hidden="false" customHeight="true" outlineLevel="0" collapsed="false">
      <c r="A427" s="319" t="s">
        <v>3720</v>
      </c>
      <c r="B427" s="319" t="s">
        <v>1277</v>
      </c>
      <c r="C427" s="319" t="s">
        <v>711</v>
      </c>
      <c r="D427" s="319" t="s">
        <v>2619</v>
      </c>
      <c r="E427" s="319"/>
      <c r="F427" s="319" t="s">
        <v>3735</v>
      </c>
      <c r="G427" s="319" t="s">
        <v>3736</v>
      </c>
      <c r="H427" s="319" t="s">
        <v>2638</v>
      </c>
      <c r="I427" s="319" t="s">
        <v>3737</v>
      </c>
    </row>
    <row r="428" customFormat="false" ht="32.25" hidden="false" customHeight="true" outlineLevel="0" collapsed="false">
      <c r="A428" s="319" t="s">
        <v>3720</v>
      </c>
      <c r="B428" s="319" t="s">
        <v>1277</v>
      </c>
      <c r="C428" s="319" t="s">
        <v>711</v>
      </c>
      <c r="D428" s="319" t="s">
        <v>2619</v>
      </c>
      <c r="E428" s="319"/>
      <c r="F428" s="319" t="s">
        <v>3738</v>
      </c>
      <c r="G428" s="319" t="s">
        <v>3739</v>
      </c>
      <c r="H428" s="319" t="s">
        <v>2638</v>
      </c>
      <c r="I428" s="319" t="s">
        <v>3740</v>
      </c>
    </row>
    <row r="429" customFormat="false" ht="53.25" hidden="false" customHeight="true" outlineLevel="0" collapsed="false">
      <c r="A429" s="319" t="s">
        <v>3720</v>
      </c>
      <c r="B429" s="319" t="s">
        <v>1277</v>
      </c>
      <c r="C429" s="319" t="s">
        <v>712</v>
      </c>
      <c r="D429" s="319" t="s">
        <v>2953</v>
      </c>
      <c r="E429" s="319" t="s">
        <v>3741</v>
      </c>
      <c r="F429" s="319" t="s">
        <v>3742</v>
      </c>
      <c r="G429" s="319"/>
      <c r="H429" s="319" t="s">
        <v>2638</v>
      </c>
      <c r="I429" s="319" t="s">
        <v>3743</v>
      </c>
    </row>
    <row r="430" customFormat="false" ht="42.75" hidden="false" customHeight="true" outlineLevel="0" collapsed="false">
      <c r="A430" s="319" t="s">
        <v>3720</v>
      </c>
      <c r="B430" s="319" t="s">
        <v>1277</v>
      </c>
      <c r="C430" s="319" t="s">
        <v>712</v>
      </c>
      <c r="D430" s="319" t="s">
        <v>2940</v>
      </c>
      <c r="E430" s="319" t="s">
        <v>3744</v>
      </c>
      <c r="F430" s="319" t="s">
        <v>3745</v>
      </c>
      <c r="G430" s="319"/>
      <c r="H430" s="319" t="s">
        <v>2638</v>
      </c>
      <c r="I430" s="319" t="s">
        <v>3746</v>
      </c>
    </row>
    <row r="431" customFormat="false" ht="32.25" hidden="false" customHeight="true" outlineLevel="0" collapsed="false">
      <c r="A431" s="319" t="s">
        <v>3720</v>
      </c>
      <c r="B431" s="319" t="s">
        <v>1277</v>
      </c>
      <c r="C431" s="319" t="s">
        <v>712</v>
      </c>
      <c r="D431" s="319" t="s">
        <v>2962</v>
      </c>
      <c r="E431" s="319" t="s">
        <v>3747</v>
      </c>
      <c r="F431" s="319"/>
      <c r="G431" s="319"/>
      <c r="H431" s="319"/>
      <c r="I431" s="319"/>
    </row>
    <row r="432" customFormat="false" ht="32.25" hidden="false" customHeight="true" outlineLevel="0" collapsed="false">
      <c r="A432" s="319" t="s">
        <v>3720</v>
      </c>
      <c r="B432" s="319" t="s">
        <v>1277</v>
      </c>
      <c r="C432" s="319" t="s">
        <v>2635</v>
      </c>
      <c r="D432" s="319" t="s">
        <v>2916</v>
      </c>
      <c r="E432" s="319" t="s">
        <v>3748</v>
      </c>
      <c r="F432" s="319" t="s">
        <v>3749</v>
      </c>
      <c r="G432" s="319" t="s">
        <v>3750</v>
      </c>
      <c r="H432" s="319" t="s">
        <v>2638</v>
      </c>
      <c r="I432" s="319" t="s">
        <v>3751</v>
      </c>
    </row>
    <row r="433" customFormat="false" ht="63.75" hidden="false" customHeight="true" outlineLevel="0" collapsed="false">
      <c r="A433" s="319" t="s">
        <v>3720</v>
      </c>
      <c r="B433" s="319" t="s">
        <v>1277</v>
      </c>
      <c r="C433" s="319" t="s">
        <v>2635</v>
      </c>
      <c r="D433" s="319" t="s">
        <v>2940</v>
      </c>
      <c r="E433" s="319" t="s">
        <v>3752</v>
      </c>
      <c r="F433" s="319" t="s">
        <v>3753</v>
      </c>
      <c r="G433" s="319"/>
      <c r="H433" s="319" t="s">
        <v>2622</v>
      </c>
      <c r="I433" s="319" t="s">
        <v>3754</v>
      </c>
    </row>
    <row r="434" customFormat="false" ht="42.75" hidden="false" customHeight="true" outlineLevel="0" collapsed="false">
      <c r="A434" s="319" t="s">
        <v>3720</v>
      </c>
      <c r="B434" s="319" t="s">
        <v>1277</v>
      </c>
      <c r="C434" s="319" t="s">
        <v>2635</v>
      </c>
      <c r="D434" s="319" t="s">
        <v>2940</v>
      </c>
      <c r="E434" s="319" t="s">
        <v>3755</v>
      </c>
      <c r="F434" s="319" t="s">
        <v>3756</v>
      </c>
      <c r="G434" s="319"/>
      <c r="H434" s="319" t="s">
        <v>2622</v>
      </c>
      <c r="I434" s="319" t="s">
        <v>3757</v>
      </c>
    </row>
    <row r="435" customFormat="false" ht="32.25" hidden="false" customHeight="true" outlineLevel="0" collapsed="false">
      <c r="A435" s="319" t="s">
        <v>3720</v>
      </c>
      <c r="B435" s="319" t="s">
        <v>1277</v>
      </c>
      <c r="C435" s="319" t="s">
        <v>2635</v>
      </c>
      <c r="D435" s="319" t="s">
        <v>2916</v>
      </c>
      <c r="E435" s="319" t="s">
        <v>3758</v>
      </c>
      <c r="F435" s="319" t="s">
        <v>3759</v>
      </c>
      <c r="G435" s="319" t="s">
        <v>3760</v>
      </c>
      <c r="H435" s="319" t="s">
        <v>2638</v>
      </c>
      <c r="I435" s="319" t="s">
        <v>3761</v>
      </c>
    </row>
    <row r="436" customFormat="false" ht="42.75" hidden="false" customHeight="true" outlineLevel="0" collapsed="false">
      <c r="A436" s="319" t="s">
        <v>3720</v>
      </c>
      <c r="B436" s="319" t="s">
        <v>1277</v>
      </c>
      <c r="C436" s="319" t="s">
        <v>2635</v>
      </c>
      <c r="D436" s="319" t="s">
        <v>2940</v>
      </c>
      <c r="E436" s="319" t="s">
        <v>3762</v>
      </c>
      <c r="F436" s="319" t="s">
        <v>3763</v>
      </c>
      <c r="G436" s="319"/>
      <c r="H436" s="319" t="s">
        <v>2638</v>
      </c>
      <c r="I436" s="319" t="s">
        <v>3764</v>
      </c>
    </row>
    <row r="437" customFormat="false" ht="21.75" hidden="false" customHeight="true" outlineLevel="0" collapsed="false">
      <c r="A437" s="319" t="s">
        <v>3720</v>
      </c>
      <c r="B437" s="319" t="s">
        <v>1277</v>
      </c>
      <c r="C437" s="319" t="s">
        <v>2642</v>
      </c>
      <c r="D437" s="319" t="s">
        <v>2866</v>
      </c>
      <c r="E437" s="319" t="s">
        <v>1207</v>
      </c>
      <c r="F437" s="319"/>
      <c r="G437" s="319"/>
      <c r="H437" s="319" t="s">
        <v>2638</v>
      </c>
      <c r="I437" s="319" t="s">
        <v>3765</v>
      </c>
    </row>
    <row r="438" customFormat="false" ht="42.75" hidden="false" customHeight="true" outlineLevel="0" collapsed="false">
      <c r="A438" s="319" t="s">
        <v>3720</v>
      </c>
      <c r="B438" s="319" t="s">
        <v>1277</v>
      </c>
      <c r="C438" s="319" t="s">
        <v>2660</v>
      </c>
      <c r="D438" s="319" t="s">
        <v>2661</v>
      </c>
      <c r="E438" s="319"/>
      <c r="F438" s="319" t="s">
        <v>3766</v>
      </c>
      <c r="G438" s="319"/>
      <c r="H438" s="319" t="s">
        <v>2663</v>
      </c>
      <c r="I438" s="319"/>
    </row>
    <row r="439" customFormat="false" ht="42.75" hidden="false" customHeight="true" outlineLevel="0" collapsed="false">
      <c r="A439" s="319" t="s">
        <v>3767</v>
      </c>
      <c r="B439" s="319" t="s">
        <v>1291</v>
      </c>
      <c r="C439" s="319" t="s">
        <v>711</v>
      </c>
      <c r="D439" s="319" t="s">
        <v>2916</v>
      </c>
      <c r="E439" s="319" t="s">
        <v>3768</v>
      </c>
      <c r="F439" s="319" t="s">
        <v>3769</v>
      </c>
      <c r="G439" s="319"/>
      <c r="H439" s="319" t="s">
        <v>2638</v>
      </c>
      <c r="I439" s="319" t="s">
        <v>3770</v>
      </c>
    </row>
    <row r="440" customFormat="false" ht="53.25" hidden="false" customHeight="true" outlineLevel="0" collapsed="false">
      <c r="A440" s="319" t="s">
        <v>3767</v>
      </c>
      <c r="B440" s="319" t="s">
        <v>1291</v>
      </c>
      <c r="C440" s="319" t="s">
        <v>712</v>
      </c>
      <c r="D440" s="319" t="s">
        <v>2953</v>
      </c>
      <c r="E440" s="319" t="s">
        <v>3771</v>
      </c>
      <c r="F440" s="319" t="s">
        <v>3772</v>
      </c>
      <c r="G440" s="319"/>
      <c r="H440" s="319" t="s">
        <v>2638</v>
      </c>
      <c r="I440" s="319" t="s">
        <v>3369</v>
      </c>
    </row>
    <row r="441" customFormat="false" ht="53.25" hidden="false" customHeight="true" outlineLevel="0" collapsed="false">
      <c r="A441" s="319" t="s">
        <v>3767</v>
      </c>
      <c r="B441" s="319" t="s">
        <v>1291</v>
      </c>
      <c r="C441" s="319" t="s">
        <v>712</v>
      </c>
      <c r="D441" s="319" t="s">
        <v>2619</v>
      </c>
      <c r="E441" s="319"/>
      <c r="F441" s="319" t="s">
        <v>3773</v>
      </c>
      <c r="G441" s="319" t="s">
        <v>3774</v>
      </c>
      <c r="H441" s="319" t="s">
        <v>2638</v>
      </c>
      <c r="I441" s="319" t="s">
        <v>3775</v>
      </c>
    </row>
    <row r="442" customFormat="false" ht="32.25" hidden="false" customHeight="true" outlineLevel="0" collapsed="false">
      <c r="A442" s="319" t="s">
        <v>3767</v>
      </c>
      <c r="B442" s="319" t="s">
        <v>1291</v>
      </c>
      <c r="C442" s="319" t="s">
        <v>2635</v>
      </c>
      <c r="D442" s="319" t="s">
        <v>2916</v>
      </c>
      <c r="E442" s="319" t="s">
        <v>3776</v>
      </c>
      <c r="F442" s="319" t="s">
        <v>3777</v>
      </c>
      <c r="G442" s="319"/>
      <c r="H442" s="319" t="s">
        <v>2638</v>
      </c>
      <c r="I442" s="319" t="s">
        <v>3778</v>
      </c>
    </row>
    <row r="443" customFormat="false" ht="32.25" hidden="false" customHeight="true" outlineLevel="0" collapsed="false">
      <c r="A443" s="319" t="s">
        <v>3767</v>
      </c>
      <c r="B443" s="319" t="s">
        <v>1291</v>
      </c>
      <c r="C443" s="319" t="s">
        <v>2642</v>
      </c>
      <c r="D443" s="319" t="s">
        <v>2916</v>
      </c>
      <c r="E443" s="319" t="s">
        <v>3779</v>
      </c>
      <c r="F443" s="319" t="s">
        <v>3780</v>
      </c>
      <c r="G443" s="319"/>
      <c r="H443" s="319" t="s">
        <v>2638</v>
      </c>
      <c r="I443" s="319" t="s">
        <v>3781</v>
      </c>
    </row>
    <row r="444" customFormat="false" ht="32.25" hidden="false" customHeight="true" outlineLevel="0" collapsed="false">
      <c r="A444" s="319" t="s">
        <v>3767</v>
      </c>
      <c r="B444" s="319" t="s">
        <v>1291</v>
      </c>
      <c r="C444" s="319" t="s">
        <v>2660</v>
      </c>
      <c r="D444" s="319" t="s">
        <v>2661</v>
      </c>
      <c r="E444" s="319"/>
      <c r="F444" s="319" t="s">
        <v>3782</v>
      </c>
      <c r="G444" s="319"/>
      <c r="H444" s="319" t="s">
        <v>2708</v>
      </c>
      <c r="I444" s="319"/>
    </row>
    <row r="445" customFormat="false" ht="53.25" hidden="false" customHeight="true" outlineLevel="0" collapsed="false">
      <c r="A445" s="319" t="s">
        <v>3783</v>
      </c>
      <c r="B445" s="319" t="s">
        <v>1308</v>
      </c>
      <c r="C445" s="319" t="s">
        <v>711</v>
      </c>
      <c r="D445" s="319" t="s">
        <v>2866</v>
      </c>
      <c r="E445" s="319" t="s">
        <v>3784</v>
      </c>
      <c r="F445" s="319"/>
      <c r="G445" s="319" t="s">
        <v>3785</v>
      </c>
      <c r="H445" s="319" t="s">
        <v>2638</v>
      </c>
      <c r="I445" s="319" t="s">
        <v>3786</v>
      </c>
    </row>
    <row r="446" customFormat="false" ht="32.25" hidden="false" customHeight="true" outlineLevel="0" collapsed="false">
      <c r="A446" s="319" t="s">
        <v>3783</v>
      </c>
      <c r="B446" s="319" t="s">
        <v>1308</v>
      </c>
      <c r="C446" s="319" t="s">
        <v>711</v>
      </c>
      <c r="D446" s="319" t="s">
        <v>2916</v>
      </c>
      <c r="E446" s="319" t="s">
        <v>3787</v>
      </c>
      <c r="F446" s="319" t="s">
        <v>3788</v>
      </c>
      <c r="G446" s="319" t="s">
        <v>3789</v>
      </c>
      <c r="H446" s="319" t="s">
        <v>2626</v>
      </c>
      <c r="I446" s="319" t="s">
        <v>3790</v>
      </c>
    </row>
    <row r="447" customFormat="false" ht="32.25" hidden="false" customHeight="true" outlineLevel="0" collapsed="false">
      <c r="A447" s="319" t="s">
        <v>3783</v>
      </c>
      <c r="B447" s="319" t="s">
        <v>1308</v>
      </c>
      <c r="C447" s="319" t="s">
        <v>711</v>
      </c>
      <c r="D447" s="319" t="s">
        <v>2916</v>
      </c>
      <c r="E447" s="319" t="s">
        <v>3791</v>
      </c>
      <c r="F447" s="319" t="s">
        <v>3792</v>
      </c>
      <c r="G447" s="319" t="s">
        <v>3793</v>
      </c>
      <c r="H447" s="319" t="s">
        <v>2626</v>
      </c>
      <c r="I447" s="319" t="s">
        <v>3794</v>
      </c>
    </row>
    <row r="448" customFormat="false" ht="42.75" hidden="false" customHeight="true" outlineLevel="0" collapsed="false">
      <c r="A448" s="319" t="s">
        <v>3783</v>
      </c>
      <c r="B448" s="319" t="s">
        <v>1308</v>
      </c>
      <c r="C448" s="319" t="s">
        <v>711</v>
      </c>
      <c r="D448" s="319" t="s">
        <v>2619</v>
      </c>
      <c r="E448" s="319"/>
      <c r="F448" s="319" t="s">
        <v>3795</v>
      </c>
      <c r="G448" s="319" t="s">
        <v>3796</v>
      </c>
      <c r="H448" s="319" t="s">
        <v>2638</v>
      </c>
      <c r="I448" s="319" t="s">
        <v>3797</v>
      </c>
    </row>
    <row r="449" customFormat="false" ht="32.25" hidden="false" customHeight="true" outlineLevel="0" collapsed="false">
      <c r="A449" s="319" t="s">
        <v>3783</v>
      </c>
      <c r="B449" s="319" t="s">
        <v>1308</v>
      </c>
      <c r="C449" s="319" t="s">
        <v>711</v>
      </c>
      <c r="D449" s="319" t="s">
        <v>2619</v>
      </c>
      <c r="E449" s="319"/>
      <c r="F449" s="319" t="s">
        <v>3798</v>
      </c>
      <c r="G449" s="319" t="s">
        <v>3799</v>
      </c>
      <c r="H449" s="319" t="s">
        <v>2638</v>
      </c>
      <c r="I449" s="319" t="s">
        <v>3800</v>
      </c>
    </row>
    <row r="450" customFormat="false" ht="53.25" hidden="false" customHeight="true" outlineLevel="0" collapsed="false">
      <c r="A450" s="319" t="s">
        <v>3783</v>
      </c>
      <c r="B450" s="319" t="s">
        <v>1308</v>
      </c>
      <c r="C450" s="319" t="s">
        <v>711</v>
      </c>
      <c r="D450" s="319" t="s">
        <v>2619</v>
      </c>
      <c r="E450" s="319"/>
      <c r="F450" s="319" t="s">
        <v>3801</v>
      </c>
      <c r="G450" s="319" t="s">
        <v>3802</v>
      </c>
      <c r="H450" s="319" t="s">
        <v>2638</v>
      </c>
      <c r="I450" s="319" t="s">
        <v>3803</v>
      </c>
    </row>
    <row r="451" customFormat="false" ht="32.25" hidden="false" customHeight="true" outlineLevel="0" collapsed="false">
      <c r="A451" s="319" t="s">
        <v>3783</v>
      </c>
      <c r="B451" s="319" t="s">
        <v>1308</v>
      </c>
      <c r="C451" s="319" t="s">
        <v>712</v>
      </c>
      <c r="D451" s="319" t="s">
        <v>2953</v>
      </c>
      <c r="E451" s="319" t="s">
        <v>3804</v>
      </c>
      <c r="F451" s="319" t="s">
        <v>3805</v>
      </c>
      <c r="G451" s="319" t="s">
        <v>3806</v>
      </c>
      <c r="H451" s="319" t="s">
        <v>2638</v>
      </c>
      <c r="I451" s="319" t="s">
        <v>3807</v>
      </c>
    </row>
    <row r="452" customFormat="false" ht="32.25" hidden="false" customHeight="true" outlineLevel="0" collapsed="false">
      <c r="A452" s="319" t="s">
        <v>3783</v>
      </c>
      <c r="B452" s="319" t="s">
        <v>1308</v>
      </c>
      <c r="C452" s="319" t="s">
        <v>712</v>
      </c>
      <c r="D452" s="319" t="s">
        <v>2619</v>
      </c>
      <c r="E452" s="319"/>
      <c r="F452" s="319" t="s">
        <v>3808</v>
      </c>
      <c r="G452" s="319" t="s">
        <v>3809</v>
      </c>
      <c r="H452" s="319" t="s">
        <v>2638</v>
      </c>
      <c r="I452" s="319" t="s">
        <v>3810</v>
      </c>
    </row>
    <row r="453" customFormat="false" ht="32.25" hidden="false" customHeight="true" outlineLevel="0" collapsed="false">
      <c r="A453" s="319" t="s">
        <v>3783</v>
      </c>
      <c r="B453" s="319" t="s">
        <v>1308</v>
      </c>
      <c r="C453" s="319" t="s">
        <v>2635</v>
      </c>
      <c r="D453" s="319" t="s">
        <v>2916</v>
      </c>
      <c r="E453" s="319" t="s">
        <v>3811</v>
      </c>
      <c r="F453" s="319" t="s">
        <v>3812</v>
      </c>
      <c r="G453" s="319" t="s">
        <v>3789</v>
      </c>
      <c r="H453" s="319" t="s">
        <v>2626</v>
      </c>
      <c r="I453" s="319" t="s">
        <v>3794</v>
      </c>
    </row>
    <row r="454" customFormat="false" ht="32.25" hidden="false" customHeight="true" outlineLevel="0" collapsed="false">
      <c r="A454" s="319" t="s">
        <v>3783</v>
      </c>
      <c r="B454" s="319" t="s">
        <v>1308</v>
      </c>
      <c r="C454" s="319" t="s">
        <v>2635</v>
      </c>
      <c r="D454" s="319" t="s">
        <v>2619</v>
      </c>
      <c r="E454" s="319"/>
      <c r="F454" s="319" t="s">
        <v>3813</v>
      </c>
      <c r="G454" s="319" t="s">
        <v>3802</v>
      </c>
      <c r="H454" s="319" t="s">
        <v>2638</v>
      </c>
      <c r="I454" s="319" t="s">
        <v>3814</v>
      </c>
    </row>
    <row r="455" customFormat="false" ht="42.75" hidden="false" customHeight="true" outlineLevel="0" collapsed="false">
      <c r="A455" s="319" t="s">
        <v>3783</v>
      </c>
      <c r="B455" s="319" t="s">
        <v>1308</v>
      </c>
      <c r="C455" s="319" t="s">
        <v>2642</v>
      </c>
      <c r="D455" s="319" t="s">
        <v>2953</v>
      </c>
      <c r="E455" s="319" t="s">
        <v>1207</v>
      </c>
      <c r="F455" s="319" t="s">
        <v>3815</v>
      </c>
      <c r="G455" s="319"/>
      <c r="H455" s="319" t="s">
        <v>2638</v>
      </c>
      <c r="I455" s="319" t="s">
        <v>3816</v>
      </c>
    </row>
    <row r="456" customFormat="false" ht="42.75" hidden="false" customHeight="true" outlineLevel="0" collapsed="false">
      <c r="A456" s="319" t="s">
        <v>3783</v>
      </c>
      <c r="B456" s="319" t="s">
        <v>1308</v>
      </c>
      <c r="C456" s="319" t="s">
        <v>2642</v>
      </c>
      <c r="D456" s="319" t="s">
        <v>2619</v>
      </c>
      <c r="E456" s="319"/>
      <c r="F456" s="319" t="s">
        <v>3817</v>
      </c>
      <c r="G456" s="319" t="s">
        <v>3818</v>
      </c>
      <c r="H456" s="319" t="s">
        <v>2638</v>
      </c>
      <c r="I456" s="319" t="s">
        <v>3819</v>
      </c>
    </row>
    <row r="457" customFormat="false" ht="21.75" hidden="false" customHeight="true" outlineLevel="0" collapsed="false">
      <c r="A457" s="319" t="s">
        <v>3783</v>
      </c>
      <c r="B457" s="319" t="s">
        <v>1308</v>
      </c>
      <c r="C457" s="319" t="s">
        <v>2642</v>
      </c>
      <c r="D457" s="319" t="s">
        <v>2619</v>
      </c>
      <c r="E457" s="319"/>
      <c r="F457" s="319" t="s">
        <v>3820</v>
      </c>
      <c r="G457" s="319" t="s">
        <v>3809</v>
      </c>
      <c r="H457" s="319" t="s">
        <v>2638</v>
      </c>
      <c r="I457" s="319" t="s">
        <v>3821</v>
      </c>
    </row>
    <row r="458" customFormat="false" ht="42.75" hidden="false" customHeight="true" outlineLevel="0" collapsed="false">
      <c r="A458" s="319" t="s">
        <v>3783</v>
      </c>
      <c r="B458" s="319" t="s">
        <v>1308</v>
      </c>
      <c r="C458" s="319" t="s">
        <v>2660</v>
      </c>
      <c r="D458" s="319" t="s">
        <v>2661</v>
      </c>
      <c r="E458" s="319"/>
      <c r="F458" s="319" t="s">
        <v>3822</v>
      </c>
      <c r="G458" s="319"/>
      <c r="H458" s="319" t="s">
        <v>2663</v>
      </c>
      <c r="I458" s="319"/>
    </row>
    <row r="459" customFormat="false" ht="53.25" hidden="false" customHeight="true" outlineLevel="0" collapsed="false">
      <c r="A459" s="319" t="s">
        <v>3823</v>
      </c>
      <c r="B459" s="319" t="s">
        <v>3824</v>
      </c>
      <c r="C459" s="319" t="s">
        <v>711</v>
      </c>
      <c r="D459" s="319" t="s">
        <v>2916</v>
      </c>
      <c r="E459" s="319" t="s">
        <v>3825</v>
      </c>
      <c r="F459" s="319" t="s">
        <v>3826</v>
      </c>
      <c r="G459" s="319"/>
      <c r="H459" s="319" t="s">
        <v>2626</v>
      </c>
      <c r="I459" s="319" t="s">
        <v>3827</v>
      </c>
    </row>
    <row r="460" customFormat="false" ht="42.75" hidden="false" customHeight="true" outlineLevel="0" collapsed="false">
      <c r="A460" s="319" t="s">
        <v>3823</v>
      </c>
      <c r="B460" s="319" t="s">
        <v>3824</v>
      </c>
      <c r="C460" s="319" t="s">
        <v>711</v>
      </c>
      <c r="D460" s="319" t="s">
        <v>2916</v>
      </c>
      <c r="E460" s="319" t="s">
        <v>3828</v>
      </c>
      <c r="F460" s="319" t="s">
        <v>3829</v>
      </c>
      <c r="G460" s="319"/>
      <c r="H460" s="319" t="s">
        <v>2626</v>
      </c>
      <c r="I460" s="319" t="s">
        <v>3794</v>
      </c>
    </row>
    <row r="461" customFormat="false" ht="32.25" hidden="false" customHeight="true" outlineLevel="0" collapsed="false">
      <c r="A461" s="319" t="s">
        <v>3823</v>
      </c>
      <c r="B461" s="319" t="s">
        <v>3824</v>
      </c>
      <c r="C461" s="319" t="s">
        <v>711</v>
      </c>
      <c r="D461" s="319" t="s">
        <v>2619</v>
      </c>
      <c r="E461" s="319"/>
      <c r="F461" s="319" t="s">
        <v>3830</v>
      </c>
      <c r="G461" s="319" t="s">
        <v>3831</v>
      </c>
      <c r="H461" s="319" t="s">
        <v>2638</v>
      </c>
      <c r="I461" s="319" t="s">
        <v>3832</v>
      </c>
    </row>
    <row r="462" customFormat="false" ht="42.75" hidden="false" customHeight="true" outlineLevel="0" collapsed="false">
      <c r="A462" s="319" t="s">
        <v>3823</v>
      </c>
      <c r="B462" s="319" t="s">
        <v>3824</v>
      </c>
      <c r="C462" s="319" t="s">
        <v>712</v>
      </c>
      <c r="D462" s="319" t="s">
        <v>2953</v>
      </c>
      <c r="E462" s="319" t="s">
        <v>3833</v>
      </c>
      <c r="F462" s="319" t="s">
        <v>3834</v>
      </c>
      <c r="G462" s="319"/>
      <c r="H462" s="319" t="s">
        <v>2638</v>
      </c>
      <c r="I462" s="319" t="s">
        <v>3369</v>
      </c>
    </row>
    <row r="463" customFormat="false" ht="53.25" hidden="false" customHeight="true" outlineLevel="0" collapsed="false">
      <c r="A463" s="319" t="s">
        <v>3823</v>
      </c>
      <c r="B463" s="319" t="s">
        <v>3824</v>
      </c>
      <c r="C463" s="319" t="s">
        <v>2635</v>
      </c>
      <c r="D463" s="319" t="s">
        <v>2953</v>
      </c>
      <c r="E463" s="319" t="s">
        <v>3835</v>
      </c>
      <c r="F463" s="319" t="s">
        <v>3836</v>
      </c>
      <c r="G463" s="319" t="s">
        <v>3837</v>
      </c>
      <c r="H463" s="319" t="s">
        <v>2638</v>
      </c>
      <c r="I463" s="319" t="s">
        <v>3838</v>
      </c>
    </row>
    <row r="464" customFormat="false" ht="53.25" hidden="false" customHeight="true" outlineLevel="0" collapsed="false">
      <c r="A464" s="319" t="s">
        <v>3823</v>
      </c>
      <c r="B464" s="319" t="s">
        <v>3824</v>
      </c>
      <c r="C464" s="319" t="s">
        <v>2635</v>
      </c>
      <c r="D464" s="319" t="s">
        <v>2619</v>
      </c>
      <c r="E464" s="319"/>
      <c r="F464" s="319" t="s">
        <v>3839</v>
      </c>
      <c r="G464" s="319" t="s">
        <v>3840</v>
      </c>
      <c r="H464" s="319" t="s">
        <v>2638</v>
      </c>
      <c r="I464" s="319" t="s">
        <v>3841</v>
      </c>
    </row>
    <row r="465" customFormat="false" ht="32.25" hidden="false" customHeight="true" outlineLevel="0" collapsed="false">
      <c r="A465" s="319" t="s">
        <v>3823</v>
      </c>
      <c r="B465" s="319" t="s">
        <v>3824</v>
      </c>
      <c r="C465" s="319" t="s">
        <v>2635</v>
      </c>
      <c r="D465" s="319" t="s">
        <v>2619</v>
      </c>
      <c r="E465" s="319"/>
      <c r="F465" s="319" t="s">
        <v>3842</v>
      </c>
      <c r="G465" s="319" t="s">
        <v>3831</v>
      </c>
      <c r="H465" s="319" t="s">
        <v>2638</v>
      </c>
      <c r="I465" s="319" t="s">
        <v>3843</v>
      </c>
    </row>
    <row r="466" customFormat="false" ht="21.75" hidden="false" customHeight="true" outlineLevel="0" collapsed="false">
      <c r="A466" s="319" t="s">
        <v>3823</v>
      </c>
      <c r="B466" s="319" t="s">
        <v>3824</v>
      </c>
      <c r="C466" s="319" t="s">
        <v>2635</v>
      </c>
      <c r="D466" s="319" t="s">
        <v>2619</v>
      </c>
      <c r="E466" s="319"/>
      <c r="F466" s="319" t="s">
        <v>3844</v>
      </c>
      <c r="G466" s="319" t="s">
        <v>3845</v>
      </c>
      <c r="H466" s="319" t="s">
        <v>2638</v>
      </c>
      <c r="I466" s="319" t="s">
        <v>3846</v>
      </c>
    </row>
    <row r="467" customFormat="false" ht="32.25" hidden="false" customHeight="true" outlineLevel="0" collapsed="false">
      <c r="A467" s="319" t="s">
        <v>3823</v>
      </c>
      <c r="B467" s="319" t="s">
        <v>3824</v>
      </c>
      <c r="C467" s="319" t="s">
        <v>2642</v>
      </c>
      <c r="D467" s="319" t="s">
        <v>2866</v>
      </c>
      <c r="E467" s="319" t="s">
        <v>1207</v>
      </c>
      <c r="F467" s="319"/>
      <c r="G467" s="319"/>
      <c r="H467" s="319" t="s">
        <v>2638</v>
      </c>
      <c r="I467" s="319" t="s">
        <v>3847</v>
      </c>
    </row>
    <row r="468" customFormat="false" ht="42.75" hidden="false" customHeight="true" outlineLevel="0" collapsed="false">
      <c r="A468" s="319" t="s">
        <v>3823</v>
      </c>
      <c r="B468" s="319" t="s">
        <v>3824</v>
      </c>
      <c r="C468" s="319" t="s">
        <v>2660</v>
      </c>
      <c r="D468" s="319" t="s">
        <v>2661</v>
      </c>
      <c r="E468" s="319"/>
      <c r="F468" s="319" t="s">
        <v>3848</v>
      </c>
      <c r="G468" s="319"/>
      <c r="H468" s="319" t="s">
        <v>2663</v>
      </c>
      <c r="I468" s="319"/>
    </row>
    <row r="469" customFormat="false" ht="42.75" hidden="false" customHeight="true" outlineLevel="0" collapsed="false">
      <c r="A469" s="319" t="s">
        <v>3849</v>
      </c>
      <c r="B469" s="319" t="s">
        <v>2515</v>
      </c>
      <c r="C469" s="319" t="s">
        <v>711</v>
      </c>
      <c r="D469" s="319" t="s">
        <v>2643</v>
      </c>
      <c r="E469" s="319"/>
      <c r="F469" s="319" t="s">
        <v>3850</v>
      </c>
      <c r="G469" s="319"/>
      <c r="H469" s="319"/>
      <c r="I469" s="319"/>
    </row>
    <row r="470" customFormat="false" ht="32.25" hidden="false" customHeight="true" outlineLevel="0" collapsed="false">
      <c r="A470" s="319" t="s">
        <v>3849</v>
      </c>
      <c r="B470" s="319" t="s">
        <v>2515</v>
      </c>
      <c r="C470" s="319" t="s">
        <v>712</v>
      </c>
      <c r="D470" s="319" t="s">
        <v>2643</v>
      </c>
      <c r="E470" s="319"/>
      <c r="F470" s="319" t="s">
        <v>3851</v>
      </c>
      <c r="G470" s="319"/>
      <c r="H470" s="319"/>
      <c r="I470" s="319"/>
    </row>
    <row r="471" customFormat="false" ht="42.75" hidden="false" customHeight="true" outlineLevel="0" collapsed="false">
      <c r="A471" s="319" t="s">
        <v>3849</v>
      </c>
      <c r="B471" s="319" t="s">
        <v>2515</v>
      </c>
      <c r="C471" s="319" t="s">
        <v>2635</v>
      </c>
      <c r="D471" s="319" t="s">
        <v>2619</v>
      </c>
      <c r="E471" s="319"/>
      <c r="F471" s="319" t="s">
        <v>3852</v>
      </c>
      <c r="G471" s="319" t="s">
        <v>3853</v>
      </c>
      <c r="H471" s="319" t="s">
        <v>2622</v>
      </c>
      <c r="I471" s="319" t="s">
        <v>3854</v>
      </c>
    </row>
    <row r="472" customFormat="false" ht="53.25" hidden="false" customHeight="true" outlineLevel="0" collapsed="false">
      <c r="A472" s="319" t="s">
        <v>3849</v>
      </c>
      <c r="B472" s="319" t="s">
        <v>2515</v>
      </c>
      <c r="C472" s="319" t="s">
        <v>2635</v>
      </c>
      <c r="D472" s="319" t="s">
        <v>2619</v>
      </c>
      <c r="E472" s="319"/>
      <c r="F472" s="319" t="s">
        <v>3855</v>
      </c>
      <c r="G472" s="319" t="s">
        <v>1339</v>
      </c>
      <c r="H472" s="319" t="s">
        <v>2622</v>
      </c>
      <c r="I472" s="319" t="s">
        <v>3856</v>
      </c>
    </row>
    <row r="473" customFormat="false" ht="42.75" hidden="false" customHeight="true" outlineLevel="0" collapsed="false">
      <c r="A473" s="319" t="s">
        <v>3849</v>
      </c>
      <c r="B473" s="319" t="s">
        <v>2515</v>
      </c>
      <c r="C473" s="319" t="s">
        <v>2635</v>
      </c>
      <c r="D473" s="319" t="s">
        <v>2619</v>
      </c>
      <c r="E473" s="319"/>
      <c r="F473" s="319" t="s">
        <v>3857</v>
      </c>
      <c r="G473" s="319" t="s">
        <v>3858</v>
      </c>
      <c r="H473" s="319" t="s">
        <v>2622</v>
      </c>
      <c r="I473" s="319" t="s">
        <v>3859</v>
      </c>
    </row>
    <row r="474" customFormat="false" ht="21.75" hidden="false" customHeight="true" outlineLevel="0" collapsed="false">
      <c r="A474" s="319" t="s">
        <v>3849</v>
      </c>
      <c r="B474" s="319" t="s">
        <v>2515</v>
      </c>
      <c r="C474" s="319" t="s">
        <v>2642</v>
      </c>
      <c r="D474" s="319" t="s">
        <v>2643</v>
      </c>
      <c r="E474" s="319"/>
      <c r="F474" s="319" t="s">
        <v>3860</v>
      </c>
      <c r="G474" s="319"/>
      <c r="H474" s="319"/>
      <c r="I474" s="319"/>
    </row>
    <row r="475" customFormat="false" ht="32.25" hidden="false" customHeight="true" outlineLevel="0" collapsed="false">
      <c r="A475" s="319" t="s">
        <v>3849</v>
      </c>
      <c r="B475" s="319" t="s">
        <v>2515</v>
      </c>
      <c r="C475" s="319" t="s">
        <v>2660</v>
      </c>
      <c r="D475" s="319" t="s">
        <v>2661</v>
      </c>
      <c r="E475" s="319"/>
      <c r="F475" s="319" t="s">
        <v>3861</v>
      </c>
      <c r="G475" s="319"/>
      <c r="H475" s="319" t="s">
        <v>2778</v>
      </c>
      <c r="I475" s="319"/>
    </row>
    <row r="476" customFormat="false" ht="53.25" hidden="false" customHeight="true" outlineLevel="0" collapsed="false">
      <c r="A476" s="319" t="s">
        <v>3862</v>
      </c>
      <c r="B476" s="319" t="s">
        <v>1344</v>
      </c>
      <c r="C476" s="319" t="s">
        <v>711</v>
      </c>
      <c r="D476" s="319" t="s">
        <v>2619</v>
      </c>
      <c r="E476" s="319"/>
      <c r="F476" s="319" t="s">
        <v>3863</v>
      </c>
      <c r="G476" s="319" t="s">
        <v>3864</v>
      </c>
      <c r="H476" s="319" t="s">
        <v>2622</v>
      </c>
      <c r="I476" s="319" t="s">
        <v>3865</v>
      </c>
    </row>
    <row r="477" customFormat="false" ht="63.75" hidden="false" customHeight="true" outlineLevel="0" collapsed="false">
      <c r="A477" s="319" t="s">
        <v>3862</v>
      </c>
      <c r="B477" s="319" t="s">
        <v>1344</v>
      </c>
      <c r="C477" s="319" t="s">
        <v>712</v>
      </c>
      <c r="D477" s="319" t="s">
        <v>2619</v>
      </c>
      <c r="E477" s="319"/>
      <c r="F477" s="319" t="s">
        <v>3866</v>
      </c>
      <c r="G477" s="319" t="s">
        <v>3864</v>
      </c>
      <c r="H477" s="319" t="s">
        <v>3867</v>
      </c>
      <c r="I477" s="319" t="s">
        <v>3868</v>
      </c>
    </row>
    <row r="478" customFormat="false" ht="84.75" hidden="false" customHeight="true" outlineLevel="0" collapsed="false">
      <c r="A478" s="319" t="s">
        <v>3862</v>
      </c>
      <c r="B478" s="319" t="s">
        <v>1344</v>
      </c>
      <c r="C478" s="319" t="s">
        <v>2635</v>
      </c>
      <c r="D478" s="319" t="s">
        <v>2619</v>
      </c>
      <c r="E478" s="319"/>
      <c r="F478" s="319" t="s">
        <v>3869</v>
      </c>
      <c r="G478" s="319" t="s">
        <v>3870</v>
      </c>
      <c r="H478" s="319" t="s">
        <v>2638</v>
      </c>
      <c r="I478" s="319" t="s">
        <v>3871</v>
      </c>
    </row>
    <row r="479" customFormat="false" ht="42.75" hidden="false" customHeight="true" outlineLevel="0" collapsed="false">
      <c r="A479" s="319" t="s">
        <v>3862</v>
      </c>
      <c r="B479" s="319" t="s">
        <v>1344</v>
      </c>
      <c r="C479" s="319" t="s">
        <v>2635</v>
      </c>
      <c r="D479" s="319" t="s">
        <v>2619</v>
      </c>
      <c r="E479" s="319"/>
      <c r="F479" s="319" t="s">
        <v>3872</v>
      </c>
      <c r="G479" s="319" t="s">
        <v>3873</v>
      </c>
      <c r="H479" s="319" t="s">
        <v>2626</v>
      </c>
      <c r="I479" s="319" t="s">
        <v>3874</v>
      </c>
    </row>
    <row r="480" customFormat="false" ht="32.25" hidden="false" customHeight="true" outlineLevel="0" collapsed="false">
      <c r="A480" s="319" t="s">
        <v>3862</v>
      </c>
      <c r="B480" s="319" t="s">
        <v>1344</v>
      </c>
      <c r="C480" s="319" t="s">
        <v>2642</v>
      </c>
      <c r="D480" s="319" t="s">
        <v>2643</v>
      </c>
      <c r="E480" s="319"/>
      <c r="F480" s="319" t="s">
        <v>3875</v>
      </c>
      <c r="G480" s="319"/>
      <c r="H480" s="319"/>
      <c r="I480" s="319"/>
    </row>
    <row r="481" customFormat="false" ht="42.75" hidden="false" customHeight="true" outlineLevel="0" collapsed="false">
      <c r="A481" s="319" t="s">
        <v>3862</v>
      </c>
      <c r="B481" s="319" t="s">
        <v>1344</v>
      </c>
      <c r="C481" s="319" t="s">
        <v>2660</v>
      </c>
      <c r="D481" s="319" t="s">
        <v>2661</v>
      </c>
      <c r="E481" s="319"/>
      <c r="F481" s="319" t="s">
        <v>3876</v>
      </c>
      <c r="G481" s="319"/>
      <c r="H481" s="319" t="s">
        <v>2663</v>
      </c>
      <c r="I481" s="319"/>
    </row>
    <row r="482" customFormat="false" ht="32.25" hidden="false" customHeight="true" outlineLevel="0" collapsed="false">
      <c r="A482" s="319" t="s">
        <v>3877</v>
      </c>
      <c r="B482" s="319" t="s">
        <v>1358</v>
      </c>
      <c r="C482" s="319" t="s">
        <v>711</v>
      </c>
      <c r="D482" s="319" t="s">
        <v>2643</v>
      </c>
      <c r="E482" s="319"/>
      <c r="F482" s="319" t="s">
        <v>3878</v>
      </c>
      <c r="G482" s="319"/>
      <c r="H482" s="319"/>
      <c r="I482" s="319"/>
    </row>
    <row r="483" customFormat="false" ht="21.75" hidden="false" customHeight="true" outlineLevel="0" collapsed="false">
      <c r="A483" s="319" t="s">
        <v>3877</v>
      </c>
      <c r="B483" s="319" t="s">
        <v>1358</v>
      </c>
      <c r="C483" s="319" t="s">
        <v>712</v>
      </c>
      <c r="D483" s="319" t="s">
        <v>2643</v>
      </c>
      <c r="E483" s="319"/>
      <c r="F483" s="319" t="s">
        <v>3879</v>
      </c>
      <c r="G483" s="319"/>
      <c r="H483" s="319"/>
      <c r="I483" s="319"/>
    </row>
    <row r="484" customFormat="false" ht="42.75" hidden="false" customHeight="true" outlineLevel="0" collapsed="false">
      <c r="A484" s="319" t="s">
        <v>3877</v>
      </c>
      <c r="B484" s="319" t="s">
        <v>1358</v>
      </c>
      <c r="C484" s="319" t="s">
        <v>2635</v>
      </c>
      <c r="D484" s="319" t="s">
        <v>2619</v>
      </c>
      <c r="E484" s="319"/>
      <c r="F484" s="319" t="s">
        <v>3880</v>
      </c>
      <c r="G484" s="319" t="s">
        <v>3881</v>
      </c>
      <c r="H484" s="319" t="s">
        <v>2622</v>
      </c>
      <c r="I484" s="319" t="s">
        <v>3882</v>
      </c>
    </row>
    <row r="485" customFormat="false" ht="32.25" hidden="false" customHeight="true" outlineLevel="0" collapsed="false">
      <c r="A485" s="319" t="s">
        <v>3877</v>
      </c>
      <c r="B485" s="319" t="s">
        <v>1358</v>
      </c>
      <c r="C485" s="319" t="s">
        <v>2635</v>
      </c>
      <c r="D485" s="319" t="s">
        <v>2619</v>
      </c>
      <c r="E485" s="319"/>
      <c r="F485" s="319" t="s">
        <v>3883</v>
      </c>
      <c r="G485" s="319" t="s">
        <v>3884</v>
      </c>
      <c r="H485" s="319" t="s">
        <v>2622</v>
      </c>
      <c r="I485" s="319" t="s">
        <v>3885</v>
      </c>
    </row>
    <row r="486" customFormat="false" ht="32.25" hidden="false" customHeight="true" outlineLevel="0" collapsed="false">
      <c r="A486" s="319" t="s">
        <v>3877</v>
      </c>
      <c r="B486" s="319" t="s">
        <v>1358</v>
      </c>
      <c r="C486" s="319" t="s">
        <v>2642</v>
      </c>
      <c r="D486" s="319" t="s">
        <v>2643</v>
      </c>
      <c r="E486" s="319"/>
      <c r="F486" s="319" t="s">
        <v>3886</v>
      </c>
      <c r="G486" s="319"/>
      <c r="H486" s="319"/>
      <c r="I486" s="319"/>
    </row>
    <row r="487" customFormat="false" ht="42.75" hidden="false" customHeight="true" outlineLevel="0" collapsed="false">
      <c r="A487" s="319" t="s">
        <v>3877</v>
      </c>
      <c r="B487" s="319" t="s">
        <v>1358</v>
      </c>
      <c r="C487" s="319" t="s">
        <v>2660</v>
      </c>
      <c r="D487" s="319" t="s">
        <v>2661</v>
      </c>
      <c r="E487" s="319"/>
      <c r="F487" s="319" t="s">
        <v>3887</v>
      </c>
      <c r="G487" s="319"/>
      <c r="H487" s="319" t="s">
        <v>2708</v>
      </c>
      <c r="I487" s="319"/>
    </row>
    <row r="488" customFormat="false" ht="32.25" hidden="false" customHeight="true" outlineLevel="0" collapsed="false">
      <c r="A488" s="319" t="s">
        <v>3888</v>
      </c>
      <c r="B488" s="319" t="s">
        <v>129</v>
      </c>
      <c r="C488" s="319" t="s">
        <v>711</v>
      </c>
      <c r="D488" s="319" t="s">
        <v>2643</v>
      </c>
      <c r="E488" s="319"/>
      <c r="F488" s="319" t="s">
        <v>3889</v>
      </c>
      <c r="G488" s="319"/>
      <c r="H488" s="319"/>
      <c r="I488" s="319"/>
    </row>
    <row r="489" customFormat="false" ht="21.75" hidden="false" customHeight="true" outlineLevel="0" collapsed="false">
      <c r="A489" s="319" t="s">
        <v>3888</v>
      </c>
      <c r="B489" s="319" t="s">
        <v>129</v>
      </c>
      <c r="C489" s="319" t="s">
        <v>712</v>
      </c>
      <c r="D489" s="319" t="s">
        <v>2643</v>
      </c>
      <c r="E489" s="319"/>
      <c r="F489" s="319" t="s">
        <v>3890</v>
      </c>
      <c r="G489" s="319"/>
      <c r="H489" s="319"/>
      <c r="I489" s="319"/>
    </row>
    <row r="490" customFormat="false" ht="53.25" hidden="false" customHeight="true" outlineLevel="0" collapsed="false">
      <c r="A490" s="319" t="s">
        <v>3888</v>
      </c>
      <c r="B490" s="319" t="s">
        <v>129</v>
      </c>
      <c r="C490" s="319" t="s">
        <v>2635</v>
      </c>
      <c r="D490" s="319" t="s">
        <v>2619</v>
      </c>
      <c r="E490" s="319"/>
      <c r="F490" s="319" t="s">
        <v>3891</v>
      </c>
      <c r="G490" s="319" t="s">
        <v>3892</v>
      </c>
      <c r="H490" s="319" t="s">
        <v>2622</v>
      </c>
      <c r="I490" s="319" t="s">
        <v>3893</v>
      </c>
    </row>
    <row r="491" customFormat="false" ht="42.75" hidden="false" customHeight="true" outlineLevel="0" collapsed="false">
      <c r="A491" s="319" t="s">
        <v>3888</v>
      </c>
      <c r="B491" s="319" t="s">
        <v>129</v>
      </c>
      <c r="C491" s="319" t="s">
        <v>2635</v>
      </c>
      <c r="D491" s="319" t="s">
        <v>2619</v>
      </c>
      <c r="E491" s="319"/>
      <c r="F491" s="319" t="s">
        <v>3894</v>
      </c>
      <c r="G491" s="319" t="s">
        <v>3895</v>
      </c>
      <c r="H491" s="319" t="s">
        <v>2638</v>
      </c>
      <c r="I491" s="319" t="s">
        <v>3896</v>
      </c>
    </row>
    <row r="492" customFormat="false" ht="42.75" hidden="false" customHeight="true" outlineLevel="0" collapsed="false">
      <c r="A492" s="319" t="s">
        <v>3888</v>
      </c>
      <c r="B492" s="319" t="s">
        <v>129</v>
      </c>
      <c r="C492" s="319" t="s">
        <v>2635</v>
      </c>
      <c r="D492" s="319" t="s">
        <v>2619</v>
      </c>
      <c r="E492" s="319"/>
      <c r="F492" s="319" t="s">
        <v>3897</v>
      </c>
      <c r="G492" s="319" t="s">
        <v>3898</v>
      </c>
      <c r="H492" s="319" t="s">
        <v>2622</v>
      </c>
      <c r="I492" s="319" t="s">
        <v>3899</v>
      </c>
    </row>
    <row r="493" customFormat="false" ht="32.25" hidden="false" customHeight="true" outlineLevel="0" collapsed="false">
      <c r="A493" s="319" t="s">
        <v>3888</v>
      </c>
      <c r="B493" s="319" t="s">
        <v>129</v>
      </c>
      <c r="C493" s="319" t="s">
        <v>2635</v>
      </c>
      <c r="D493" s="319" t="s">
        <v>2619</v>
      </c>
      <c r="E493" s="319"/>
      <c r="F493" s="319" t="s">
        <v>3900</v>
      </c>
      <c r="G493" s="319" t="s">
        <v>3901</v>
      </c>
      <c r="H493" s="319" t="s">
        <v>2638</v>
      </c>
      <c r="I493" s="319" t="s">
        <v>3902</v>
      </c>
    </row>
    <row r="494" customFormat="false" ht="21.75" hidden="false" customHeight="true" outlineLevel="0" collapsed="false">
      <c r="A494" s="319" t="s">
        <v>3888</v>
      </c>
      <c r="B494" s="319" t="s">
        <v>129</v>
      </c>
      <c r="C494" s="319" t="s">
        <v>2642</v>
      </c>
      <c r="D494" s="319" t="s">
        <v>2643</v>
      </c>
      <c r="E494" s="319"/>
      <c r="F494" s="319" t="s">
        <v>3903</v>
      </c>
      <c r="G494" s="319"/>
      <c r="H494" s="319"/>
      <c r="I494" s="319"/>
    </row>
    <row r="495" customFormat="false" ht="32.25" hidden="false" customHeight="true" outlineLevel="0" collapsed="false">
      <c r="A495" s="319" t="s">
        <v>3888</v>
      </c>
      <c r="B495" s="319" t="s">
        <v>129</v>
      </c>
      <c r="C495" s="319" t="s">
        <v>2660</v>
      </c>
      <c r="D495" s="319" t="s">
        <v>2661</v>
      </c>
      <c r="E495" s="319"/>
      <c r="F495" s="319" t="s">
        <v>3904</v>
      </c>
      <c r="G495" s="319"/>
      <c r="H495" s="319" t="s">
        <v>2778</v>
      </c>
      <c r="I495" s="319"/>
    </row>
    <row r="496" customFormat="false" ht="32.25" hidden="false" customHeight="true" outlineLevel="0" collapsed="false">
      <c r="A496" s="319" t="s">
        <v>3905</v>
      </c>
      <c r="B496" s="319" t="s">
        <v>1384</v>
      </c>
      <c r="C496" s="319" t="s">
        <v>711</v>
      </c>
      <c r="D496" s="319" t="s">
        <v>2643</v>
      </c>
      <c r="E496" s="319"/>
      <c r="F496" s="319" t="s">
        <v>3906</v>
      </c>
      <c r="G496" s="319"/>
      <c r="H496" s="319"/>
      <c r="I496" s="319"/>
    </row>
    <row r="497" customFormat="false" ht="21.75" hidden="false" customHeight="true" outlineLevel="0" collapsed="false">
      <c r="A497" s="319" t="s">
        <v>3905</v>
      </c>
      <c r="B497" s="319" t="s">
        <v>1384</v>
      </c>
      <c r="C497" s="319" t="s">
        <v>712</v>
      </c>
      <c r="D497" s="319" t="s">
        <v>2643</v>
      </c>
      <c r="E497" s="319"/>
      <c r="F497" s="319" t="s">
        <v>3907</v>
      </c>
      <c r="G497" s="319"/>
      <c r="H497" s="319"/>
      <c r="I497" s="319"/>
    </row>
    <row r="498" customFormat="false" ht="42.75" hidden="false" customHeight="true" outlineLevel="0" collapsed="false">
      <c r="A498" s="319" t="s">
        <v>3905</v>
      </c>
      <c r="B498" s="319" t="s">
        <v>1384</v>
      </c>
      <c r="C498" s="319" t="s">
        <v>2635</v>
      </c>
      <c r="D498" s="319" t="s">
        <v>2619</v>
      </c>
      <c r="E498" s="319"/>
      <c r="F498" s="319" t="s">
        <v>3908</v>
      </c>
      <c r="G498" s="319" t="s">
        <v>3909</v>
      </c>
      <c r="H498" s="319" t="s">
        <v>2622</v>
      </c>
      <c r="I498" s="319" t="s">
        <v>3910</v>
      </c>
    </row>
    <row r="499" customFormat="false" ht="74.25" hidden="false" customHeight="true" outlineLevel="0" collapsed="false">
      <c r="A499" s="319" t="s">
        <v>3905</v>
      </c>
      <c r="B499" s="319" t="s">
        <v>1384</v>
      </c>
      <c r="C499" s="319" t="s">
        <v>2635</v>
      </c>
      <c r="D499" s="319" t="s">
        <v>2619</v>
      </c>
      <c r="E499" s="319"/>
      <c r="F499" s="319" t="s">
        <v>3911</v>
      </c>
      <c r="G499" s="319" t="s">
        <v>3912</v>
      </c>
      <c r="H499" s="319" t="s">
        <v>2622</v>
      </c>
      <c r="I499" s="319" t="s">
        <v>3913</v>
      </c>
    </row>
    <row r="500" customFormat="false" ht="84.75" hidden="false" customHeight="true" outlineLevel="0" collapsed="false">
      <c r="A500" s="319" t="s">
        <v>3905</v>
      </c>
      <c r="B500" s="319" t="s">
        <v>1384</v>
      </c>
      <c r="C500" s="319" t="s">
        <v>2635</v>
      </c>
      <c r="D500" s="319" t="s">
        <v>2619</v>
      </c>
      <c r="E500" s="319"/>
      <c r="F500" s="319" t="s">
        <v>3914</v>
      </c>
      <c r="G500" s="319" t="s">
        <v>3915</v>
      </c>
      <c r="H500" s="319" t="s">
        <v>2622</v>
      </c>
      <c r="I500" s="319" t="s">
        <v>3916</v>
      </c>
    </row>
    <row r="501" customFormat="false" ht="21.75" hidden="false" customHeight="true" outlineLevel="0" collapsed="false">
      <c r="A501" s="319" t="s">
        <v>3905</v>
      </c>
      <c r="B501" s="319" t="s">
        <v>1384</v>
      </c>
      <c r="C501" s="319" t="s">
        <v>2642</v>
      </c>
      <c r="D501" s="319" t="s">
        <v>2643</v>
      </c>
      <c r="E501" s="319"/>
      <c r="F501" s="319" t="s">
        <v>3917</v>
      </c>
      <c r="G501" s="319"/>
      <c r="H501" s="319"/>
      <c r="I501" s="319"/>
    </row>
    <row r="502" customFormat="false" ht="32.25" hidden="false" customHeight="true" outlineLevel="0" collapsed="false">
      <c r="A502" s="319" t="s">
        <v>3905</v>
      </c>
      <c r="B502" s="319" t="s">
        <v>1384</v>
      </c>
      <c r="C502" s="319" t="s">
        <v>2660</v>
      </c>
      <c r="D502" s="319" t="s">
        <v>2661</v>
      </c>
      <c r="E502" s="319"/>
      <c r="F502" s="319" t="s">
        <v>3918</v>
      </c>
      <c r="G502" s="319"/>
      <c r="H502" s="319" t="s">
        <v>2663</v>
      </c>
      <c r="I502" s="319"/>
    </row>
    <row r="503" customFormat="false" ht="32.25" hidden="false" customHeight="true" outlineLevel="0" collapsed="false">
      <c r="A503" s="319" t="s">
        <v>3919</v>
      </c>
      <c r="B503" s="319" t="s">
        <v>1397</v>
      </c>
      <c r="C503" s="319" t="s">
        <v>711</v>
      </c>
      <c r="D503" s="319" t="s">
        <v>2866</v>
      </c>
      <c r="E503" s="319" t="s">
        <v>3920</v>
      </c>
      <c r="F503" s="319"/>
      <c r="G503" s="319" t="s">
        <v>3921</v>
      </c>
      <c r="H503" s="319" t="s">
        <v>2622</v>
      </c>
      <c r="I503" s="319" t="s">
        <v>3922</v>
      </c>
    </row>
    <row r="504" customFormat="false" ht="32.25" hidden="false" customHeight="true" outlineLevel="0" collapsed="false">
      <c r="A504" s="319" t="s">
        <v>3919</v>
      </c>
      <c r="B504" s="319" t="s">
        <v>1397</v>
      </c>
      <c r="C504" s="319" t="s">
        <v>712</v>
      </c>
      <c r="D504" s="319" t="s">
        <v>2916</v>
      </c>
      <c r="E504" s="319" t="s">
        <v>3923</v>
      </c>
      <c r="F504" s="319" t="s">
        <v>3924</v>
      </c>
      <c r="G504" s="319" t="s">
        <v>3925</v>
      </c>
      <c r="H504" s="319" t="s">
        <v>2638</v>
      </c>
      <c r="I504" s="319" t="s">
        <v>3926</v>
      </c>
    </row>
    <row r="505" customFormat="false" ht="21.75" hidden="false" customHeight="true" outlineLevel="0" collapsed="false">
      <c r="A505" s="319" t="s">
        <v>3919</v>
      </c>
      <c r="B505" s="319" t="s">
        <v>1397</v>
      </c>
      <c r="C505" s="319" t="s">
        <v>2635</v>
      </c>
      <c r="D505" s="319" t="s">
        <v>2866</v>
      </c>
      <c r="E505" s="319" t="s">
        <v>3927</v>
      </c>
      <c r="F505" s="319"/>
      <c r="G505" s="319" t="s">
        <v>3921</v>
      </c>
      <c r="H505" s="319" t="s">
        <v>2638</v>
      </c>
      <c r="I505" s="319" t="s">
        <v>3928</v>
      </c>
    </row>
    <row r="506" customFormat="false" ht="32.25" hidden="false" customHeight="true" outlineLevel="0" collapsed="false">
      <c r="A506" s="319" t="s">
        <v>3919</v>
      </c>
      <c r="B506" s="319" t="s">
        <v>1397</v>
      </c>
      <c r="C506" s="319" t="s">
        <v>2635</v>
      </c>
      <c r="D506" s="319" t="s">
        <v>2866</v>
      </c>
      <c r="E506" s="319" t="s">
        <v>3929</v>
      </c>
      <c r="F506" s="319"/>
      <c r="G506" s="319" t="s">
        <v>3921</v>
      </c>
      <c r="H506" s="319" t="s">
        <v>2638</v>
      </c>
      <c r="I506" s="319" t="s">
        <v>3930</v>
      </c>
    </row>
    <row r="507" customFormat="false" ht="63.75" hidden="false" customHeight="true" outlineLevel="0" collapsed="false">
      <c r="A507" s="319" t="s">
        <v>3919</v>
      </c>
      <c r="B507" s="319" t="s">
        <v>1397</v>
      </c>
      <c r="C507" s="319" t="s">
        <v>2635</v>
      </c>
      <c r="D507" s="319" t="s">
        <v>2619</v>
      </c>
      <c r="E507" s="319"/>
      <c r="F507" s="319" t="s">
        <v>3931</v>
      </c>
      <c r="G507" s="319" t="s">
        <v>3932</v>
      </c>
      <c r="H507" s="319" t="s">
        <v>2622</v>
      </c>
      <c r="I507" s="319" t="s">
        <v>3933</v>
      </c>
    </row>
    <row r="508" customFormat="false" ht="32.25" hidden="false" customHeight="true" outlineLevel="0" collapsed="false">
      <c r="A508" s="319" t="s">
        <v>3919</v>
      </c>
      <c r="B508" s="319" t="s">
        <v>1397</v>
      </c>
      <c r="C508" s="319" t="s">
        <v>2635</v>
      </c>
      <c r="D508" s="319" t="s">
        <v>2619</v>
      </c>
      <c r="E508" s="319"/>
      <c r="F508" s="319" t="s">
        <v>3934</v>
      </c>
      <c r="G508" s="319" t="s">
        <v>3921</v>
      </c>
      <c r="H508" s="319" t="s">
        <v>2638</v>
      </c>
      <c r="I508" s="319" t="s">
        <v>3935</v>
      </c>
    </row>
    <row r="509" customFormat="false" ht="32.25" hidden="false" customHeight="true" outlineLevel="0" collapsed="false">
      <c r="A509" s="319" t="s">
        <v>3919</v>
      </c>
      <c r="B509" s="319" t="s">
        <v>1397</v>
      </c>
      <c r="C509" s="319" t="s">
        <v>2642</v>
      </c>
      <c r="D509" s="319" t="s">
        <v>2916</v>
      </c>
      <c r="E509" s="319" t="s">
        <v>3936</v>
      </c>
      <c r="F509" s="319" t="s">
        <v>3937</v>
      </c>
      <c r="G509" s="319" t="s">
        <v>3925</v>
      </c>
      <c r="H509" s="319" t="s">
        <v>2638</v>
      </c>
      <c r="I509" s="319" t="s">
        <v>3938</v>
      </c>
    </row>
    <row r="510" customFormat="false" ht="21.75" hidden="false" customHeight="true" outlineLevel="0" collapsed="false">
      <c r="A510" s="319" t="s">
        <v>3919</v>
      </c>
      <c r="B510" s="319" t="s">
        <v>1397</v>
      </c>
      <c r="C510" s="319" t="s">
        <v>2642</v>
      </c>
      <c r="D510" s="319" t="s">
        <v>2866</v>
      </c>
      <c r="E510" s="319" t="s">
        <v>3939</v>
      </c>
      <c r="F510" s="319"/>
      <c r="G510" s="319"/>
      <c r="H510" s="319" t="s">
        <v>2638</v>
      </c>
      <c r="I510" s="319" t="s">
        <v>3940</v>
      </c>
    </row>
    <row r="511" customFormat="false" ht="42.75" hidden="false" customHeight="true" outlineLevel="0" collapsed="false">
      <c r="A511" s="319" t="s">
        <v>3919</v>
      </c>
      <c r="B511" s="319" t="s">
        <v>1397</v>
      </c>
      <c r="C511" s="319" t="s">
        <v>2660</v>
      </c>
      <c r="D511" s="319" t="s">
        <v>2661</v>
      </c>
      <c r="E511" s="319"/>
      <c r="F511" s="319" t="s">
        <v>3941</v>
      </c>
      <c r="G511" s="319"/>
      <c r="H511" s="319" t="s">
        <v>2663</v>
      </c>
      <c r="I511" s="319"/>
    </row>
    <row r="512" customFormat="false" ht="32.25" hidden="false" customHeight="true" outlineLevel="0" collapsed="false">
      <c r="A512" s="319" t="s">
        <v>3942</v>
      </c>
      <c r="B512" s="319" t="s">
        <v>122</v>
      </c>
      <c r="C512" s="319" t="s">
        <v>711</v>
      </c>
      <c r="D512" s="319" t="s">
        <v>2916</v>
      </c>
      <c r="E512" s="319" t="s">
        <v>3943</v>
      </c>
      <c r="F512" s="319" t="s">
        <v>3944</v>
      </c>
      <c r="G512" s="319"/>
      <c r="H512" s="319" t="s">
        <v>2638</v>
      </c>
      <c r="I512" s="319" t="s">
        <v>3945</v>
      </c>
    </row>
    <row r="513" customFormat="false" ht="21.75" hidden="false" customHeight="true" outlineLevel="0" collapsed="false">
      <c r="A513" s="319" t="s">
        <v>3942</v>
      </c>
      <c r="B513" s="319" t="s">
        <v>122</v>
      </c>
      <c r="C513" s="319" t="s">
        <v>711</v>
      </c>
      <c r="D513" s="319" t="s">
        <v>2962</v>
      </c>
      <c r="E513" s="319" t="s">
        <v>3946</v>
      </c>
      <c r="F513" s="319"/>
      <c r="G513" s="319" t="s">
        <v>3947</v>
      </c>
      <c r="H513" s="319"/>
      <c r="I513" s="319"/>
    </row>
    <row r="514" customFormat="false" ht="63.75" hidden="false" customHeight="true" outlineLevel="0" collapsed="false">
      <c r="A514" s="319" t="s">
        <v>3942</v>
      </c>
      <c r="B514" s="319" t="s">
        <v>122</v>
      </c>
      <c r="C514" s="319" t="s">
        <v>712</v>
      </c>
      <c r="D514" s="319" t="s">
        <v>2866</v>
      </c>
      <c r="E514" s="319" t="s">
        <v>3948</v>
      </c>
      <c r="F514" s="319"/>
      <c r="G514" s="319" t="s">
        <v>3949</v>
      </c>
      <c r="H514" s="319" t="s">
        <v>2638</v>
      </c>
      <c r="I514" s="319" t="s">
        <v>3950</v>
      </c>
    </row>
    <row r="515" customFormat="false" ht="21.75" hidden="false" customHeight="true" outlineLevel="0" collapsed="false">
      <c r="A515" s="319" t="s">
        <v>3942</v>
      </c>
      <c r="B515" s="319" t="s">
        <v>122</v>
      </c>
      <c r="C515" s="319" t="s">
        <v>2635</v>
      </c>
      <c r="D515" s="319" t="s">
        <v>2866</v>
      </c>
      <c r="E515" s="319" t="s">
        <v>3951</v>
      </c>
      <c r="F515" s="319"/>
      <c r="G515" s="319"/>
      <c r="H515" s="319" t="s">
        <v>2638</v>
      </c>
      <c r="I515" s="319" t="s">
        <v>3952</v>
      </c>
    </row>
    <row r="516" customFormat="false" ht="21.75" hidden="false" customHeight="true" outlineLevel="0" collapsed="false">
      <c r="A516" s="319" t="s">
        <v>3942</v>
      </c>
      <c r="B516" s="319" t="s">
        <v>122</v>
      </c>
      <c r="C516" s="319" t="s">
        <v>2635</v>
      </c>
      <c r="D516" s="319" t="s">
        <v>2866</v>
      </c>
      <c r="E516" s="319" t="s">
        <v>3953</v>
      </c>
      <c r="F516" s="319"/>
      <c r="G516" s="319" t="s">
        <v>3954</v>
      </c>
      <c r="H516" s="319" t="s">
        <v>2622</v>
      </c>
      <c r="I516" s="319" t="s">
        <v>3955</v>
      </c>
    </row>
    <row r="517" customFormat="false" ht="53.25" hidden="false" customHeight="true" outlineLevel="0" collapsed="false">
      <c r="A517" s="319" t="s">
        <v>3942</v>
      </c>
      <c r="B517" s="319" t="s">
        <v>122</v>
      </c>
      <c r="C517" s="319" t="s">
        <v>2635</v>
      </c>
      <c r="D517" s="319" t="s">
        <v>2619</v>
      </c>
      <c r="E517" s="319"/>
      <c r="F517" s="319" t="s">
        <v>3956</v>
      </c>
      <c r="G517" s="319" t="s">
        <v>3954</v>
      </c>
      <c r="H517" s="319" t="s">
        <v>2622</v>
      </c>
      <c r="I517" s="319" t="s">
        <v>3957</v>
      </c>
    </row>
    <row r="518" customFormat="false" ht="32.25" hidden="false" customHeight="true" outlineLevel="0" collapsed="false">
      <c r="A518" s="319" t="s">
        <v>3942</v>
      </c>
      <c r="B518" s="319" t="s">
        <v>122</v>
      </c>
      <c r="C518" s="319" t="s">
        <v>2635</v>
      </c>
      <c r="D518" s="319" t="s">
        <v>2619</v>
      </c>
      <c r="E518" s="319"/>
      <c r="F518" s="319" t="s">
        <v>3958</v>
      </c>
      <c r="G518" s="319" t="s">
        <v>3959</v>
      </c>
      <c r="H518" s="319" t="s">
        <v>2638</v>
      </c>
      <c r="I518" s="319" t="s">
        <v>3960</v>
      </c>
    </row>
    <row r="519" customFormat="false" ht="42.75" hidden="false" customHeight="true" outlineLevel="0" collapsed="false">
      <c r="A519" s="319" t="s">
        <v>3942</v>
      </c>
      <c r="B519" s="319" t="s">
        <v>122</v>
      </c>
      <c r="C519" s="319" t="s">
        <v>2642</v>
      </c>
      <c r="D519" s="319" t="s">
        <v>2866</v>
      </c>
      <c r="E519" s="319" t="s">
        <v>3961</v>
      </c>
      <c r="F519" s="319"/>
      <c r="G519" s="319"/>
      <c r="H519" s="319" t="s">
        <v>2638</v>
      </c>
      <c r="I519" s="319" t="s">
        <v>3962</v>
      </c>
    </row>
    <row r="520" customFormat="false" ht="63.75" hidden="false" customHeight="true" outlineLevel="0" collapsed="false">
      <c r="A520" s="319" t="s">
        <v>3942</v>
      </c>
      <c r="B520" s="319" t="s">
        <v>122</v>
      </c>
      <c r="C520" s="319" t="s">
        <v>2642</v>
      </c>
      <c r="D520" s="319" t="s">
        <v>2962</v>
      </c>
      <c r="E520" s="319" t="s">
        <v>3963</v>
      </c>
      <c r="F520" s="319"/>
      <c r="G520" s="319" t="s">
        <v>3949</v>
      </c>
      <c r="H520" s="319"/>
      <c r="I520" s="319"/>
    </row>
    <row r="521" customFormat="false" ht="42.75" hidden="false" customHeight="true" outlineLevel="0" collapsed="false">
      <c r="A521" s="319" t="s">
        <v>3942</v>
      </c>
      <c r="B521" s="319" t="s">
        <v>122</v>
      </c>
      <c r="C521" s="319" t="s">
        <v>2660</v>
      </c>
      <c r="D521" s="319" t="s">
        <v>2661</v>
      </c>
      <c r="E521" s="319"/>
      <c r="F521" s="319" t="s">
        <v>3964</v>
      </c>
      <c r="G521" s="319"/>
      <c r="H521" s="319" t="s">
        <v>2663</v>
      </c>
      <c r="I521" s="319"/>
    </row>
    <row r="522" customFormat="false" ht="53.25" hidden="false" customHeight="true" outlineLevel="0" collapsed="false">
      <c r="A522" s="319" t="s">
        <v>3965</v>
      </c>
      <c r="B522" s="319" t="s">
        <v>121</v>
      </c>
      <c r="C522" s="319" t="s">
        <v>711</v>
      </c>
      <c r="D522" s="319" t="s">
        <v>2619</v>
      </c>
      <c r="E522" s="319"/>
      <c r="F522" s="319" t="s">
        <v>3966</v>
      </c>
      <c r="G522" s="319" t="s">
        <v>3967</v>
      </c>
      <c r="H522" s="319" t="s">
        <v>2622</v>
      </c>
      <c r="I522" s="319" t="s">
        <v>3968</v>
      </c>
    </row>
    <row r="523" customFormat="false" ht="32.25" hidden="false" customHeight="true" outlineLevel="0" collapsed="false">
      <c r="A523" s="319" t="s">
        <v>3965</v>
      </c>
      <c r="B523" s="319" t="s">
        <v>121</v>
      </c>
      <c r="C523" s="319" t="s">
        <v>711</v>
      </c>
      <c r="D523" s="319" t="s">
        <v>2619</v>
      </c>
      <c r="E523" s="319"/>
      <c r="F523" s="319" t="s">
        <v>3969</v>
      </c>
      <c r="G523" s="319" t="s">
        <v>3970</v>
      </c>
      <c r="H523" s="319" t="s">
        <v>2626</v>
      </c>
      <c r="I523" s="319" t="s">
        <v>3971</v>
      </c>
    </row>
    <row r="524" customFormat="false" ht="32.25" hidden="false" customHeight="true" outlineLevel="0" collapsed="false">
      <c r="A524" s="319" t="s">
        <v>3965</v>
      </c>
      <c r="B524" s="319" t="s">
        <v>121</v>
      </c>
      <c r="C524" s="319" t="s">
        <v>711</v>
      </c>
      <c r="D524" s="319" t="s">
        <v>2619</v>
      </c>
      <c r="E524" s="319"/>
      <c r="F524" s="319" t="s">
        <v>3972</v>
      </c>
      <c r="G524" s="319" t="s">
        <v>3973</v>
      </c>
      <c r="H524" s="319" t="s">
        <v>2622</v>
      </c>
      <c r="I524" s="319" t="s">
        <v>3974</v>
      </c>
    </row>
    <row r="525" customFormat="false" ht="32.25" hidden="false" customHeight="true" outlineLevel="0" collapsed="false">
      <c r="A525" s="319" t="s">
        <v>3965</v>
      </c>
      <c r="B525" s="319" t="s">
        <v>121</v>
      </c>
      <c r="C525" s="319" t="s">
        <v>711</v>
      </c>
      <c r="D525" s="319" t="s">
        <v>2619</v>
      </c>
      <c r="E525" s="319"/>
      <c r="F525" s="319" t="s">
        <v>3975</v>
      </c>
      <c r="G525" s="319" t="s">
        <v>3141</v>
      </c>
      <c r="H525" s="319" t="s">
        <v>2818</v>
      </c>
      <c r="I525" s="319" t="s">
        <v>3976</v>
      </c>
    </row>
    <row r="526" customFormat="false" ht="53.25" hidden="false" customHeight="true" outlineLevel="0" collapsed="false">
      <c r="A526" s="319" t="s">
        <v>3965</v>
      </c>
      <c r="B526" s="319" t="s">
        <v>121</v>
      </c>
      <c r="C526" s="319" t="s">
        <v>712</v>
      </c>
      <c r="D526" s="319" t="s">
        <v>2619</v>
      </c>
      <c r="E526" s="319"/>
      <c r="F526" s="319" t="s">
        <v>3977</v>
      </c>
      <c r="G526" s="319" t="s">
        <v>3978</v>
      </c>
      <c r="H526" s="319" t="s">
        <v>2818</v>
      </c>
      <c r="I526" s="319" t="s">
        <v>3979</v>
      </c>
    </row>
    <row r="527" customFormat="false" ht="42.75" hidden="false" customHeight="true" outlineLevel="0" collapsed="false">
      <c r="A527" s="319" t="s">
        <v>3965</v>
      </c>
      <c r="B527" s="319" t="s">
        <v>121</v>
      </c>
      <c r="C527" s="319" t="s">
        <v>2635</v>
      </c>
      <c r="D527" s="319" t="s">
        <v>2619</v>
      </c>
      <c r="E527" s="319"/>
      <c r="F527" s="319" t="s">
        <v>3980</v>
      </c>
      <c r="G527" s="319" t="s">
        <v>3981</v>
      </c>
      <c r="H527" s="319" t="s">
        <v>2622</v>
      </c>
      <c r="I527" s="319" t="s">
        <v>3982</v>
      </c>
    </row>
    <row r="528" customFormat="false" ht="32.25" hidden="false" customHeight="true" outlineLevel="0" collapsed="false">
      <c r="A528" s="319" t="s">
        <v>3965</v>
      </c>
      <c r="B528" s="319" t="s">
        <v>121</v>
      </c>
      <c r="C528" s="319" t="s">
        <v>2635</v>
      </c>
      <c r="D528" s="319" t="s">
        <v>2619</v>
      </c>
      <c r="E528" s="319"/>
      <c r="F528" s="319" t="s">
        <v>3983</v>
      </c>
      <c r="G528" s="319" t="s">
        <v>3984</v>
      </c>
      <c r="H528" s="319" t="s">
        <v>2626</v>
      </c>
      <c r="I528" s="319" t="s">
        <v>3985</v>
      </c>
    </row>
    <row r="529" customFormat="false" ht="32.25" hidden="false" customHeight="true" outlineLevel="0" collapsed="false">
      <c r="A529" s="319" t="s">
        <v>3965</v>
      </c>
      <c r="B529" s="319" t="s">
        <v>121</v>
      </c>
      <c r="C529" s="319" t="s">
        <v>2642</v>
      </c>
      <c r="D529" s="319" t="s">
        <v>2643</v>
      </c>
      <c r="E529" s="319"/>
      <c r="F529" s="319" t="s">
        <v>3986</v>
      </c>
      <c r="G529" s="319"/>
      <c r="H529" s="319"/>
      <c r="I529" s="319"/>
    </row>
    <row r="530" customFormat="false" ht="53.25" hidden="false" customHeight="true" outlineLevel="0" collapsed="false">
      <c r="A530" s="319" t="s">
        <v>3965</v>
      </c>
      <c r="B530" s="319" t="s">
        <v>121</v>
      </c>
      <c r="C530" s="319" t="s">
        <v>3987</v>
      </c>
      <c r="D530" s="319" t="s">
        <v>3988</v>
      </c>
      <c r="E530" s="319"/>
      <c r="F530" s="319" t="s">
        <v>3989</v>
      </c>
      <c r="G530" s="319"/>
      <c r="H530" s="319"/>
      <c r="I530" s="319"/>
    </row>
    <row r="531" customFormat="false" ht="53.25" hidden="false" customHeight="true" outlineLevel="0" collapsed="false">
      <c r="A531" s="319" t="s">
        <v>3965</v>
      </c>
      <c r="B531" s="319" t="s">
        <v>121</v>
      </c>
      <c r="C531" s="319" t="s">
        <v>2660</v>
      </c>
      <c r="D531" s="319" t="s">
        <v>2661</v>
      </c>
      <c r="E531" s="319"/>
      <c r="F531" s="319" t="s">
        <v>3990</v>
      </c>
      <c r="G531" s="319"/>
      <c r="H531" s="319" t="s">
        <v>2663</v>
      </c>
      <c r="I531" s="319"/>
    </row>
    <row r="532" customFormat="false" ht="32.25" hidden="false" customHeight="true" outlineLevel="0" collapsed="false">
      <c r="A532" s="319" t="s">
        <v>3991</v>
      </c>
      <c r="B532" s="319" t="s">
        <v>131</v>
      </c>
      <c r="C532" s="319" t="s">
        <v>711</v>
      </c>
      <c r="D532" s="319" t="s">
        <v>3057</v>
      </c>
      <c r="E532" s="319" t="s">
        <v>3992</v>
      </c>
      <c r="F532" s="319" t="s">
        <v>3993</v>
      </c>
      <c r="G532" s="319" t="s">
        <v>3994</v>
      </c>
      <c r="H532" s="319" t="s">
        <v>2638</v>
      </c>
      <c r="I532" s="319" t="s">
        <v>3995</v>
      </c>
    </row>
    <row r="533" customFormat="false" ht="21.75" hidden="false" customHeight="true" outlineLevel="0" collapsed="false">
      <c r="A533" s="319" t="s">
        <v>3991</v>
      </c>
      <c r="B533" s="319" t="s">
        <v>131</v>
      </c>
      <c r="C533" s="319" t="s">
        <v>712</v>
      </c>
      <c r="D533" s="319" t="s">
        <v>2940</v>
      </c>
      <c r="E533" s="319" t="s">
        <v>3996</v>
      </c>
      <c r="F533" s="319" t="s">
        <v>3997</v>
      </c>
      <c r="G533" s="319" t="s">
        <v>3998</v>
      </c>
      <c r="H533" s="319" t="s">
        <v>2638</v>
      </c>
      <c r="I533" s="319" t="s">
        <v>3999</v>
      </c>
    </row>
    <row r="534" customFormat="false" ht="21.75" hidden="false" customHeight="true" outlineLevel="0" collapsed="false">
      <c r="A534" s="319" t="s">
        <v>3991</v>
      </c>
      <c r="B534" s="319" t="s">
        <v>131</v>
      </c>
      <c r="C534" s="319" t="s">
        <v>2635</v>
      </c>
      <c r="D534" s="319" t="s">
        <v>3057</v>
      </c>
      <c r="E534" s="319" t="s">
        <v>4000</v>
      </c>
      <c r="F534" s="319" t="s">
        <v>4001</v>
      </c>
      <c r="G534" s="319" t="s">
        <v>3994</v>
      </c>
      <c r="H534" s="319" t="s">
        <v>2638</v>
      </c>
      <c r="I534" s="319" t="s">
        <v>4002</v>
      </c>
    </row>
    <row r="535" customFormat="false" ht="32.25" hidden="false" customHeight="true" outlineLevel="0" collapsed="false">
      <c r="A535" s="319" t="s">
        <v>3991</v>
      </c>
      <c r="B535" s="319" t="s">
        <v>131</v>
      </c>
      <c r="C535" s="319" t="s">
        <v>2635</v>
      </c>
      <c r="D535" s="319" t="s">
        <v>3057</v>
      </c>
      <c r="E535" s="319" t="s">
        <v>4003</v>
      </c>
      <c r="F535" s="319" t="s">
        <v>4004</v>
      </c>
      <c r="G535" s="319" t="s">
        <v>4005</v>
      </c>
      <c r="H535" s="319" t="s">
        <v>2638</v>
      </c>
      <c r="I535" s="319" t="s">
        <v>4006</v>
      </c>
    </row>
    <row r="536" customFormat="false" ht="42.75" hidden="false" customHeight="true" outlineLevel="0" collapsed="false">
      <c r="A536" s="319" t="s">
        <v>3991</v>
      </c>
      <c r="B536" s="319" t="s">
        <v>131</v>
      </c>
      <c r="C536" s="319" t="s">
        <v>2635</v>
      </c>
      <c r="D536" s="319" t="s">
        <v>2619</v>
      </c>
      <c r="E536" s="319"/>
      <c r="F536" s="319" t="s">
        <v>4007</v>
      </c>
      <c r="G536" s="319" t="s">
        <v>4008</v>
      </c>
      <c r="H536" s="319" t="s">
        <v>2622</v>
      </c>
      <c r="I536" s="319" t="s">
        <v>4009</v>
      </c>
    </row>
    <row r="537" customFormat="false" ht="42.75" hidden="false" customHeight="true" outlineLevel="0" collapsed="false">
      <c r="A537" s="319" t="s">
        <v>3991</v>
      </c>
      <c r="B537" s="319" t="s">
        <v>131</v>
      </c>
      <c r="C537" s="319" t="s">
        <v>2635</v>
      </c>
      <c r="D537" s="319" t="s">
        <v>2619</v>
      </c>
      <c r="E537" s="319"/>
      <c r="F537" s="319" t="s">
        <v>4010</v>
      </c>
      <c r="G537" s="319" t="s">
        <v>4011</v>
      </c>
      <c r="H537" s="319" t="s">
        <v>2622</v>
      </c>
      <c r="I537" s="319" t="s">
        <v>4012</v>
      </c>
    </row>
    <row r="538" customFormat="false" ht="42.75" hidden="false" customHeight="true" outlineLevel="0" collapsed="false">
      <c r="A538" s="319" t="s">
        <v>3991</v>
      </c>
      <c r="B538" s="319" t="s">
        <v>131</v>
      </c>
      <c r="C538" s="319" t="s">
        <v>2635</v>
      </c>
      <c r="D538" s="319" t="s">
        <v>2619</v>
      </c>
      <c r="E538" s="319"/>
      <c r="F538" s="319" t="s">
        <v>4013</v>
      </c>
      <c r="G538" s="319" t="s">
        <v>4014</v>
      </c>
      <c r="H538" s="319" t="s">
        <v>2638</v>
      </c>
      <c r="I538" s="319" t="s">
        <v>4015</v>
      </c>
    </row>
    <row r="539" customFormat="false" ht="15" hidden="false" customHeight="true" outlineLevel="0" collapsed="false">
      <c r="A539" s="319" t="s">
        <v>3991</v>
      </c>
      <c r="B539" s="319" t="s">
        <v>131</v>
      </c>
      <c r="C539" s="319" t="s">
        <v>2642</v>
      </c>
      <c r="D539" s="319" t="s">
        <v>2866</v>
      </c>
      <c r="E539" s="319" t="s">
        <v>1087</v>
      </c>
      <c r="F539" s="319"/>
      <c r="G539" s="319"/>
      <c r="H539" s="319" t="s">
        <v>2638</v>
      </c>
      <c r="I539" s="319" t="s">
        <v>4016</v>
      </c>
    </row>
    <row r="540" customFormat="false" ht="42.75" hidden="false" customHeight="true" outlineLevel="0" collapsed="false">
      <c r="A540" s="319" t="s">
        <v>3991</v>
      </c>
      <c r="B540" s="319" t="s">
        <v>131</v>
      </c>
      <c r="C540" s="319" t="s">
        <v>3987</v>
      </c>
      <c r="D540" s="319" t="s">
        <v>3988</v>
      </c>
      <c r="E540" s="319"/>
      <c r="F540" s="319" t="s">
        <v>4017</v>
      </c>
      <c r="G540" s="319"/>
      <c r="H540" s="319"/>
      <c r="I540" s="319"/>
    </row>
    <row r="541" customFormat="false" ht="32.25" hidden="false" customHeight="true" outlineLevel="0" collapsed="false">
      <c r="A541" s="319" t="s">
        <v>3991</v>
      </c>
      <c r="B541" s="319" t="s">
        <v>131</v>
      </c>
      <c r="C541" s="319" t="s">
        <v>2660</v>
      </c>
      <c r="D541" s="319" t="s">
        <v>2661</v>
      </c>
      <c r="E541" s="319"/>
      <c r="F541" s="319" t="s">
        <v>4018</v>
      </c>
      <c r="G541" s="319"/>
      <c r="H541" s="319" t="s">
        <v>2778</v>
      </c>
      <c r="I541" s="319"/>
    </row>
    <row r="542" customFormat="false" ht="32.25" hidden="false" customHeight="true" outlineLevel="0" collapsed="false">
      <c r="A542" s="319" t="s">
        <v>4019</v>
      </c>
      <c r="B542" s="319" t="s">
        <v>125</v>
      </c>
      <c r="C542" s="319" t="s">
        <v>711</v>
      </c>
      <c r="D542" s="319" t="s">
        <v>2940</v>
      </c>
      <c r="E542" s="319" t="s">
        <v>4020</v>
      </c>
      <c r="F542" s="319" t="s">
        <v>4021</v>
      </c>
      <c r="G542" s="319" t="s">
        <v>1339</v>
      </c>
      <c r="H542" s="319" t="s">
        <v>2638</v>
      </c>
      <c r="I542" s="319" t="s">
        <v>4022</v>
      </c>
    </row>
    <row r="543" customFormat="false" ht="32.25" hidden="false" customHeight="true" outlineLevel="0" collapsed="false">
      <c r="A543" s="319" t="s">
        <v>4019</v>
      </c>
      <c r="B543" s="319" t="s">
        <v>125</v>
      </c>
      <c r="C543" s="319" t="s">
        <v>712</v>
      </c>
      <c r="D543" s="319" t="s">
        <v>2916</v>
      </c>
      <c r="E543" s="319" t="s">
        <v>4023</v>
      </c>
      <c r="F543" s="319" t="s">
        <v>4024</v>
      </c>
      <c r="G543" s="319" t="s">
        <v>4025</v>
      </c>
      <c r="H543" s="319" t="s">
        <v>2626</v>
      </c>
      <c r="I543" s="319" t="s">
        <v>4026</v>
      </c>
    </row>
    <row r="544" customFormat="false" ht="21.75" hidden="false" customHeight="true" outlineLevel="0" collapsed="false">
      <c r="A544" s="319" t="s">
        <v>4019</v>
      </c>
      <c r="B544" s="319" t="s">
        <v>125</v>
      </c>
      <c r="C544" s="319" t="s">
        <v>712</v>
      </c>
      <c r="D544" s="319" t="s">
        <v>2940</v>
      </c>
      <c r="E544" s="319" t="s">
        <v>4027</v>
      </c>
      <c r="F544" s="319" t="s">
        <v>4028</v>
      </c>
      <c r="G544" s="319" t="s">
        <v>3853</v>
      </c>
      <c r="H544" s="319" t="s">
        <v>2638</v>
      </c>
      <c r="I544" s="319" t="s">
        <v>4029</v>
      </c>
    </row>
    <row r="545" customFormat="false" ht="21.75" hidden="false" customHeight="true" outlineLevel="0" collapsed="false">
      <c r="A545" s="319" t="s">
        <v>4019</v>
      </c>
      <c r="B545" s="319" t="s">
        <v>125</v>
      </c>
      <c r="C545" s="319" t="s">
        <v>2635</v>
      </c>
      <c r="D545" s="319" t="s">
        <v>2866</v>
      </c>
      <c r="E545" s="319" t="s">
        <v>4030</v>
      </c>
      <c r="F545" s="319"/>
      <c r="G545" s="319" t="s">
        <v>4031</v>
      </c>
      <c r="H545" s="319" t="s">
        <v>2638</v>
      </c>
      <c r="I545" s="319" t="s">
        <v>4032</v>
      </c>
    </row>
    <row r="546" customFormat="false" ht="32.25" hidden="false" customHeight="true" outlineLevel="0" collapsed="false">
      <c r="A546" s="319" t="s">
        <v>4019</v>
      </c>
      <c r="B546" s="319" t="s">
        <v>125</v>
      </c>
      <c r="C546" s="319" t="s">
        <v>2635</v>
      </c>
      <c r="D546" s="319" t="s">
        <v>2866</v>
      </c>
      <c r="E546" s="319" t="s">
        <v>4033</v>
      </c>
      <c r="F546" s="319"/>
      <c r="G546" s="319" t="s">
        <v>1339</v>
      </c>
      <c r="H546" s="319" t="s">
        <v>2638</v>
      </c>
      <c r="I546" s="319" t="s">
        <v>4034</v>
      </c>
    </row>
    <row r="547" customFormat="false" ht="21.75" hidden="false" customHeight="true" outlineLevel="0" collapsed="false">
      <c r="A547" s="319" t="s">
        <v>4019</v>
      </c>
      <c r="B547" s="319" t="s">
        <v>125</v>
      </c>
      <c r="C547" s="319" t="s">
        <v>2635</v>
      </c>
      <c r="D547" s="319" t="s">
        <v>2916</v>
      </c>
      <c r="E547" s="319" t="s">
        <v>4035</v>
      </c>
      <c r="F547" s="319" t="s">
        <v>4036</v>
      </c>
      <c r="G547" s="319" t="s">
        <v>4037</v>
      </c>
      <c r="H547" s="319" t="s">
        <v>2626</v>
      </c>
      <c r="I547" s="319" t="s">
        <v>4038</v>
      </c>
    </row>
    <row r="548" customFormat="false" ht="42.75" hidden="false" customHeight="true" outlineLevel="0" collapsed="false">
      <c r="A548" s="319" t="s">
        <v>4019</v>
      </c>
      <c r="B548" s="319" t="s">
        <v>125</v>
      </c>
      <c r="C548" s="319" t="s">
        <v>2635</v>
      </c>
      <c r="D548" s="319" t="s">
        <v>2619</v>
      </c>
      <c r="E548" s="319"/>
      <c r="F548" s="319" t="s">
        <v>4039</v>
      </c>
      <c r="G548" s="319" t="s">
        <v>3853</v>
      </c>
      <c r="H548" s="319" t="s">
        <v>2622</v>
      </c>
      <c r="I548" s="319" t="s">
        <v>4040</v>
      </c>
    </row>
    <row r="549" customFormat="false" ht="42.75" hidden="false" customHeight="true" outlineLevel="0" collapsed="false">
      <c r="A549" s="319" t="s">
        <v>4019</v>
      </c>
      <c r="B549" s="319" t="s">
        <v>125</v>
      </c>
      <c r="C549" s="319" t="s">
        <v>2635</v>
      </c>
      <c r="D549" s="319" t="s">
        <v>2619</v>
      </c>
      <c r="E549" s="319"/>
      <c r="F549" s="319" t="s">
        <v>4041</v>
      </c>
      <c r="G549" s="319" t="s">
        <v>1339</v>
      </c>
      <c r="H549" s="319" t="s">
        <v>2638</v>
      </c>
      <c r="I549" s="319" t="s">
        <v>4042</v>
      </c>
    </row>
    <row r="550" customFormat="false" ht="32.25" hidden="false" customHeight="true" outlineLevel="0" collapsed="false">
      <c r="A550" s="319" t="s">
        <v>4019</v>
      </c>
      <c r="B550" s="319" t="s">
        <v>125</v>
      </c>
      <c r="C550" s="319" t="s">
        <v>2635</v>
      </c>
      <c r="D550" s="319" t="s">
        <v>2619</v>
      </c>
      <c r="E550" s="319"/>
      <c r="F550" s="319" t="s">
        <v>4043</v>
      </c>
      <c r="G550" s="319" t="s">
        <v>4037</v>
      </c>
      <c r="H550" s="319" t="s">
        <v>2626</v>
      </c>
      <c r="I550" s="319" t="s">
        <v>4044</v>
      </c>
    </row>
    <row r="551" customFormat="false" ht="21.75" hidden="false" customHeight="true" outlineLevel="0" collapsed="false">
      <c r="A551" s="319" t="s">
        <v>4019</v>
      </c>
      <c r="B551" s="319" t="s">
        <v>125</v>
      </c>
      <c r="C551" s="319" t="s">
        <v>2642</v>
      </c>
      <c r="D551" s="319" t="s">
        <v>2866</v>
      </c>
      <c r="E551" s="319" t="s">
        <v>1087</v>
      </c>
      <c r="F551" s="319"/>
      <c r="G551" s="319"/>
      <c r="H551" s="319" t="s">
        <v>2638</v>
      </c>
      <c r="I551" s="319" t="s">
        <v>4016</v>
      </c>
    </row>
    <row r="552" customFormat="false" ht="32.25" hidden="false" customHeight="true" outlineLevel="0" collapsed="false">
      <c r="A552" s="319" t="s">
        <v>4019</v>
      </c>
      <c r="B552" s="319" t="s">
        <v>125</v>
      </c>
      <c r="C552" s="319" t="s">
        <v>3987</v>
      </c>
      <c r="D552" s="319" t="s">
        <v>3988</v>
      </c>
      <c r="E552" s="319"/>
      <c r="F552" s="319" t="s">
        <v>4045</v>
      </c>
      <c r="G552" s="319"/>
      <c r="H552" s="319"/>
      <c r="I552" s="319"/>
    </row>
    <row r="553" customFormat="false" ht="32.25" hidden="false" customHeight="true" outlineLevel="0" collapsed="false">
      <c r="A553" s="319" t="s">
        <v>4019</v>
      </c>
      <c r="B553" s="319" t="s">
        <v>125</v>
      </c>
      <c r="C553" s="319" t="s">
        <v>2660</v>
      </c>
      <c r="D553" s="319" t="s">
        <v>2661</v>
      </c>
      <c r="E553" s="319"/>
      <c r="F553" s="319" t="s">
        <v>4046</v>
      </c>
      <c r="G553" s="319"/>
      <c r="H553" s="319" t="s">
        <v>2778</v>
      </c>
      <c r="I553" s="319"/>
    </row>
    <row r="554" customFormat="false" ht="32.25" hidden="false" customHeight="true" outlineLevel="0" collapsed="false">
      <c r="A554" s="319" t="s">
        <v>4047</v>
      </c>
      <c r="B554" s="319" t="s">
        <v>1457</v>
      </c>
      <c r="C554" s="319" t="s">
        <v>711</v>
      </c>
      <c r="D554" s="319" t="s">
        <v>2940</v>
      </c>
      <c r="E554" s="319" t="s">
        <v>4048</v>
      </c>
      <c r="F554" s="319" t="s">
        <v>4049</v>
      </c>
      <c r="G554" s="319" t="s">
        <v>4050</v>
      </c>
      <c r="H554" s="319" t="s">
        <v>2638</v>
      </c>
      <c r="I554" s="319" t="s">
        <v>4051</v>
      </c>
    </row>
    <row r="555" customFormat="false" ht="21.75" hidden="false" customHeight="true" outlineLevel="0" collapsed="false">
      <c r="A555" s="319" t="s">
        <v>4047</v>
      </c>
      <c r="B555" s="319" t="s">
        <v>1457</v>
      </c>
      <c r="C555" s="319" t="s">
        <v>711</v>
      </c>
      <c r="D555" s="319" t="s">
        <v>2866</v>
      </c>
      <c r="E555" s="319" t="s">
        <v>4052</v>
      </c>
      <c r="F555" s="319"/>
      <c r="G555" s="319" t="s">
        <v>4053</v>
      </c>
      <c r="H555" s="319" t="s">
        <v>2626</v>
      </c>
      <c r="I555" s="319" t="s">
        <v>4054</v>
      </c>
    </row>
    <row r="556" customFormat="false" ht="42.75" hidden="false" customHeight="true" outlineLevel="0" collapsed="false">
      <c r="A556" s="319" t="s">
        <v>4047</v>
      </c>
      <c r="B556" s="319" t="s">
        <v>1457</v>
      </c>
      <c r="C556" s="319" t="s">
        <v>711</v>
      </c>
      <c r="D556" s="319" t="s">
        <v>2619</v>
      </c>
      <c r="E556" s="319"/>
      <c r="F556" s="319" t="s">
        <v>4055</v>
      </c>
      <c r="G556" s="319" t="s">
        <v>4056</v>
      </c>
      <c r="H556" s="319" t="s">
        <v>2622</v>
      </c>
      <c r="I556" s="319" t="s">
        <v>4057</v>
      </c>
    </row>
    <row r="557" customFormat="false" ht="32.25" hidden="false" customHeight="true" outlineLevel="0" collapsed="false">
      <c r="A557" s="319" t="s">
        <v>4047</v>
      </c>
      <c r="B557" s="319" t="s">
        <v>1457</v>
      </c>
      <c r="C557" s="319" t="s">
        <v>711</v>
      </c>
      <c r="D557" s="319" t="s">
        <v>2619</v>
      </c>
      <c r="E557" s="319"/>
      <c r="F557" s="319" t="s">
        <v>4058</v>
      </c>
      <c r="G557" s="319" t="s">
        <v>4059</v>
      </c>
      <c r="H557" s="319" t="s">
        <v>2626</v>
      </c>
      <c r="I557" s="319" t="s">
        <v>4060</v>
      </c>
    </row>
    <row r="558" customFormat="false" ht="32.25" hidden="false" customHeight="true" outlineLevel="0" collapsed="false">
      <c r="A558" s="319" t="s">
        <v>4047</v>
      </c>
      <c r="B558" s="319" t="s">
        <v>1457</v>
      </c>
      <c r="C558" s="319" t="s">
        <v>712</v>
      </c>
      <c r="D558" s="319" t="s">
        <v>2953</v>
      </c>
      <c r="E558" s="319" t="s">
        <v>4061</v>
      </c>
      <c r="F558" s="319" t="s">
        <v>4062</v>
      </c>
      <c r="G558" s="319" t="s">
        <v>4063</v>
      </c>
      <c r="H558" s="319" t="s">
        <v>2638</v>
      </c>
      <c r="I558" s="319" t="s">
        <v>4064</v>
      </c>
    </row>
    <row r="559" customFormat="false" ht="32.25" hidden="false" customHeight="true" outlineLevel="0" collapsed="false">
      <c r="A559" s="319" t="s">
        <v>4047</v>
      </c>
      <c r="B559" s="319" t="s">
        <v>1457</v>
      </c>
      <c r="C559" s="319" t="s">
        <v>712</v>
      </c>
      <c r="D559" s="319" t="s">
        <v>2953</v>
      </c>
      <c r="E559" s="319" t="s">
        <v>4065</v>
      </c>
      <c r="F559" s="319" t="s">
        <v>4066</v>
      </c>
      <c r="G559" s="319" t="s">
        <v>4067</v>
      </c>
      <c r="H559" s="319" t="s">
        <v>2638</v>
      </c>
      <c r="I559" s="319" t="s">
        <v>4068</v>
      </c>
    </row>
    <row r="560" customFormat="false" ht="32.25" hidden="false" customHeight="true" outlineLevel="0" collapsed="false">
      <c r="A560" s="319" t="s">
        <v>4047</v>
      </c>
      <c r="B560" s="319" t="s">
        <v>1457</v>
      </c>
      <c r="C560" s="319" t="s">
        <v>712</v>
      </c>
      <c r="D560" s="319" t="s">
        <v>2619</v>
      </c>
      <c r="E560" s="319"/>
      <c r="F560" s="319" t="s">
        <v>4069</v>
      </c>
      <c r="G560" s="319" t="s">
        <v>4070</v>
      </c>
      <c r="H560" s="319" t="s">
        <v>2626</v>
      </c>
      <c r="I560" s="319" t="s">
        <v>4071</v>
      </c>
    </row>
    <row r="561" customFormat="false" ht="32.25" hidden="false" customHeight="true" outlineLevel="0" collapsed="false">
      <c r="A561" s="319" t="s">
        <v>4047</v>
      </c>
      <c r="B561" s="319" t="s">
        <v>1457</v>
      </c>
      <c r="C561" s="319" t="s">
        <v>2635</v>
      </c>
      <c r="D561" s="319" t="s">
        <v>2866</v>
      </c>
      <c r="E561" s="319" t="s">
        <v>4072</v>
      </c>
      <c r="F561" s="319"/>
      <c r="G561" s="319" t="s">
        <v>4050</v>
      </c>
      <c r="H561" s="319" t="s">
        <v>2638</v>
      </c>
      <c r="I561" s="319" t="s">
        <v>4073</v>
      </c>
    </row>
    <row r="562" customFormat="false" ht="21.75" hidden="false" customHeight="true" outlineLevel="0" collapsed="false">
      <c r="A562" s="319" t="s">
        <v>4047</v>
      </c>
      <c r="B562" s="319" t="s">
        <v>1457</v>
      </c>
      <c r="C562" s="319" t="s">
        <v>2635</v>
      </c>
      <c r="D562" s="319" t="s">
        <v>2916</v>
      </c>
      <c r="E562" s="319" t="s">
        <v>4074</v>
      </c>
      <c r="F562" s="319" t="s">
        <v>4075</v>
      </c>
      <c r="G562" s="319" t="s">
        <v>4076</v>
      </c>
      <c r="H562" s="319" t="s">
        <v>2638</v>
      </c>
      <c r="I562" s="319" t="s">
        <v>4077</v>
      </c>
    </row>
    <row r="563" customFormat="false" ht="15" hidden="false" customHeight="true" outlineLevel="0" collapsed="false">
      <c r="A563" s="319" t="s">
        <v>4047</v>
      </c>
      <c r="B563" s="319" t="s">
        <v>1457</v>
      </c>
      <c r="C563" s="319" t="s">
        <v>2635</v>
      </c>
      <c r="D563" s="319" t="s">
        <v>2866</v>
      </c>
      <c r="E563" s="319" t="s">
        <v>4078</v>
      </c>
      <c r="F563" s="319"/>
      <c r="G563" s="319" t="s">
        <v>4053</v>
      </c>
      <c r="H563" s="319" t="s">
        <v>2626</v>
      </c>
      <c r="I563" s="319" t="s">
        <v>4079</v>
      </c>
    </row>
    <row r="564" customFormat="false" ht="32.25" hidden="false" customHeight="true" outlineLevel="0" collapsed="false">
      <c r="A564" s="319" t="s">
        <v>4047</v>
      </c>
      <c r="B564" s="319" t="s">
        <v>1457</v>
      </c>
      <c r="C564" s="319" t="s">
        <v>2635</v>
      </c>
      <c r="D564" s="319" t="s">
        <v>2619</v>
      </c>
      <c r="E564" s="319"/>
      <c r="F564" s="319" t="s">
        <v>4080</v>
      </c>
      <c r="G564" s="319" t="s">
        <v>4050</v>
      </c>
      <c r="H564" s="319" t="s">
        <v>2638</v>
      </c>
      <c r="I564" s="319" t="s">
        <v>4081</v>
      </c>
    </row>
    <row r="565" customFormat="false" ht="32.25" hidden="false" customHeight="true" outlineLevel="0" collapsed="false">
      <c r="A565" s="319" t="s">
        <v>4047</v>
      </c>
      <c r="B565" s="319" t="s">
        <v>1457</v>
      </c>
      <c r="C565" s="319" t="s">
        <v>2635</v>
      </c>
      <c r="D565" s="319" t="s">
        <v>2619</v>
      </c>
      <c r="E565" s="319"/>
      <c r="F565" s="319" t="s">
        <v>4082</v>
      </c>
      <c r="G565" s="319" t="s">
        <v>4083</v>
      </c>
      <c r="H565" s="319" t="s">
        <v>2622</v>
      </c>
      <c r="I565" s="319" t="s">
        <v>4084</v>
      </c>
    </row>
    <row r="566" customFormat="false" ht="32.25" hidden="false" customHeight="true" outlineLevel="0" collapsed="false">
      <c r="A566" s="319" t="s">
        <v>4047</v>
      </c>
      <c r="B566" s="319" t="s">
        <v>1457</v>
      </c>
      <c r="C566" s="319" t="s">
        <v>2635</v>
      </c>
      <c r="D566" s="319" t="s">
        <v>2619</v>
      </c>
      <c r="E566" s="319"/>
      <c r="F566" s="319" t="s">
        <v>4085</v>
      </c>
      <c r="G566" s="319" t="s">
        <v>4086</v>
      </c>
      <c r="H566" s="319" t="s">
        <v>2638</v>
      </c>
      <c r="I566" s="319" t="s">
        <v>4087</v>
      </c>
    </row>
    <row r="567" customFormat="false" ht="42.75" hidden="false" customHeight="true" outlineLevel="0" collapsed="false">
      <c r="A567" s="319" t="s">
        <v>4047</v>
      </c>
      <c r="B567" s="319" t="s">
        <v>1457</v>
      </c>
      <c r="C567" s="319" t="s">
        <v>2642</v>
      </c>
      <c r="D567" s="319" t="s">
        <v>2953</v>
      </c>
      <c r="E567" s="319" t="s">
        <v>1087</v>
      </c>
      <c r="F567" s="319" t="s">
        <v>4088</v>
      </c>
      <c r="G567" s="319"/>
      <c r="H567" s="319" t="s">
        <v>2622</v>
      </c>
      <c r="I567" s="319" t="s">
        <v>4089</v>
      </c>
    </row>
    <row r="568" customFormat="false" ht="63.75" hidden="false" customHeight="true" outlineLevel="0" collapsed="false">
      <c r="A568" s="319" t="s">
        <v>4047</v>
      </c>
      <c r="B568" s="319" t="s">
        <v>1457</v>
      </c>
      <c r="C568" s="319" t="s">
        <v>2642</v>
      </c>
      <c r="D568" s="319" t="s">
        <v>2619</v>
      </c>
      <c r="E568" s="319"/>
      <c r="F568" s="319" t="s">
        <v>4090</v>
      </c>
      <c r="G568" s="319" t="s">
        <v>4091</v>
      </c>
      <c r="H568" s="319" t="s">
        <v>2622</v>
      </c>
      <c r="I568" s="319" t="s">
        <v>4092</v>
      </c>
    </row>
    <row r="569" customFormat="false" ht="42.75" hidden="false" customHeight="true" outlineLevel="0" collapsed="false">
      <c r="A569" s="319" t="s">
        <v>4047</v>
      </c>
      <c r="B569" s="319" t="s">
        <v>1457</v>
      </c>
      <c r="C569" s="319" t="s">
        <v>3987</v>
      </c>
      <c r="D569" s="319" t="s">
        <v>3988</v>
      </c>
      <c r="E569" s="319"/>
      <c r="F569" s="319" t="s">
        <v>4093</v>
      </c>
      <c r="G569" s="319"/>
      <c r="H569" s="319"/>
      <c r="I569" s="319"/>
    </row>
    <row r="570" customFormat="false" ht="42.75" hidden="false" customHeight="true" outlineLevel="0" collapsed="false">
      <c r="A570" s="319" t="s">
        <v>4047</v>
      </c>
      <c r="B570" s="319" t="s">
        <v>1457</v>
      </c>
      <c r="C570" s="319" t="s">
        <v>2660</v>
      </c>
      <c r="D570" s="319" t="s">
        <v>2661</v>
      </c>
      <c r="E570" s="319"/>
      <c r="F570" s="319" t="s">
        <v>4094</v>
      </c>
      <c r="G570" s="319"/>
      <c r="H570" s="319" t="s">
        <v>2663</v>
      </c>
      <c r="I570" s="319"/>
    </row>
    <row r="571" customFormat="false" ht="42.75" hidden="false" customHeight="true" outlineLevel="0" collapsed="false">
      <c r="A571" s="319" t="s">
        <v>4095</v>
      </c>
      <c r="B571" s="319" t="s">
        <v>1471</v>
      </c>
      <c r="C571" s="319" t="s">
        <v>711</v>
      </c>
      <c r="D571" s="319" t="s">
        <v>2643</v>
      </c>
      <c r="E571" s="319"/>
      <c r="F571" s="319" t="s">
        <v>4096</v>
      </c>
      <c r="G571" s="319"/>
      <c r="H571" s="319"/>
      <c r="I571" s="319"/>
    </row>
    <row r="572" customFormat="false" ht="15" hidden="false" customHeight="true" outlineLevel="0" collapsed="false">
      <c r="A572" s="319" t="s">
        <v>4095</v>
      </c>
      <c r="B572" s="319" t="s">
        <v>1471</v>
      </c>
      <c r="C572" s="319" t="s">
        <v>712</v>
      </c>
      <c r="D572" s="319" t="s">
        <v>2643</v>
      </c>
      <c r="E572" s="319"/>
      <c r="F572" s="319" t="s">
        <v>4097</v>
      </c>
      <c r="G572" s="319"/>
      <c r="H572" s="319"/>
      <c r="I572" s="319"/>
    </row>
    <row r="573" customFormat="false" ht="42.75" hidden="false" customHeight="true" outlineLevel="0" collapsed="false">
      <c r="A573" s="319" t="s">
        <v>4095</v>
      </c>
      <c r="B573" s="319" t="s">
        <v>1471</v>
      </c>
      <c r="C573" s="319" t="s">
        <v>2635</v>
      </c>
      <c r="D573" s="319" t="s">
        <v>2619</v>
      </c>
      <c r="E573" s="319"/>
      <c r="F573" s="319" t="s">
        <v>4098</v>
      </c>
      <c r="G573" s="319" t="s">
        <v>4099</v>
      </c>
      <c r="H573" s="319" t="s">
        <v>2638</v>
      </c>
      <c r="I573" s="319" t="s">
        <v>4100</v>
      </c>
    </row>
    <row r="574" customFormat="false" ht="53.25" hidden="false" customHeight="true" outlineLevel="0" collapsed="false">
      <c r="A574" s="319" t="s">
        <v>4095</v>
      </c>
      <c r="B574" s="319" t="s">
        <v>1471</v>
      </c>
      <c r="C574" s="319" t="s">
        <v>2635</v>
      </c>
      <c r="D574" s="319" t="s">
        <v>2619</v>
      </c>
      <c r="E574" s="319"/>
      <c r="F574" s="319" t="s">
        <v>4101</v>
      </c>
      <c r="G574" s="319" t="s">
        <v>4102</v>
      </c>
      <c r="H574" s="319" t="s">
        <v>2622</v>
      </c>
      <c r="I574" s="319" t="s">
        <v>4103</v>
      </c>
    </row>
    <row r="575" customFormat="false" ht="32.25" hidden="false" customHeight="true" outlineLevel="0" collapsed="false">
      <c r="A575" s="319" t="s">
        <v>4095</v>
      </c>
      <c r="B575" s="319" t="s">
        <v>1471</v>
      </c>
      <c r="C575" s="319" t="s">
        <v>2635</v>
      </c>
      <c r="D575" s="319" t="s">
        <v>2619</v>
      </c>
      <c r="E575" s="319"/>
      <c r="F575" s="319" t="s">
        <v>4104</v>
      </c>
      <c r="G575" s="319" t="s">
        <v>4105</v>
      </c>
      <c r="H575" s="319" t="s">
        <v>2638</v>
      </c>
      <c r="I575" s="319" t="s">
        <v>4106</v>
      </c>
    </row>
    <row r="576" customFormat="false" ht="32.25" hidden="false" customHeight="true" outlineLevel="0" collapsed="false">
      <c r="A576" s="319" t="s">
        <v>4095</v>
      </c>
      <c r="B576" s="319" t="s">
        <v>1471</v>
      </c>
      <c r="C576" s="319" t="s">
        <v>2635</v>
      </c>
      <c r="D576" s="319" t="s">
        <v>2619</v>
      </c>
      <c r="E576" s="319"/>
      <c r="F576" s="319" t="s">
        <v>4107</v>
      </c>
      <c r="G576" s="319" t="s">
        <v>4108</v>
      </c>
      <c r="H576" s="319" t="s">
        <v>2638</v>
      </c>
      <c r="I576" s="319" t="s">
        <v>4109</v>
      </c>
    </row>
    <row r="577" customFormat="false" ht="32.25" hidden="false" customHeight="true" outlineLevel="0" collapsed="false">
      <c r="A577" s="319" t="s">
        <v>4095</v>
      </c>
      <c r="B577" s="319" t="s">
        <v>1471</v>
      </c>
      <c r="C577" s="319" t="s">
        <v>2635</v>
      </c>
      <c r="D577" s="319" t="s">
        <v>2619</v>
      </c>
      <c r="E577" s="319"/>
      <c r="F577" s="319" t="s">
        <v>4110</v>
      </c>
      <c r="G577" s="319" t="s">
        <v>4111</v>
      </c>
      <c r="H577" s="319" t="s">
        <v>2638</v>
      </c>
      <c r="I577" s="319" t="s">
        <v>4112</v>
      </c>
    </row>
    <row r="578" customFormat="false" ht="15" hidden="false" customHeight="true" outlineLevel="0" collapsed="false">
      <c r="A578" s="319" t="s">
        <v>4095</v>
      </c>
      <c r="B578" s="319" t="s">
        <v>1471</v>
      </c>
      <c r="C578" s="319" t="s">
        <v>2642</v>
      </c>
      <c r="D578" s="319" t="s">
        <v>2643</v>
      </c>
      <c r="E578" s="319"/>
      <c r="F578" s="319" t="s">
        <v>4113</v>
      </c>
      <c r="G578" s="319"/>
      <c r="H578" s="319"/>
      <c r="I578" s="319"/>
    </row>
    <row r="579" customFormat="false" ht="53.25" hidden="false" customHeight="true" outlineLevel="0" collapsed="false">
      <c r="A579" s="319" t="s">
        <v>4095</v>
      </c>
      <c r="B579" s="319" t="s">
        <v>1471</v>
      </c>
      <c r="C579" s="319" t="s">
        <v>3987</v>
      </c>
      <c r="D579" s="319" t="s">
        <v>3988</v>
      </c>
      <c r="E579" s="319"/>
      <c r="F579" s="319" t="s">
        <v>4114</v>
      </c>
      <c r="G579" s="319"/>
      <c r="H579" s="319"/>
      <c r="I579" s="319"/>
    </row>
    <row r="580" customFormat="false" ht="42.75" hidden="false" customHeight="true" outlineLevel="0" collapsed="false">
      <c r="A580" s="319" t="s">
        <v>4095</v>
      </c>
      <c r="B580" s="319" t="s">
        <v>1471</v>
      </c>
      <c r="C580" s="319" t="s">
        <v>2660</v>
      </c>
      <c r="D580" s="319" t="s">
        <v>2661</v>
      </c>
      <c r="E580" s="319"/>
      <c r="F580" s="319" t="s">
        <v>4115</v>
      </c>
      <c r="G580" s="319"/>
      <c r="H580" s="319" t="s">
        <v>2663</v>
      </c>
      <c r="I580" s="319"/>
    </row>
    <row r="581" customFormat="false" ht="32.25" hidden="false" customHeight="true" outlineLevel="0" collapsed="false">
      <c r="A581" s="319" t="s">
        <v>4116</v>
      </c>
      <c r="B581" s="319" t="s">
        <v>1488</v>
      </c>
      <c r="C581" s="319" t="s">
        <v>711</v>
      </c>
      <c r="D581" s="319" t="s">
        <v>2619</v>
      </c>
      <c r="E581" s="319"/>
      <c r="F581" s="319" t="s">
        <v>4117</v>
      </c>
      <c r="G581" s="319" t="s">
        <v>4118</v>
      </c>
      <c r="H581" s="319" t="s">
        <v>2638</v>
      </c>
      <c r="I581" s="319" t="s">
        <v>4119</v>
      </c>
    </row>
    <row r="582" customFormat="false" ht="32.25" hidden="false" customHeight="true" outlineLevel="0" collapsed="false">
      <c r="A582" s="319" t="s">
        <v>4116</v>
      </c>
      <c r="B582" s="319" t="s">
        <v>1488</v>
      </c>
      <c r="C582" s="319" t="s">
        <v>711</v>
      </c>
      <c r="D582" s="319" t="s">
        <v>2619</v>
      </c>
      <c r="E582" s="319"/>
      <c r="F582" s="319" t="s">
        <v>4120</v>
      </c>
      <c r="G582" s="319" t="s">
        <v>4121</v>
      </c>
      <c r="H582" s="319" t="s">
        <v>2638</v>
      </c>
      <c r="I582" s="319" t="s">
        <v>4122</v>
      </c>
    </row>
    <row r="583" customFormat="false" ht="32.25" hidden="false" customHeight="true" outlineLevel="0" collapsed="false">
      <c r="A583" s="319" t="s">
        <v>4116</v>
      </c>
      <c r="B583" s="319" t="s">
        <v>1488</v>
      </c>
      <c r="C583" s="319" t="s">
        <v>711</v>
      </c>
      <c r="D583" s="319" t="s">
        <v>2619</v>
      </c>
      <c r="E583" s="319"/>
      <c r="F583" s="319" t="s">
        <v>4123</v>
      </c>
      <c r="G583" s="319" t="s">
        <v>4124</v>
      </c>
      <c r="H583" s="319" t="s">
        <v>2622</v>
      </c>
      <c r="I583" s="319" t="s">
        <v>4125</v>
      </c>
    </row>
    <row r="584" customFormat="false" ht="32.25" hidden="false" customHeight="true" outlineLevel="0" collapsed="false">
      <c r="A584" s="319" t="s">
        <v>4116</v>
      </c>
      <c r="B584" s="319" t="s">
        <v>1488</v>
      </c>
      <c r="C584" s="319" t="s">
        <v>712</v>
      </c>
      <c r="D584" s="319" t="s">
        <v>2643</v>
      </c>
      <c r="E584" s="319"/>
      <c r="F584" s="319" t="s">
        <v>4126</v>
      </c>
      <c r="G584" s="319"/>
      <c r="H584" s="319"/>
      <c r="I584" s="319"/>
    </row>
    <row r="585" customFormat="false" ht="53.25" hidden="false" customHeight="true" outlineLevel="0" collapsed="false">
      <c r="A585" s="319" t="s">
        <v>4116</v>
      </c>
      <c r="B585" s="319" t="s">
        <v>1488</v>
      </c>
      <c r="C585" s="319" t="s">
        <v>2635</v>
      </c>
      <c r="D585" s="319" t="s">
        <v>2619</v>
      </c>
      <c r="E585" s="319"/>
      <c r="F585" s="319" t="s">
        <v>4127</v>
      </c>
      <c r="G585" s="319" t="s">
        <v>4128</v>
      </c>
      <c r="H585" s="319" t="s">
        <v>2638</v>
      </c>
      <c r="I585" s="319" t="s">
        <v>4129</v>
      </c>
    </row>
    <row r="586" customFormat="false" ht="21.75" hidden="false" customHeight="true" outlineLevel="0" collapsed="false">
      <c r="A586" s="319" t="s">
        <v>4116</v>
      </c>
      <c r="B586" s="319" t="s">
        <v>1488</v>
      </c>
      <c r="C586" s="319" t="s">
        <v>2635</v>
      </c>
      <c r="D586" s="319" t="s">
        <v>2619</v>
      </c>
      <c r="E586" s="319"/>
      <c r="F586" s="319" t="s">
        <v>4130</v>
      </c>
      <c r="G586" s="319" t="s">
        <v>4131</v>
      </c>
      <c r="H586" s="319" t="s">
        <v>2638</v>
      </c>
      <c r="I586" s="319" t="s">
        <v>4132</v>
      </c>
    </row>
    <row r="587" customFormat="false" ht="32.25" hidden="false" customHeight="true" outlineLevel="0" collapsed="false">
      <c r="A587" s="319" t="s">
        <v>4116</v>
      </c>
      <c r="B587" s="319" t="s">
        <v>1488</v>
      </c>
      <c r="C587" s="319" t="s">
        <v>2635</v>
      </c>
      <c r="D587" s="319" t="s">
        <v>2619</v>
      </c>
      <c r="E587" s="319"/>
      <c r="F587" s="319" t="s">
        <v>4133</v>
      </c>
      <c r="G587" s="319" t="s">
        <v>4124</v>
      </c>
      <c r="H587" s="319" t="s">
        <v>2818</v>
      </c>
      <c r="I587" s="319" t="s">
        <v>4134</v>
      </c>
    </row>
    <row r="588" customFormat="false" ht="15" hidden="false" customHeight="true" outlineLevel="0" collapsed="false">
      <c r="A588" s="319" t="s">
        <v>4116</v>
      </c>
      <c r="B588" s="319" t="s">
        <v>1488</v>
      </c>
      <c r="C588" s="319" t="s">
        <v>2642</v>
      </c>
      <c r="D588" s="319" t="s">
        <v>2643</v>
      </c>
      <c r="E588" s="319"/>
      <c r="F588" s="319" t="s">
        <v>4135</v>
      </c>
      <c r="G588" s="319"/>
      <c r="H588" s="319"/>
      <c r="I588" s="319"/>
    </row>
    <row r="589" customFormat="false" ht="32.25" hidden="false" customHeight="true" outlineLevel="0" collapsed="false">
      <c r="A589" s="319" t="s">
        <v>4116</v>
      </c>
      <c r="B589" s="319" t="s">
        <v>1488</v>
      </c>
      <c r="C589" s="319" t="s">
        <v>3987</v>
      </c>
      <c r="D589" s="319" t="s">
        <v>3988</v>
      </c>
      <c r="E589" s="319"/>
      <c r="F589" s="319" t="s">
        <v>4136</v>
      </c>
      <c r="G589" s="319"/>
      <c r="H589" s="319"/>
      <c r="I589" s="319"/>
    </row>
    <row r="590" customFormat="false" ht="32.25" hidden="false" customHeight="true" outlineLevel="0" collapsed="false">
      <c r="A590" s="319" t="s">
        <v>4116</v>
      </c>
      <c r="B590" s="319" t="s">
        <v>1488</v>
      </c>
      <c r="C590" s="319" t="s">
        <v>2660</v>
      </c>
      <c r="D590" s="319" t="s">
        <v>2661</v>
      </c>
      <c r="E590" s="319"/>
      <c r="F590" s="319" t="s">
        <v>4137</v>
      </c>
      <c r="G590" s="319"/>
      <c r="H590" s="319" t="s">
        <v>2778</v>
      </c>
      <c r="I590" s="319"/>
    </row>
    <row r="591" customFormat="false" ht="42.75" hidden="false" customHeight="true" outlineLevel="0" collapsed="false">
      <c r="A591" s="319" t="s">
        <v>4138</v>
      </c>
      <c r="B591" s="319" t="s">
        <v>1501</v>
      </c>
      <c r="C591" s="319" t="s">
        <v>711</v>
      </c>
      <c r="D591" s="319" t="s">
        <v>2619</v>
      </c>
      <c r="E591" s="319"/>
      <c r="F591" s="319" t="s">
        <v>4139</v>
      </c>
      <c r="G591" s="319" t="s">
        <v>4140</v>
      </c>
      <c r="H591" s="319" t="s">
        <v>2622</v>
      </c>
      <c r="I591" s="319" t="s">
        <v>4141</v>
      </c>
    </row>
    <row r="592" customFormat="false" ht="42.75" hidden="false" customHeight="true" outlineLevel="0" collapsed="false">
      <c r="A592" s="319" t="s">
        <v>4138</v>
      </c>
      <c r="B592" s="319" t="s">
        <v>1501</v>
      </c>
      <c r="C592" s="319" t="s">
        <v>712</v>
      </c>
      <c r="D592" s="319" t="s">
        <v>2643</v>
      </c>
      <c r="E592" s="319"/>
      <c r="F592" s="319" t="s">
        <v>4142</v>
      </c>
      <c r="G592" s="319"/>
      <c r="H592" s="319"/>
      <c r="I592" s="319"/>
    </row>
    <row r="593" customFormat="false" ht="42.75" hidden="false" customHeight="true" outlineLevel="0" collapsed="false">
      <c r="A593" s="319" t="s">
        <v>4138</v>
      </c>
      <c r="B593" s="319" t="s">
        <v>1501</v>
      </c>
      <c r="C593" s="319" t="s">
        <v>2635</v>
      </c>
      <c r="D593" s="319" t="s">
        <v>2619</v>
      </c>
      <c r="E593" s="319"/>
      <c r="F593" s="319" t="s">
        <v>4143</v>
      </c>
      <c r="G593" s="319" t="s">
        <v>4140</v>
      </c>
      <c r="H593" s="319" t="s">
        <v>2638</v>
      </c>
      <c r="I593" s="319" t="s">
        <v>4144</v>
      </c>
    </row>
    <row r="594" customFormat="false" ht="32.25" hidden="false" customHeight="true" outlineLevel="0" collapsed="false">
      <c r="A594" s="319" t="s">
        <v>4138</v>
      </c>
      <c r="B594" s="319" t="s">
        <v>1501</v>
      </c>
      <c r="C594" s="319" t="s">
        <v>2635</v>
      </c>
      <c r="D594" s="319" t="s">
        <v>2619</v>
      </c>
      <c r="E594" s="319"/>
      <c r="F594" s="319" t="s">
        <v>4145</v>
      </c>
      <c r="G594" s="319" t="s">
        <v>4146</v>
      </c>
      <c r="H594" s="319" t="s">
        <v>2638</v>
      </c>
      <c r="I594" s="319" t="s">
        <v>4147</v>
      </c>
    </row>
    <row r="595" customFormat="false" ht="42.75" hidden="false" customHeight="true" outlineLevel="0" collapsed="false">
      <c r="A595" s="319" t="s">
        <v>4138</v>
      </c>
      <c r="B595" s="319" t="s">
        <v>1501</v>
      </c>
      <c r="C595" s="319" t="s">
        <v>2635</v>
      </c>
      <c r="D595" s="319" t="s">
        <v>2619</v>
      </c>
      <c r="E595" s="319"/>
      <c r="F595" s="319" t="s">
        <v>4148</v>
      </c>
      <c r="G595" s="319" t="s">
        <v>4149</v>
      </c>
      <c r="H595" s="319" t="s">
        <v>2622</v>
      </c>
      <c r="I595" s="319" t="s">
        <v>4150</v>
      </c>
    </row>
    <row r="596" customFormat="false" ht="32.25" hidden="false" customHeight="true" outlineLevel="0" collapsed="false">
      <c r="A596" s="319" t="s">
        <v>4138</v>
      </c>
      <c r="B596" s="319" t="s">
        <v>1501</v>
      </c>
      <c r="C596" s="319" t="s">
        <v>2642</v>
      </c>
      <c r="D596" s="319" t="s">
        <v>2643</v>
      </c>
      <c r="E596" s="319"/>
      <c r="F596" s="319" t="s">
        <v>4151</v>
      </c>
      <c r="G596" s="319"/>
      <c r="H596" s="319"/>
      <c r="I596" s="319"/>
    </row>
    <row r="597" customFormat="false" ht="32.25" hidden="false" customHeight="true" outlineLevel="0" collapsed="false">
      <c r="A597" s="319" t="s">
        <v>4138</v>
      </c>
      <c r="B597" s="319" t="s">
        <v>1501</v>
      </c>
      <c r="C597" s="319" t="s">
        <v>2660</v>
      </c>
      <c r="D597" s="319" t="s">
        <v>2661</v>
      </c>
      <c r="E597" s="319"/>
      <c r="F597" s="319" t="s">
        <v>4152</v>
      </c>
      <c r="G597" s="319"/>
      <c r="H597" s="319" t="s">
        <v>2778</v>
      </c>
      <c r="I597" s="319"/>
    </row>
    <row r="598" customFormat="false" ht="32.25" hidden="false" customHeight="true" outlineLevel="0" collapsed="false">
      <c r="A598" s="319" t="s">
        <v>4153</v>
      </c>
      <c r="B598" s="319" t="s">
        <v>4154</v>
      </c>
      <c r="C598" s="319" t="s">
        <v>711</v>
      </c>
      <c r="D598" s="319" t="s">
        <v>2940</v>
      </c>
      <c r="E598" s="319" t="s">
        <v>4155</v>
      </c>
      <c r="F598" s="319" t="s">
        <v>4156</v>
      </c>
      <c r="G598" s="319" t="s">
        <v>4157</v>
      </c>
      <c r="H598" s="319" t="s">
        <v>2638</v>
      </c>
      <c r="I598" s="319" t="s">
        <v>4158</v>
      </c>
    </row>
    <row r="599" customFormat="false" ht="32.25" hidden="false" customHeight="true" outlineLevel="0" collapsed="false">
      <c r="A599" s="319" t="s">
        <v>4153</v>
      </c>
      <c r="B599" s="319" t="s">
        <v>4154</v>
      </c>
      <c r="C599" s="319" t="s">
        <v>712</v>
      </c>
      <c r="D599" s="319" t="s">
        <v>2940</v>
      </c>
      <c r="E599" s="319" t="s">
        <v>4159</v>
      </c>
      <c r="F599" s="319" t="s">
        <v>4160</v>
      </c>
      <c r="G599" s="319" t="s">
        <v>4161</v>
      </c>
      <c r="H599" s="319" t="s">
        <v>2638</v>
      </c>
      <c r="I599" s="319" t="s">
        <v>4162</v>
      </c>
    </row>
    <row r="600" customFormat="false" ht="32.25" hidden="false" customHeight="true" outlineLevel="0" collapsed="false">
      <c r="A600" s="319" t="s">
        <v>4153</v>
      </c>
      <c r="B600" s="319" t="s">
        <v>4154</v>
      </c>
      <c r="C600" s="319" t="s">
        <v>2635</v>
      </c>
      <c r="D600" s="319" t="s">
        <v>2866</v>
      </c>
      <c r="E600" s="319" t="s">
        <v>4163</v>
      </c>
      <c r="F600" s="319"/>
      <c r="G600" s="319" t="s">
        <v>4157</v>
      </c>
      <c r="H600" s="319" t="s">
        <v>2638</v>
      </c>
      <c r="I600" s="319" t="s">
        <v>4164</v>
      </c>
    </row>
    <row r="601" customFormat="false" ht="32.25" hidden="false" customHeight="true" outlineLevel="0" collapsed="false">
      <c r="A601" s="319" t="s">
        <v>4153</v>
      </c>
      <c r="B601" s="319" t="s">
        <v>4154</v>
      </c>
      <c r="C601" s="319" t="s">
        <v>2635</v>
      </c>
      <c r="D601" s="319" t="s">
        <v>2866</v>
      </c>
      <c r="E601" s="319" t="s">
        <v>4165</v>
      </c>
      <c r="F601" s="319"/>
      <c r="G601" s="319" t="s">
        <v>4161</v>
      </c>
      <c r="H601" s="319" t="s">
        <v>2638</v>
      </c>
      <c r="I601" s="319" t="s">
        <v>4166</v>
      </c>
    </row>
    <row r="602" customFormat="false" ht="32.25" hidden="false" customHeight="true" outlineLevel="0" collapsed="false">
      <c r="A602" s="319" t="s">
        <v>4153</v>
      </c>
      <c r="B602" s="319" t="s">
        <v>4154</v>
      </c>
      <c r="C602" s="319" t="s">
        <v>2635</v>
      </c>
      <c r="D602" s="319" t="s">
        <v>2866</v>
      </c>
      <c r="E602" s="319" t="s">
        <v>4167</v>
      </c>
      <c r="F602" s="319"/>
      <c r="G602" s="319" t="s">
        <v>4168</v>
      </c>
      <c r="H602" s="319" t="s">
        <v>2638</v>
      </c>
      <c r="I602" s="319" t="s">
        <v>4169</v>
      </c>
    </row>
    <row r="603" customFormat="false" ht="32.25" hidden="false" customHeight="true" outlineLevel="0" collapsed="false">
      <c r="A603" s="319" t="s">
        <v>4153</v>
      </c>
      <c r="B603" s="319" t="s">
        <v>4154</v>
      </c>
      <c r="C603" s="319" t="s">
        <v>2635</v>
      </c>
      <c r="D603" s="319" t="s">
        <v>2619</v>
      </c>
      <c r="E603" s="319"/>
      <c r="F603" s="319" t="s">
        <v>4170</v>
      </c>
      <c r="G603" s="319" t="s">
        <v>4171</v>
      </c>
      <c r="H603" s="319" t="s">
        <v>2638</v>
      </c>
      <c r="I603" s="319" t="s">
        <v>4172</v>
      </c>
    </row>
    <row r="604" customFormat="false" ht="42.75" hidden="false" customHeight="true" outlineLevel="0" collapsed="false">
      <c r="A604" s="319" t="s">
        <v>4153</v>
      </c>
      <c r="B604" s="319" t="s">
        <v>4154</v>
      </c>
      <c r="C604" s="319" t="s">
        <v>2635</v>
      </c>
      <c r="D604" s="319" t="s">
        <v>2619</v>
      </c>
      <c r="E604" s="319"/>
      <c r="F604" s="319" t="s">
        <v>4173</v>
      </c>
      <c r="G604" s="319" t="s">
        <v>4174</v>
      </c>
      <c r="H604" s="319" t="s">
        <v>2638</v>
      </c>
      <c r="I604" s="319" t="s">
        <v>4175</v>
      </c>
    </row>
    <row r="605" customFormat="false" ht="15" hidden="false" customHeight="true" outlineLevel="0" collapsed="false">
      <c r="A605" s="319" t="s">
        <v>4153</v>
      </c>
      <c r="B605" s="319" t="s">
        <v>4154</v>
      </c>
      <c r="C605" s="319" t="s">
        <v>2642</v>
      </c>
      <c r="D605" s="319" t="s">
        <v>2866</v>
      </c>
      <c r="E605" s="319" t="s">
        <v>1087</v>
      </c>
      <c r="F605" s="319"/>
      <c r="G605" s="319"/>
      <c r="H605" s="319" t="s">
        <v>2638</v>
      </c>
      <c r="I605" s="319" t="s">
        <v>4176</v>
      </c>
    </row>
    <row r="606" customFormat="false" ht="42.75" hidden="false" customHeight="true" outlineLevel="0" collapsed="false">
      <c r="A606" s="319" t="s">
        <v>4153</v>
      </c>
      <c r="B606" s="319" t="s">
        <v>4154</v>
      </c>
      <c r="C606" s="319" t="s">
        <v>2660</v>
      </c>
      <c r="D606" s="319" t="s">
        <v>2661</v>
      </c>
      <c r="E606" s="319"/>
      <c r="F606" s="319" t="s">
        <v>4177</v>
      </c>
      <c r="G606" s="319"/>
      <c r="H606" s="319" t="s">
        <v>2778</v>
      </c>
      <c r="I606" s="319"/>
    </row>
    <row r="607" customFormat="false" ht="42.75" hidden="false" customHeight="true" outlineLevel="0" collapsed="false">
      <c r="A607" s="319" t="s">
        <v>4178</v>
      </c>
      <c r="B607" s="319" t="s">
        <v>4179</v>
      </c>
      <c r="C607" s="319" t="s">
        <v>711</v>
      </c>
      <c r="D607" s="319" t="s">
        <v>2643</v>
      </c>
      <c r="E607" s="319"/>
      <c r="F607" s="319" t="s">
        <v>4180</v>
      </c>
      <c r="G607" s="319"/>
      <c r="H607" s="319"/>
      <c r="I607" s="319"/>
    </row>
    <row r="608" customFormat="false" ht="53.25" hidden="false" customHeight="true" outlineLevel="0" collapsed="false">
      <c r="A608" s="319" t="s">
        <v>4178</v>
      </c>
      <c r="B608" s="319" t="s">
        <v>4179</v>
      </c>
      <c r="C608" s="319" t="s">
        <v>712</v>
      </c>
      <c r="D608" s="319" t="s">
        <v>2619</v>
      </c>
      <c r="E608" s="319"/>
      <c r="F608" s="319" t="s">
        <v>4181</v>
      </c>
      <c r="G608" s="319" t="s">
        <v>4182</v>
      </c>
      <c r="H608" s="319" t="s">
        <v>2622</v>
      </c>
      <c r="I608" s="319" t="s">
        <v>4183</v>
      </c>
    </row>
    <row r="609" customFormat="false" ht="32.25" hidden="false" customHeight="true" outlineLevel="0" collapsed="false">
      <c r="A609" s="319" t="s">
        <v>4178</v>
      </c>
      <c r="B609" s="319" t="s">
        <v>4179</v>
      </c>
      <c r="C609" s="319" t="s">
        <v>2635</v>
      </c>
      <c r="D609" s="319" t="s">
        <v>2619</v>
      </c>
      <c r="E609" s="319"/>
      <c r="F609" s="319" t="s">
        <v>4184</v>
      </c>
      <c r="G609" s="319" t="s">
        <v>4185</v>
      </c>
      <c r="H609" s="319" t="s">
        <v>2638</v>
      </c>
      <c r="I609" s="319" t="s">
        <v>4186</v>
      </c>
    </row>
    <row r="610" customFormat="false" ht="42.75" hidden="false" customHeight="true" outlineLevel="0" collapsed="false">
      <c r="A610" s="319" t="s">
        <v>4178</v>
      </c>
      <c r="B610" s="319" t="s">
        <v>4179</v>
      </c>
      <c r="C610" s="319" t="s">
        <v>2635</v>
      </c>
      <c r="D610" s="319" t="s">
        <v>2619</v>
      </c>
      <c r="E610" s="319"/>
      <c r="F610" s="319" t="s">
        <v>4187</v>
      </c>
      <c r="G610" s="319" t="s">
        <v>4188</v>
      </c>
      <c r="H610" s="319" t="s">
        <v>2622</v>
      </c>
      <c r="I610" s="319" t="s">
        <v>4189</v>
      </c>
    </row>
    <row r="611" customFormat="false" ht="32.25" hidden="false" customHeight="true" outlineLevel="0" collapsed="false">
      <c r="A611" s="319" t="s">
        <v>4178</v>
      </c>
      <c r="B611" s="319" t="s">
        <v>4179</v>
      </c>
      <c r="C611" s="319" t="s">
        <v>2635</v>
      </c>
      <c r="D611" s="319" t="s">
        <v>2619</v>
      </c>
      <c r="E611" s="319"/>
      <c r="F611" s="319" t="s">
        <v>4190</v>
      </c>
      <c r="G611" s="319" t="s">
        <v>4182</v>
      </c>
      <c r="H611" s="319" t="s">
        <v>2622</v>
      </c>
      <c r="I611" s="319" t="s">
        <v>4191</v>
      </c>
    </row>
    <row r="612" customFormat="false" ht="32.25" hidden="false" customHeight="true" outlineLevel="0" collapsed="false">
      <c r="A612" s="319" t="s">
        <v>4178</v>
      </c>
      <c r="B612" s="319" t="s">
        <v>4179</v>
      </c>
      <c r="C612" s="319" t="s">
        <v>2642</v>
      </c>
      <c r="D612" s="319" t="s">
        <v>2643</v>
      </c>
      <c r="E612" s="319"/>
      <c r="F612" s="319" t="s">
        <v>4192</v>
      </c>
      <c r="G612" s="319"/>
      <c r="H612" s="319"/>
      <c r="I612" s="319"/>
    </row>
    <row r="613" customFormat="false" ht="32.25" hidden="false" customHeight="true" outlineLevel="0" collapsed="false">
      <c r="A613" s="319" t="s">
        <v>4178</v>
      </c>
      <c r="B613" s="319" t="s">
        <v>4179</v>
      </c>
      <c r="C613" s="319" t="s">
        <v>2660</v>
      </c>
      <c r="D613" s="319" t="s">
        <v>2661</v>
      </c>
      <c r="E613" s="319"/>
      <c r="F613" s="319" t="s">
        <v>4193</v>
      </c>
      <c r="G613" s="319"/>
      <c r="H613" s="319" t="s">
        <v>2778</v>
      </c>
      <c r="I613" s="319"/>
    </row>
    <row r="614" customFormat="false" ht="42.75" hidden="false" customHeight="true" outlineLevel="0" collapsed="false">
      <c r="A614" s="319" t="s">
        <v>4194</v>
      </c>
      <c r="B614" s="319" t="s">
        <v>4195</v>
      </c>
      <c r="C614" s="319" t="s">
        <v>711</v>
      </c>
      <c r="D614" s="319" t="s">
        <v>2643</v>
      </c>
      <c r="E614" s="319"/>
      <c r="F614" s="319" t="s">
        <v>4196</v>
      </c>
      <c r="G614" s="319"/>
      <c r="H614" s="319"/>
      <c r="I614" s="319"/>
    </row>
    <row r="615" customFormat="false" ht="15" hidden="false" customHeight="true" outlineLevel="0" collapsed="false">
      <c r="A615" s="319" t="s">
        <v>4194</v>
      </c>
      <c r="B615" s="319" t="s">
        <v>4195</v>
      </c>
      <c r="C615" s="319" t="s">
        <v>712</v>
      </c>
      <c r="D615" s="319" t="s">
        <v>2643</v>
      </c>
      <c r="E615" s="319"/>
      <c r="F615" s="319" t="s">
        <v>4197</v>
      </c>
      <c r="G615" s="319"/>
      <c r="H615" s="319"/>
      <c r="I615" s="319"/>
    </row>
    <row r="616" customFormat="false" ht="42.75" hidden="false" customHeight="true" outlineLevel="0" collapsed="false">
      <c r="A616" s="319" t="s">
        <v>4194</v>
      </c>
      <c r="B616" s="319" t="s">
        <v>4195</v>
      </c>
      <c r="C616" s="319" t="s">
        <v>2635</v>
      </c>
      <c r="D616" s="319" t="s">
        <v>2619</v>
      </c>
      <c r="E616" s="319"/>
      <c r="F616" s="319" t="s">
        <v>4198</v>
      </c>
      <c r="G616" s="319" t="s">
        <v>4199</v>
      </c>
      <c r="H616" s="319" t="s">
        <v>2638</v>
      </c>
      <c r="I616" s="319" t="s">
        <v>4200</v>
      </c>
    </row>
    <row r="617" customFormat="false" ht="32.25" hidden="false" customHeight="true" outlineLevel="0" collapsed="false">
      <c r="A617" s="319" t="s">
        <v>4194</v>
      </c>
      <c r="B617" s="319" t="s">
        <v>4195</v>
      </c>
      <c r="C617" s="319" t="s">
        <v>2635</v>
      </c>
      <c r="D617" s="319" t="s">
        <v>2619</v>
      </c>
      <c r="E617" s="319"/>
      <c r="F617" s="319" t="s">
        <v>4201</v>
      </c>
      <c r="G617" s="319" t="s">
        <v>4202</v>
      </c>
      <c r="H617" s="319" t="s">
        <v>2638</v>
      </c>
      <c r="I617" s="319" t="s">
        <v>4203</v>
      </c>
    </row>
    <row r="618" customFormat="false" ht="21.75" hidden="false" customHeight="true" outlineLevel="0" collapsed="false">
      <c r="A618" s="319" t="s">
        <v>4194</v>
      </c>
      <c r="B618" s="319" t="s">
        <v>4195</v>
      </c>
      <c r="C618" s="319" t="s">
        <v>2642</v>
      </c>
      <c r="D618" s="319" t="s">
        <v>2643</v>
      </c>
      <c r="E618" s="319"/>
      <c r="F618" s="319" t="s">
        <v>4204</v>
      </c>
      <c r="G618" s="319"/>
      <c r="H618" s="319"/>
      <c r="I618" s="319"/>
    </row>
    <row r="619" customFormat="false" ht="32.25" hidden="false" customHeight="true" outlineLevel="0" collapsed="false">
      <c r="A619" s="319" t="s">
        <v>4194</v>
      </c>
      <c r="B619" s="319" t="s">
        <v>4195</v>
      </c>
      <c r="C619" s="319" t="s">
        <v>2660</v>
      </c>
      <c r="D619" s="319" t="s">
        <v>2661</v>
      </c>
      <c r="E619" s="319"/>
      <c r="F619" s="319" t="s">
        <v>4205</v>
      </c>
      <c r="G619" s="319"/>
      <c r="H619" s="319" t="s">
        <v>2778</v>
      </c>
      <c r="I619" s="319"/>
    </row>
    <row r="620" customFormat="false" ht="42.75" hidden="false" customHeight="true" outlineLevel="0" collapsed="false">
      <c r="A620" s="319" t="s">
        <v>4206</v>
      </c>
      <c r="B620" s="319" t="s">
        <v>4207</v>
      </c>
      <c r="C620" s="319" t="s">
        <v>711</v>
      </c>
      <c r="D620" s="319" t="s">
        <v>2643</v>
      </c>
      <c r="E620" s="319"/>
      <c r="F620" s="319" t="s">
        <v>4208</v>
      </c>
      <c r="G620" s="319"/>
      <c r="H620" s="319"/>
      <c r="I620" s="319"/>
    </row>
    <row r="621" customFormat="false" ht="53.25" hidden="false" customHeight="true" outlineLevel="0" collapsed="false">
      <c r="A621" s="319" t="s">
        <v>4206</v>
      </c>
      <c r="B621" s="319" t="s">
        <v>4207</v>
      </c>
      <c r="C621" s="319" t="s">
        <v>712</v>
      </c>
      <c r="D621" s="319" t="s">
        <v>2619</v>
      </c>
      <c r="E621" s="319"/>
      <c r="F621" s="319" t="s">
        <v>4209</v>
      </c>
      <c r="G621" s="319" t="s">
        <v>4210</v>
      </c>
      <c r="H621" s="319" t="s">
        <v>2626</v>
      </c>
      <c r="I621" s="319" t="s">
        <v>4211</v>
      </c>
    </row>
    <row r="622" customFormat="false" ht="53.25" hidden="false" customHeight="true" outlineLevel="0" collapsed="false">
      <c r="A622" s="319" t="s">
        <v>4206</v>
      </c>
      <c r="B622" s="319" t="s">
        <v>4207</v>
      </c>
      <c r="C622" s="319" t="s">
        <v>2635</v>
      </c>
      <c r="D622" s="319" t="s">
        <v>2619</v>
      </c>
      <c r="E622" s="319"/>
      <c r="F622" s="319" t="s">
        <v>4212</v>
      </c>
      <c r="G622" s="319" t="s">
        <v>4213</v>
      </c>
      <c r="H622" s="319" t="s">
        <v>2622</v>
      </c>
      <c r="I622" s="319" t="s">
        <v>4214</v>
      </c>
    </row>
    <row r="623" customFormat="false" ht="53.25" hidden="false" customHeight="true" outlineLevel="0" collapsed="false">
      <c r="A623" s="319" t="s">
        <v>4206</v>
      </c>
      <c r="B623" s="319" t="s">
        <v>4207</v>
      </c>
      <c r="C623" s="319" t="s">
        <v>2635</v>
      </c>
      <c r="D623" s="319" t="s">
        <v>2619</v>
      </c>
      <c r="E623" s="319"/>
      <c r="F623" s="319" t="s">
        <v>4215</v>
      </c>
      <c r="G623" s="319" t="s">
        <v>4216</v>
      </c>
      <c r="H623" s="319" t="s">
        <v>2622</v>
      </c>
      <c r="I623" s="319" t="s">
        <v>4217</v>
      </c>
    </row>
    <row r="624" customFormat="false" ht="15" hidden="false" customHeight="true" outlineLevel="0" collapsed="false">
      <c r="A624" s="319" t="s">
        <v>4206</v>
      </c>
      <c r="B624" s="319" t="s">
        <v>4207</v>
      </c>
      <c r="C624" s="319" t="s">
        <v>2642</v>
      </c>
      <c r="D624" s="319" t="s">
        <v>2643</v>
      </c>
      <c r="E624" s="319"/>
      <c r="F624" s="319" t="s">
        <v>4218</v>
      </c>
      <c r="G624" s="319"/>
      <c r="H624" s="319"/>
      <c r="I624" s="319"/>
    </row>
    <row r="625" customFormat="false" ht="42.75" hidden="false" customHeight="true" outlineLevel="0" collapsed="false">
      <c r="A625" s="319" t="s">
        <v>4206</v>
      </c>
      <c r="B625" s="319" t="s">
        <v>4207</v>
      </c>
      <c r="C625" s="319" t="s">
        <v>2660</v>
      </c>
      <c r="D625" s="319" t="s">
        <v>2661</v>
      </c>
      <c r="E625" s="319"/>
      <c r="F625" s="319" t="s">
        <v>4219</v>
      </c>
      <c r="G625" s="319"/>
      <c r="H625" s="319" t="s">
        <v>2663</v>
      </c>
      <c r="I625" s="319"/>
    </row>
    <row r="626" customFormat="false" ht="32.25" hidden="false" customHeight="true" outlineLevel="0" collapsed="false">
      <c r="A626" s="319" t="s">
        <v>4220</v>
      </c>
      <c r="B626" s="319" t="s">
        <v>4221</v>
      </c>
      <c r="C626" s="319" t="s">
        <v>711</v>
      </c>
      <c r="D626" s="319" t="s">
        <v>2643</v>
      </c>
      <c r="E626" s="319"/>
      <c r="F626" s="319" t="s">
        <v>4222</v>
      </c>
      <c r="G626" s="319"/>
      <c r="H626" s="319"/>
      <c r="I626" s="319"/>
    </row>
    <row r="627" customFormat="false" ht="15" hidden="false" customHeight="true" outlineLevel="0" collapsed="false">
      <c r="A627" s="319" t="s">
        <v>4220</v>
      </c>
      <c r="B627" s="319" t="s">
        <v>4221</v>
      </c>
      <c r="C627" s="319" t="s">
        <v>712</v>
      </c>
      <c r="D627" s="319" t="s">
        <v>2643</v>
      </c>
      <c r="E627" s="319"/>
      <c r="F627" s="319" t="s">
        <v>4197</v>
      </c>
      <c r="G627" s="319"/>
      <c r="H627" s="319"/>
      <c r="I627" s="319"/>
    </row>
    <row r="628" customFormat="false" ht="42.75" hidden="false" customHeight="true" outlineLevel="0" collapsed="false">
      <c r="A628" s="319" t="s">
        <v>4220</v>
      </c>
      <c r="B628" s="319" t="s">
        <v>4221</v>
      </c>
      <c r="C628" s="319" t="s">
        <v>2635</v>
      </c>
      <c r="D628" s="319" t="s">
        <v>2619</v>
      </c>
      <c r="E628" s="319"/>
      <c r="F628" s="319" t="s">
        <v>4223</v>
      </c>
      <c r="G628" s="319" t="s">
        <v>4224</v>
      </c>
      <c r="H628" s="319" t="s">
        <v>2638</v>
      </c>
      <c r="I628" s="319" t="s">
        <v>4225</v>
      </c>
    </row>
    <row r="629" customFormat="false" ht="53.25" hidden="false" customHeight="true" outlineLevel="0" collapsed="false">
      <c r="A629" s="319" t="s">
        <v>4220</v>
      </c>
      <c r="B629" s="319" t="s">
        <v>4221</v>
      </c>
      <c r="C629" s="319" t="s">
        <v>2635</v>
      </c>
      <c r="D629" s="319" t="s">
        <v>2619</v>
      </c>
      <c r="E629" s="319"/>
      <c r="F629" s="319" t="s">
        <v>4226</v>
      </c>
      <c r="G629" s="319" t="s">
        <v>4227</v>
      </c>
      <c r="H629" s="319" t="s">
        <v>2622</v>
      </c>
      <c r="I629" s="319" t="s">
        <v>4228</v>
      </c>
    </row>
    <row r="630" customFormat="false" ht="15" hidden="false" customHeight="true" outlineLevel="0" collapsed="false">
      <c r="A630" s="319" t="s">
        <v>4220</v>
      </c>
      <c r="B630" s="319" t="s">
        <v>4221</v>
      </c>
      <c r="C630" s="319" t="s">
        <v>2642</v>
      </c>
      <c r="D630" s="319" t="s">
        <v>2643</v>
      </c>
      <c r="E630" s="319"/>
      <c r="F630" s="319" t="s">
        <v>4218</v>
      </c>
      <c r="G630" s="319"/>
      <c r="H630" s="319"/>
      <c r="I630" s="319"/>
    </row>
    <row r="631" customFormat="false" ht="32.25" hidden="false" customHeight="true" outlineLevel="0" collapsed="false">
      <c r="A631" s="319" t="s">
        <v>4220</v>
      </c>
      <c r="B631" s="319" t="s">
        <v>4221</v>
      </c>
      <c r="C631" s="319" t="s">
        <v>2660</v>
      </c>
      <c r="D631" s="319" t="s">
        <v>2661</v>
      </c>
      <c r="E631" s="319"/>
      <c r="F631" s="319" t="s">
        <v>4229</v>
      </c>
      <c r="G631" s="319"/>
      <c r="H631" s="319" t="s">
        <v>2778</v>
      </c>
      <c r="I631" s="319"/>
    </row>
    <row r="632" customFormat="false" ht="32.25" hidden="false" customHeight="true" outlineLevel="0" collapsed="false">
      <c r="A632" s="319" t="s">
        <v>4230</v>
      </c>
      <c r="B632" s="319" t="s">
        <v>4231</v>
      </c>
      <c r="C632" s="319" t="s">
        <v>711</v>
      </c>
      <c r="D632" s="319" t="s">
        <v>2643</v>
      </c>
      <c r="E632" s="319"/>
      <c r="F632" s="319" t="s">
        <v>4232</v>
      </c>
      <c r="G632" s="319"/>
      <c r="H632" s="319"/>
      <c r="I632" s="319"/>
    </row>
    <row r="633" customFormat="false" ht="15" hidden="false" customHeight="true" outlineLevel="0" collapsed="false">
      <c r="A633" s="319" t="s">
        <v>4230</v>
      </c>
      <c r="B633" s="319" t="s">
        <v>4231</v>
      </c>
      <c r="C633" s="319" t="s">
        <v>712</v>
      </c>
      <c r="D633" s="319" t="s">
        <v>2643</v>
      </c>
      <c r="E633" s="319"/>
      <c r="F633" s="319" t="s">
        <v>4197</v>
      </c>
      <c r="G633" s="319"/>
      <c r="H633" s="319"/>
      <c r="I633" s="319"/>
    </row>
    <row r="634" customFormat="false" ht="32.25" hidden="false" customHeight="true" outlineLevel="0" collapsed="false">
      <c r="A634" s="319" t="s">
        <v>4230</v>
      </c>
      <c r="B634" s="319" t="s">
        <v>4231</v>
      </c>
      <c r="C634" s="319" t="s">
        <v>2635</v>
      </c>
      <c r="D634" s="319" t="s">
        <v>2619</v>
      </c>
      <c r="E634" s="319"/>
      <c r="F634" s="319" t="s">
        <v>4233</v>
      </c>
      <c r="G634" s="319" t="s">
        <v>4234</v>
      </c>
      <c r="H634" s="319" t="s">
        <v>2638</v>
      </c>
      <c r="I634" s="319" t="s">
        <v>4235</v>
      </c>
    </row>
    <row r="635" customFormat="false" ht="32.25" hidden="false" customHeight="true" outlineLevel="0" collapsed="false">
      <c r="A635" s="319" t="s">
        <v>4230</v>
      </c>
      <c r="B635" s="319" t="s">
        <v>4231</v>
      </c>
      <c r="C635" s="319" t="s">
        <v>2635</v>
      </c>
      <c r="D635" s="319" t="s">
        <v>2619</v>
      </c>
      <c r="E635" s="319"/>
      <c r="F635" s="319" t="s">
        <v>4236</v>
      </c>
      <c r="G635" s="319" t="s">
        <v>4237</v>
      </c>
      <c r="H635" s="319" t="s">
        <v>2638</v>
      </c>
      <c r="I635" s="319" t="s">
        <v>4238</v>
      </c>
    </row>
    <row r="636" customFormat="false" ht="21.75" hidden="false" customHeight="true" outlineLevel="0" collapsed="false">
      <c r="A636" s="319" t="s">
        <v>4230</v>
      </c>
      <c r="B636" s="319" t="s">
        <v>4231</v>
      </c>
      <c r="C636" s="319" t="s">
        <v>2642</v>
      </c>
      <c r="D636" s="319" t="s">
        <v>2643</v>
      </c>
      <c r="E636" s="319"/>
      <c r="F636" s="319" t="s">
        <v>4239</v>
      </c>
      <c r="G636" s="319"/>
      <c r="H636" s="319"/>
      <c r="I636" s="319"/>
    </row>
    <row r="637" customFormat="false" ht="32.25" hidden="false" customHeight="true" outlineLevel="0" collapsed="false">
      <c r="A637" s="319" t="s">
        <v>4230</v>
      </c>
      <c r="B637" s="319" t="s">
        <v>4231</v>
      </c>
      <c r="C637" s="319" t="s">
        <v>2660</v>
      </c>
      <c r="D637" s="319" t="s">
        <v>2661</v>
      </c>
      <c r="E637" s="319"/>
      <c r="F637" s="319" t="s">
        <v>4240</v>
      </c>
      <c r="G637" s="319"/>
      <c r="H637" s="319" t="s">
        <v>2778</v>
      </c>
      <c r="I637" s="319"/>
    </row>
    <row r="638" customFormat="false" ht="32.25" hidden="false" customHeight="true" outlineLevel="0" collapsed="false">
      <c r="A638" s="319" t="s">
        <v>4241</v>
      </c>
      <c r="B638" s="319" t="s">
        <v>4242</v>
      </c>
      <c r="C638" s="319" t="s">
        <v>711</v>
      </c>
      <c r="D638" s="319" t="s">
        <v>2643</v>
      </c>
      <c r="E638" s="319"/>
      <c r="F638" s="319" t="s">
        <v>4243</v>
      </c>
      <c r="G638" s="319"/>
      <c r="H638" s="319"/>
      <c r="I638" s="319"/>
    </row>
    <row r="639" customFormat="false" ht="15" hidden="false" customHeight="true" outlineLevel="0" collapsed="false">
      <c r="A639" s="319" t="s">
        <v>4241</v>
      </c>
      <c r="B639" s="319" t="s">
        <v>4242</v>
      </c>
      <c r="C639" s="319" t="s">
        <v>712</v>
      </c>
      <c r="D639" s="319" t="s">
        <v>2643</v>
      </c>
      <c r="E639" s="319"/>
      <c r="F639" s="319" t="s">
        <v>4197</v>
      </c>
      <c r="G639" s="319"/>
      <c r="H639" s="319"/>
      <c r="I639" s="319"/>
    </row>
    <row r="640" customFormat="false" ht="42.75" hidden="false" customHeight="true" outlineLevel="0" collapsed="false">
      <c r="A640" s="319" t="s">
        <v>4241</v>
      </c>
      <c r="B640" s="319" t="s">
        <v>4242</v>
      </c>
      <c r="C640" s="319" t="s">
        <v>2635</v>
      </c>
      <c r="D640" s="319" t="s">
        <v>2619</v>
      </c>
      <c r="E640" s="319"/>
      <c r="F640" s="319" t="s">
        <v>4244</v>
      </c>
      <c r="G640" s="319" t="s">
        <v>4245</v>
      </c>
      <c r="H640" s="319" t="s">
        <v>2622</v>
      </c>
      <c r="I640" s="319" t="s">
        <v>4246</v>
      </c>
    </row>
    <row r="641" customFormat="false" ht="42.75" hidden="false" customHeight="true" outlineLevel="0" collapsed="false">
      <c r="A641" s="319" t="s">
        <v>4241</v>
      </c>
      <c r="B641" s="319" t="s">
        <v>4242</v>
      </c>
      <c r="C641" s="319" t="s">
        <v>2635</v>
      </c>
      <c r="D641" s="319" t="s">
        <v>2619</v>
      </c>
      <c r="E641" s="319"/>
      <c r="F641" s="319" t="s">
        <v>4247</v>
      </c>
      <c r="G641" s="319" t="s">
        <v>4248</v>
      </c>
      <c r="H641" s="319" t="s">
        <v>2622</v>
      </c>
      <c r="I641" s="319" t="s">
        <v>4249</v>
      </c>
    </row>
    <row r="642" customFormat="false" ht="21.75" hidden="false" customHeight="true" outlineLevel="0" collapsed="false">
      <c r="A642" s="319" t="s">
        <v>4241</v>
      </c>
      <c r="B642" s="319" t="s">
        <v>4242</v>
      </c>
      <c r="C642" s="319" t="s">
        <v>2642</v>
      </c>
      <c r="D642" s="319" t="s">
        <v>2643</v>
      </c>
      <c r="E642" s="319"/>
      <c r="F642" s="319" t="s">
        <v>4250</v>
      </c>
      <c r="G642" s="319"/>
      <c r="H642" s="319"/>
      <c r="I642" s="319"/>
    </row>
    <row r="643" customFormat="false" ht="32.25" hidden="false" customHeight="true" outlineLevel="0" collapsed="false">
      <c r="A643" s="319" t="s">
        <v>4241</v>
      </c>
      <c r="B643" s="319" t="s">
        <v>4242</v>
      </c>
      <c r="C643" s="319" t="s">
        <v>2660</v>
      </c>
      <c r="D643" s="319" t="s">
        <v>2661</v>
      </c>
      <c r="E643" s="319"/>
      <c r="F643" s="319" t="s">
        <v>4251</v>
      </c>
      <c r="G643" s="319"/>
      <c r="H643" s="319" t="s">
        <v>2778</v>
      </c>
      <c r="I643" s="319"/>
    </row>
    <row r="644" customFormat="false" ht="42.75" hidden="false" customHeight="true" outlineLevel="0" collapsed="false">
      <c r="A644" s="319" t="s">
        <v>4252</v>
      </c>
      <c r="B644" s="319" t="s">
        <v>4253</v>
      </c>
      <c r="C644" s="319" t="s">
        <v>711</v>
      </c>
      <c r="D644" s="319" t="s">
        <v>2940</v>
      </c>
      <c r="E644" s="319" t="s">
        <v>4254</v>
      </c>
      <c r="F644" s="319" t="s">
        <v>4255</v>
      </c>
      <c r="G644" s="319" t="s">
        <v>4256</v>
      </c>
      <c r="H644" s="319" t="s">
        <v>2638</v>
      </c>
      <c r="I644" s="319" t="s">
        <v>4257</v>
      </c>
    </row>
    <row r="645" customFormat="false" ht="53.25" hidden="false" customHeight="true" outlineLevel="0" collapsed="false">
      <c r="A645" s="319" t="s">
        <v>4252</v>
      </c>
      <c r="B645" s="319" t="s">
        <v>4253</v>
      </c>
      <c r="C645" s="319" t="s">
        <v>712</v>
      </c>
      <c r="D645" s="319" t="s">
        <v>2940</v>
      </c>
      <c r="E645" s="319" t="s">
        <v>4258</v>
      </c>
      <c r="F645" s="319" t="s">
        <v>4259</v>
      </c>
      <c r="G645" s="319" t="s">
        <v>4260</v>
      </c>
      <c r="H645" s="319" t="s">
        <v>2622</v>
      </c>
      <c r="I645" s="319" t="s">
        <v>4261</v>
      </c>
    </row>
    <row r="646" customFormat="false" ht="32.25" hidden="false" customHeight="true" outlineLevel="0" collapsed="false">
      <c r="A646" s="319" t="s">
        <v>4252</v>
      </c>
      <c r="B646" s="319" t="s">
        <v>4253</v>
      </c>
      <c r="C646" s="319" t="s">
        <v>712</v>
      </c>
      <c r="D646" s="319" t="s">
        <v>2940</v>
      </c>
      <c r="E646" s="319" t="s">
        <v>4262</v>
      </c>
      <c r="F646" s="319" t="s">
        <v>4263</v>
      </c>
      <c r="G646" s="319" t="s">
        <v>4264</v>
      </c>
      <c r="H646" s="319" t="s">
        <v>2622</v>
      </c>
      <c r="I646" s="319" t="s">
        <v>4265</v>
      </c>
    </row>
    <row r="647" customFormat="false" ht="21.75" hidden="false" customHeight="true" outlineLevel="0" collapsed="false">
      <c r="A647" s="319" t="s">
        <v>4252</v>
      </c>
      <c r="B647" s="319" t="s">
        <v>4253</v>
      </c>
      <c r="C647" s="319" t="s">
        <v>2635</v>
      </c>
      <c r="D647" s="319" t="s">
        <v>2866</v>
      </c>
      <c r="E647" s="319" t="s">
        <v>4266</v>
      </c>
      <c r="F647" s="319"/>
      <c r="G647" s="319" t="s">
        <v>4256</v>
      </c>
      <c r="H647" s="319" t="s">
        <v>2638</v>
      </c>
      <c r="I647" s="319" t="s">
        <v>4267</v>
      </c>
    </row>
    <row r="648" customFormat="false" ht="21.75" hidden="false" customHeight="true" outlineLevel="0" collapsed="false">
      <c r="A648" s="319" t="s">
        <v>4252</v>
      </c>
      <c r="B648" s="319" t="s">
        <v>4253</v>
      </c>
      <c r="C648" s="319" t="s">
        <v>2635</v>
      </c>
      <c r="D648" s="319" t="s">
        <v>2866</v>
      </c>
      <c r="E648" s="319" t="s">
        <v>4268</v>
      </c>
      <c r="F648" s="319"/>
      <c r="G648" s="319" t="s">
        <v>4264</v>
      </c>
      <c r="H648" s="319" t="s">
        <v>2622</v>
      </c>
      <c r="I648" s="319" t="s">
        <v>4269</v>
      </c>
    </row>
    <row r="649" customFormat="false" ht="21.75" hidden="false" customHeight="true" outlineLevel="0" collapsed="false">
      <c r="A649" s="319" t="s">
        <v>4252</v>
      </c>
      <c r="B649" s="319" t="s">
        <v>4253</v>
      </c>
      <c r="C649" s="319" t="s">
        <v>2635</v>
      </c>
      <c r="D649" s="319" t="s">
        <v>2866</v>
      </c>
      <c r="E649" s="319" t="s">
        <v>4270</v>
      </c>
      <c r="F649" s="319"/>
      <c r="G649" s="319" t="s">
        <v>4271</v>
      </c>
      <c r="H649" s="319" t="s">
        <v>2622</v>
      </c>
      <c r="I649" s="319" t="s">
        <v>4272</v>
      </c>
    </row>
    <row r="650" customFormat="false" ht="32.25" hidden="false" customHeight="true" outlineLevel="0" collapsed="false">
      <c r="A650" s="319" t="s">
        <v>4252</v>
      </c>
      <c r="B650" s="319" t="s">
        <v>4253</v>
      </c>
      <c r="C650" s="319" t="s">
        <v>2635</v>
      </c>
      <c r="D650" s="319" t="s">
        <v>2866</v>
      </c>
      <c r="E650" s="319" t="s">
        <v>4273</v>
      </c>
      <c r="F650" s="319"/>
      <c r="G650" s="319" t="s">
        <v>4274</v>
      </c>
      <c r="H650" s="319" t="s">
        <v>2622</v>
      </c>
      <c r="I650" s="319" t="s">
        <v>4275</v>
      </c>
    </row>
    <row r="651" customFormat="false" ht="42.75" hidden="false" customHeight="true" outlineLevel="0" collapsed="false">
      <c r="A651" s="319" t="s">
        <v>4252</v>
      </c>
      <c r="B651" s="319" t="s">
        <v>4253</v>
      </c>
      <c r="C651" s="319" t="s">
        <v>2635</v>
      </c>
      <c r="D651" s="319" t="s">
        <v>2619</v>
      </c>
      <c r="E651" s="319"/>
      <c r="F651" s="319" t="s">
        <v>4276</v>
      </c>
      <c r="G651" s="319" t="s">
        <v>4260</v>
      </c>
      <c r="H651" s="319" t="s">
        <v>2622</v>
      </c>
      <c r="I651" s="319" t="s">
        <v>4277</v>
      </c>
    </row>
    <row r="652" customFormat="false" ht="32.25" hidden="false" customHeight="true" outlineLevel="0" collapsed="false">
      <c r="A652" s="319" t="s">
        <v>4252</v>
      </c>
      <c r="B652" s="319" t="s">
        <v>4253</v>
      </c>
      <c r="C652" s="319" t="s">
        <v>2635</v>
      </c>
      <c r="D652" s="319" t="s">
        <v>2619</v>
      </c>
      <c r="E652" s="319"/>
      <c r="F652" s="319" t="s">
        <v>4278</v>
      </c>
      <c r="G652" s="319" t="s">
        <v>4279</v>
      </c>
      <c r="H652" s="319" t="s">
        <v>2622</v>
      </c>
      <c r="I652" s="319" t="s">
        <v>4280</v>
      </c>
    </row>
    <row r="653" customFormat="false" ht="53.25" hidden="false" customHeight="true" outlineLevel="0" collapsed="false">
      <c r="A653" s="319" t="s">
        <v>4252</v>
      </c>
      <c r="B653" s="319" t="s">
        <v>4253</v>
      </c>
      <c r="C653" s="319" t="s">
        <v>2635</v>
      </c>
      <c r="D653" s="319" t="s">
        <v>2619</v>
      </c>
      <c r="E653" s="319"/>
      <c r="F653" s="319" t="s">
        <v>4281</v>
      </c>
      <c r="G653" s="319" t="s">
        <v>4282</v>
      </c>
      <c r="H653" s="319" t="s">
        <v>2622</v>
      </c>
      <c r="I653" s="319" t="s">
        <v>4283</v>
      </c>
    </row>
    <row r="654" customFormat="false" ht="15" hidden="false" customHeight="true" outlineLevel="0" collapsed="false">
      <c r="A654" s="319" t="s">
        <v>4252</v>
      </c>
      <c r="B654" s="319" t="s">
        <v>4253</v>
      </c>
      <c r="C654" s="319" t="s">
        <v>2642</v>
      </c>
      <c r="D654" s="319" t="s">
        <v>2866</v>
      </c>
      <c r="E654" s="319" t="s">
        <v>1087</v>
      </c>
      <c r="F654" s="319"/>
      <c r="G654" s="319"/>
      <c r="H654" s="319" t="s">
        <v>2638</v>
      </c>
      <c r="I654" s="319" t="s">
        <v>4284</v>
      </c>
    </row>
    <row r="655" customFormat="false" ht="42.75" hidden="false" customHeight="true" outlineLevel="0" collapsed="false">
      <c r="A655" s="319" t="s">
        <v>4252</v>
      </c>
      <c r="B655" s="319" t="s">
        <v>4253</v>
      </c>
      <c r="C655" s="319" t="s">
        <v>2660</v>
      </c>
      <c r="D655" s="319" t="s">
        <v>2661</v>
      </c>
      <c r="E655" s="319"/>
      <c r="F655" s="319" t="s">
        <v>4285</v>
      </c>
      <c r="G655" s="319"/>
      <c r="H655" s="319" t="s">
        <v>2778</v>
      </c>
      <c r="I655" s="319"/>
    </row>
    <row r="656" customFormat="false" ht="21.75" hidden="false" customHeight="true" outlineLevel="0" collapsed="false">
      <c r="A656" s="319" t="s">
        <v>4286</v>
      </c>
      <c r="B656" s="319" t="s">
        <v>4287</v>
      </c>
      <c r="C656" s="319" t="s">
        <v>711</v>
      </c>
      <c r="D656" s="319" t="s">
        <v>2643</v>
      </c>
      <c r="E656" s="319"/>
      <c r="F656" s="319" t="s">
        <v>4288</v>
      </c>
      <c r="G656" s="319"/>
      <c r="H656" s="319"/>
      <c r="I656" s="319"/>
    </row>
    <row r="657" customFormat="false" ht="15" hidden="false" customHeight="true" outlineLevel="0" collapsed="false">
      <c r="A657" s="319" t="s">
        <v>4286</v>
      </c>
      <c r="B657" s="319" t="s">
        <v>4287</v>
      </c>
      <c r="C657" s="319" t="s">
        <v>712</v>
      </c>
      <c r="D657" s="319" t="s">
        <v>2643</v>
      </c>
      <c r="E657" s="319"/>
      <c r="F657" s="319" t="s">
        <v>4289</v>
      </c>
      <c r="G657" s="319"/>
      <c r="H657" s="319"/>
      <c r="I657" s="319"/>
    </row>
    <row r="658" customFormat="false" ht="42.75" hidden="false" customHeight="true" outlineLevel="0" collapsed="false">
      <c r="A658" s="319" t="s">
        <v>4286</v>
      </c>
      <c r="B658" s="319" t="s">
        <v>4287</v>
      </c>
      <c r="C658" s="319" t="s">
        <v>2635</v>
      </c>
      <c r="D658" s="319" t="s">
        <v>2619</v>
      </c>
      <c r="E658" s="319"/>
      <c r="F658" s="319" t="s">
        <v>4290</v>
      </c>
      <c r="G658" s="319" t="s">
        <v>4291</v>
      </c>
      <c r="H658" s="319" t="s">
        <v>2638</v>
      </c>
      <c r="I658" s="319" t="s">
        <v>4292</v>
      </c>
    </row>
    <row r="659" customFormat="false" ht="84.75" hidden="false" customHeight="true" outlineLevel="0" collapsed="false">
      <c r="A659" s="319" t="s">
        <v>4286</v>
      </c>
      <c r="B659" s="319" t="s">
        <v>4287</v>
      </c>
      <c r="C659" s="319" t="s">
        <v>2635</v>
      </c>
      <c r="D659" s="319" t="s">
        <v>2619</v>
      </c>
      <c r="E659" s="319"/>
      <c r="F659" s="319" t="s">
        <v>4293</v>
      </c>
      <c r="G659" s="319" t="s">
        <v>4294</v>
      </c>
      <c r="H659" s="319" t="s">
        <v>2638</v>
      </c>
      <c r="I659" s="319" t="s">
        <v>4295</v>
      </c>
    </row>
    <row r="660" customFormat="false" ht="53.25" hidden="false" customHeight="true" outlineLevel="0" collapsed="false">
      <c r="A660" s="319" t="s">
        <v>4286</v>
      </c>
      <c r="B660" s="319" t="s">
        <v>4287</v>
      </c>
      <c r="C660" s="319" t="s">
        <v>2635</v>
      </c>
      <c r="D660" s="319" t="s">
        <v>2619</v>
      </c>
      <c r="E660" s="319"/>
      <c r="F660" s="319" t="s">
        <v>4296</v>
      </c>
      <c r="G660" s="319" t="s">
        <v>4297</v>
      </c>
      <c r="H660" s="319" t="s">
        <v>2638</v>
      </c>
      <c r="I660" s="319" t="s">
        <v>4298</v>
      </c>
    </row>
    <row r="661" customFormat="false" ht="15" hidden="false" customHeight="true" outlineLevel="0" collapsed="false">
      <c r="A661" s="319" t="s">
        <v>4286</v>
      </c>
      <c r="B661" s="319" t="s">
        <v>4287</v>
      </c>
      <c r="C661" s="319" t="s">
        <v>2642</v>
      </c>
      <c r="D661" s="319" t="s">
        <v>2643</v>
      </c>
      <c r="E661" s="319"/>
      <c r="F661" s="319" t="s">
        <v>4299</v>
      </c>
      <c r="G661" s="319"/>
      <c r="H661" s="319"/>
      <c r="I661" s="319"/>
    </row>
    <row r="662" customFormat="false" ht="32.25" hidden="false" customHeight="true" outlineLevel="0" collapsed="false">
      <c r="A662" s="319" t="s">
        <v>4286</v>
      </c>
      <c r="B662" s="319" t="s">
        <v>4287</v>
      </c>
      <c r="C662" s="319" t="s">
        <v>2660</v>
      </c>
      <c r="D662" s="319" t="s">
        <v>2661</v>
      </c>
      <c r="E662" s="319"/>
      <c r="F662" s="319" t="s">
        <v>4300</v>
      </c>
      <c r="G662" s="319"/>
      <c r="H662" s="319" t="s">
        <v>2778</v>
      </c>
      <c r="I662" s="319"/>
    </row>
    <row r="663" customFormat="false" ht="21.75" hidden="false" customHeight="true" outlineLevel="0" collapsed="false">
      <c r="A663" s="319" t="s">
        <v>4301</v>
      </c>
      <c r="B663" s="319" t="s">
        <v>4302</v>
      </c>
      <c r="C663" s="319" t="s">
        <v>711</v>
      </c>
      <c r="D663" s="319" t="s">
        <v>2643</v>
      </c>
      <c r="E663" s="319"/>
      <c r="F663" s="319" t="s">
        <v>4303</v>
      </c>
      <c r="G663" s="319"/>
      <c r="H663" s="319"/>
      <c r="I663" s="319"/>
    </row>
    <row r="664" customFormat="false" ht="15" hidden="false" customHeight="true" outlineLevel="0" collapsed="false">
      <c r="A664" s="319" t="s">
        <v>4301</v>
      </c>
      <c r="B664" s="319" t="s">
        <v>4302</v>
      </c>
      <c r="C664" s="319" t="s">
        <v>712</v>
      </c>
      <c r="D664" s="319" t="s">
        <v>2643</v>
      </c>
      <c r="E664" s="319"/>
      <c r="F664" s="319" t="s">
        <v>4304</v>
      </c>
      <c r="G664" s="319"/>
      <c r="H664" s="319"/>
      <c r="I664" s="319"/>
    </row>
    <row r="665" customFormat="false" ht="74.25" hidden="false" customHeight="true" outlineLevel="0" collapsed="false">
      <c r="A665" s="319" t="s">
        <v>4301</v>
      </c>
      <c r="B665" s="319" t="s">
        <v>4302</v>
      </c>
      <c r="C665" s="319" t="s">
        <v>2635</v>
      </c>
      <c r="D665" s="319" t="s">
        <v>2619</v>
      </c>
      <c r="E665" s="319"/>
      <c r="F665" s="319" t="s">
        <v>4305</v>
      </c>
      <c r="G665" s="319" t="s">
        <v>4306</v>
      </c>
      <c r="H665" s="319" t="s">
        <v>2622</v>
      </c>
      <c r="I665" s="319" t="s">
        <v>4307</v>
      </c>
    </row>
    <row r="666" customFormat="false" ht="32.25" hidden="false" customHeight="true" outlineLevel="0" collapsed="false">
      <c r="A666" s="319" t="s">
        <v>4301</v>
      </c>
      <c r="B666" s="319" t="s">
        <v>4302</v>
      </c>
      <c r="C666" s="319" t="s">
        <v>2635</v>
      </c>
      <c r="D666" s="319" t="s">
        <v>2619</v>
      </c>
      <c r="E666" s="319"/>
      <c r="F666" s="319" t="s">
        <v>4308</v>
      </c>
      <c r="G666" s="319" t="s">
        <v>4309</v>
      </c>
      <c r="H666" s="319" t="s">
        <v>2638</v>
      </c>
      <c r="I666" s="319" t="s">
        <v>4310</v>
      </c>
    </row>
    <row r="667" customFormat="false" ht="15" hidden="false" customHeight="true" outlineLevel="0" collapsed="false">
      <c r="A667" s="319" t="s">
        <v>4301</v>
      </c>
      <c r="B667" s="319" t="s">
        <v>4302</v>
      </c>
      <c r="C667" s="319" t="s">
        <v>2642</v>
      </c>
      <c r="D667" s="319" t="s">
        <v>2643</v>
      </c>
      <c r="E667" s="319"/>
      <c r="F667" s="319" t="s">
        <v>4304</v>
      </c>
      <c r="G667" s="319"/>
      <c r="H667" s="319"/>
      <c r="I667" s="319"/>
    </row>
    <row r="668" customFormat="false" ht="21.75" hidden="false" customHeight="true" outlineLevel="0" collapsed="false">
      <c r="A668" s="319" t="s">
        <v>4301</v>
      </c>
      <c r="B668" s="319" t="s">
        <v>4302</v>
      </c>
      <c r="C668" s="319" t="s">
        <v>2660</v>
      </c>
      <c r="D668" s="319" t="s">
        <v>2661</v>
      </c>
      <c r="E668" s="319"/>
      <c r="F668" s="319" t="s">
        <v>4311</v>
      </c>
      <c r="G668" s="319"/>
      <c r="H668" s="319" t="s">
        <v>2663</v>
      </c>
      <c r="I668" s="319"/>
    </row>
    <row r="669" customFormat="false" ht="21.75" hidden="false" customHeight="true" outlineLevel="0" collapsed="false">
      <c r="A669" s="319" t="s">
        <v>4312</v>
      </c>
      <c r="B669" s="319" t="s">
        <v>4313</v>
      </c>
      <c r="C669" s="319" t="s">
        <v>711</v>
      </c>
      <c r="D669" s="319" t="s">
        <v>2643</v>
      </c>
      <c r="E669" s="319"/>
      <c r="F669" s="319" t="s">
        <v>4314</v>
      </c>
      <c r="G669" s="319"/>
      <c r="H669" s="319"/>
      <c r="I669" s="319"/>
    </row>
    <row r="670" customFormat="false" ht="21.75" hidden="false" customHeight="true" outlineLevel="0" collapsed="false">
      <c r="A670" s="319" t="s">
        <v>4312</v>
      </c>
      <c r="B670" s="319" t="s">
        <v>4313</v>
      </c>
      <c r="C670" s="319" t="s">
        <v>712</v>
      </c>
      <c r="D670" s="319" t="s">
        <v>2643</v>
      </c>
      <c r="E670" s="319"/>
      <c r="F670" s="319" t="s">
        <v>4315</v>
      </c>
      <c r="G670" s="319"/>
      <c r="H670" s="319"/>
      <c r="I670" s="319"/>
    </row>
    <row r="671" customFormat="false" ht="53.25" hidden="false" customHeight="true" outlineLevel="0" collapsed="false">
      <c r="A671" s="319" t="s">
        <v>4312</v>
      </c>
      <c r="B671" s="319" t="s">
        <v>4313</v>
      </c>
      <c r="C671" s="319" t="s">
        <v>2635</v>
      </c>
      <c r="D671" s="319" t="s">
        <v>2619</v>
      </c>
      <c r="E671" s="319"/>
      <c r="F671" s="319" t="s">
        <v>4316</v>
      </c>
      <c r="G671" s="319" t="s">
        <v>4317</v>
      </c>
      <c r="H671" s="319" t="s">
        <v>2622</v>
      </c>
      <c r="I671" s="319" t="s">
        <v>4318</v>
      </c>
    </row>
    <row r="672" customFormat="false" ht="32.25" hidden="false" customHeight="true" outlineLevel="0" collapsed="false">
      <c r="A672" s="319" t="s">
        <v>4312</v>
      </c>
      <c r="B672" s="319" t="s">
        <v>4313</v>
      </c>
      <c r="C672" s="319" t="s">
        <v>2635</v>
      </c>
      <c r="D672" s="319" t="s">
        <v>2619</v>
      </c>
      <c r="E672" s="319"/>
      <c r="F672" s="319" t="s">
        <v>4319</v>
      </c>
      <c r="G672" s="319" t="s">
        <v>4320</v>
      </c>
      <c r="H672" s="319" t="s">
        <v>2638</v>
      </c>
      <c r="I672" s="319" t="s">
        <v>4321</v>
      </c>
    </row>
    <row r="673" customFormat="false" ht="15" hidden="false" customHeight="true" outlineLevel="0" collapsed="false">
      <c r="A673" s="319" t="s">
        <v>4312</v>
      </c>
      <c r="B673" s="319" t="s">
        <v>4313</v>
      </c>
      <c r="C673" s="319" t="s">
        <v>2642</v>
      </c>
      <c r="D673" s="319" t="s">
        <v>2643</v>
      </c>
      <c r="E673" s="319"/>
      <c r="F673" s="319" t="s">
        <v>4304</v>
      </c>
      <c r="G673" s="319"/>
      <c r="H673" s="319"/>
      <c r="I673" s="319"/>
    </row>
    <row r="674" customFormat="false" ht="32.25" hidden="false" customHeight="true" outlineLevel="0" collapsed="false">
      <c r="A674" s="319" t="s">
        <v>4312</v>
      </c>
      <c r="B674" s="319" t="s">
        <v>4313</v>
      </c>
      <c r="C674" s="319" t="s">
        <v>2660</v>
      </c>
      <c r="D674" s="319" t="s">
        <v>2661</v>
      </c>
      <c r="E674" s="319"/>
      <c r="F674" s="319" t="s">
        <v>4322</v>
      </c>
      <c r="G674" s="319"/>
      <c r="H674" s="319" t="s">
        <v>2778</v>
      </c>
      <c r="I674" s="319"/>
    </row>
    <row r="675" customFormat="false" ht="21.75" hidden="false" customHeight="true" outlineLevel="0" collapsed="false">
      <c r="A675" s="319" t="s">
        <v>4323</v>
      </c>
      <c r="B675" s="319" t="s">
        <v>4324</v>
      </c>
      <c r="C675" s="319" t="s">
        <v>711</v>
      </c>
      <c r="D675" s="319" t="s">
        <v>2643</v>
      </c>
      <c r="E675" s="319"/>
      <c r="F675" s="319" t="s">
        <v>4325</v>
      </c>
      <c r="G675" s="319"/>
      <c r="H675" s="319"/>
      <c r="I675" s="319"/>
    </row>
    <row r="676" customFormat="false" ht="32.25" hidden="false" customHeight="true" outlineLevel="0" collapsed="false">
      <c r="A676" s="319" t="s">
        <v>4323</v>
      </c>
      <c r="B676" s="319" t="s">
        <v>4324</v>
      </c>
      <c r="C676" s="319" t="s">
        <v>712</v>
      </c>
      <c r="D676" s="319" t="s">
        <v>2619</v>
      </c>
      <c r="E676" s="319"/>
      <c r="F676" s="319" t="s">
        <v>4326</v>
      </c>
      <c r="G676" s="319" t="s">
        <v>4327</v>
      </c>
      <c r="H676" s="319" t="s">
        <v>2638</v>
      </c>
      <c r="I676" s="319" t="s">
        <v>4328</v>
      </c>
    </row>
    <row r="677" customFormat="false" ht="32.25" hidden="false" customHeight="true" outlineLevel="0" collapsed="false">
      <c r="A677" s="319" t="s">
        <v>4323</v>
      </c>
      <c r="B677" s="319" t="s">
        <v>4324</v>
      </c>
      <c r="C677" s="319" t="s">
        <v>2635</v>
      </c>
      <c r="D677" s="319" t="s">
        <v>2619</v>
      </c>
      <c r="E677" s="319"/>
      <c r="F677" s="319" t="s">
        <v>4329</v>
      </c>
      <c r="G677" s="319" t="s">
        <v>4327</v>
      </c>
      <c r="H677" s="319" t="s">
        <v>2638</v>
      </c>
      <c r="I677" s="319" t="s">
        <v>4330</v>
      </c>
    </row>
    <row r="678" customFormat="false" ht="21.75" hidden="false" customHeight="true" outlineLevel="0" collapsed="false">
      <c r="A678" s="319" t="s">
        <v>4323</v>
      </c>
      <c r="B678" s="319" t="s">
        <v>4324</v>
      </c>
      <c r="C678" s="319" t="s">
        <v>2635</v>
      </c>
      <c r="D678" s="319" t="s">
        <v>2619</v>
      </c>
      <c r="E678" s="319"/>
      <c r="F678" s="319" t="s">
        <v>4331</v>
      </c>
      <c r="G678" s="319" t="s">
        <v>4332</v>
      </c>
      <c r="H678" s="319" t="s">
        <v>2638</v>
      </c>
      <c r="I678" s="319" t="s">
        <v>4333</v>
      </c>
    </row>
    <row r="679" customFormat="false" ht="15" hidden="false" customHeight="true" outlineLevel="0" collapsed="false">
      <c r="A679" s="319" t="s">
        <v>4323</v>
      </c>
      <c r="B679" s="319" t="s">
        <v>4324</v>
      </c>
      <c r="C679" s="319" t="s">
        <v>2642</v>
      </c>
      <c r="D679" s="319" t="s">
        <v>2643</v>
      </c>
      <c r="E679" s="319"/>
      <c r="F679" s="319" t="s">
        <v>4304</v>
      </c>
      <c r="G679" s="319"/>
      <c r="H679" s="319"/>
      <c r="I679" s="319"/>
    </row>
    <row r="680" customFormat="false" ht="32.25" hidden="false" customHeight="true" outlineLevel="0" collapsed="false">
      <c r="A680" s="319" t="s">
        <v>4323</v>
      </c>
      <c r="B680" s="319" t="s">
        <v>4324</v>
      </c>
      <c r="C680" s="319" t="s">
        <v>2660</v>
      </c>
      <c r="D680" s="319" t="s">
        <v>2661</v>
      </c>
      <c r="E680" s="319"/>
      <c r="F680" s="319" t="s">
        <v>4334</v>
      </c>
      <c r="G680" s="319"/>
      <c r="H680" s="319" t="s">
        <v>2778</v>
      </c>
      <c r="I680" s="319"/>
    </row>
    <row r="681" customFormat="false" ht="42.75" hidden="false" customHeight="true" outlineLevel="0" collapsed="false">
      <c r="A681" s="319" t="s">
        <v>4335</v>
      </c>
      <c r="B681" s="319" t="s">
        <v>4336</v>
      </c>
      <c r="C681" s="319" t="s">
        <v>711</v>
      </c>
      <c r="D681" s="319" t="s">
        <v>2619</v>
      </c>
      <c r="E681" s="319"/>
      <c r="F681" s="319" t="s">
        <v>4337</v>
      </c>
      <c r="G681" s="319" t="s">
        <v>4338</v>
      </c>
      <c r="H681" s="319" t="s">
        <v>2638</v>
      </c>
      <c r="I681" s="319" t="s">
        <v>4339</v>
      </c>
    </row>
    <row r="682" customFormat="false" ht="42.75" hidden="false" customHeight="true" outlineLevel="0" collapsed="false">
      <c r="A682" s="319" t="s">
        <v>4335</v>
      </c>
      <c r="B682" s="319" t="s">
        <v>4336</v>
      </c>
      <c r="C682" s="319" t="s">
        <v>711</v>
      </c>
      <c r="D682" s="319" t="s">
        <v>2619</v>
      </c>
      <c r="E682" s="319"/>
      <c r="F682" s="319" t="s">
        <v>4340</v>
      </c>
      <c r="G682" s="319" t="s">
        <v>4341</v>
      </c>
      <c r="H682" s="319" t="s">
        <v>2638</v>
      </c>
      <c r="I682" s="319" t="s">
        <v>4342</v>
      </c>
    </row>
    <row r="683" customFormat="false" ht="53.25" hidden="false" customHeight="true" outlineLevel="0" collapsed="false">
      <c r="A683" s="319" t="s">
        <v>4335</v>
      </c>
      <c r="B683" s="319" t="s">
        <v>4336</v>
      </c>
      <c r="C683" s="319" t="s">
        <v>712</v>
      </c>
      <c r="D683" s="319" t="s">
        <v>2619</v>
      </c>
      <c r="E683" s="319"/>
      <c r="F683" s="319" t="s">
        <v>4343</v>
      </c>
      <c r="G683" s="319" t="s">
        <v>4344</v>
      </c>
      <c r="H683" s="319" t="s">
        <v>2622</v>
      </c>
      <c r="I683" s="319" t="s">
        <v>4345</v>
      </c>
    </row>
    <row r="684" customFormat="false" ht="53.25" hidden="false" customHeight="true" outlineLevel="0" collapsed="false">
      <c r="A684" s="319" t="s">
        <v>4335</v>
      </c>
      <c r="B684" s="319" t="s">
        <v>4336</v>
      </c>
      <c r="C684" s="319" t="s">
        <v>2635</v>
      </c>
      <c r="D684" s="319" t="s">
        <v>2619</v>
      </c>
      <c r="E684" s="319"/>
      <c r="F684" s="319" t="s">
        <v>4346</v>
      </c>
      <c r="G684" s="319" t="s">
        <v>4347</v>
      </c>
      <c r="H684" s="319" t="s">
        <v>2638</v>
      </c>
      <c r="I684" s="319" t="s">
        <v>4348</v>
      </c>
    </row>
    <row r="685" customFormat="false" ht="42.75" hidden="false" customHeight="true" outlineLevel="0" collapsed="false">
      <c r="A685" s="319" t="s">
        <v>4335</v>
      </c>
      <c r="B685" s="319" t="s">
        <v>4336</v>
      </c>
      <c r="C685" s="319" t="s">
        <v>2635</v>
      </c>
      <c r="D685" s="319" t="s">
        <v>2619</v>
      </c>
      <c r="E685" s="319"/>
      <c r="F685" s="319" t="s">
        <v>4349</v>
      </c>
      <c r="G685" s="319" t="s">
        <v>4338</v>
      </c>
      <c r="H685" s="319" t="s">
        <v>2622</v>
      </c>
      <c r="I685" s="319" t="s">
        <v>4350</v>
      </c>
    </row>
    <row r="686" customFormat="false" ht="21.75" hidden="false" customHeight="true" outlineLevel="0" collapsed="false">
      <c r="A686" s="319" t="s">
        <v>4335</v>
      </c>
      <c r="B686" s="319" t="s">
        <v>4336</v>
      </c>
      <c r="C686" s="319" t="s">
        <v>2642</v>
      </c>
      <c r="D686" s="319" t="s">
        <v>2643</v>
      </c>
      <c r="E686" s="319"/>
      <c r="F686" s="319" t="s">
        <v>4351</v>
      </c>
      <c r="G686" s="319"/>
      <c r="H686" s="319"/>
      <c r="I686" s="319"/>
    </row>
    <row r="687" customFormat="false" ht="32.25" hidden="false" customHeight="true" outlineLevel="0" collapsed="false">
      <c r="A687" s="319" t="s">
        <v>4335</v>
      </c>
      <c r="B687" s="319" t="s">
        <v>4336</v>
      </c>
      <c r="C687" s="319" t="s">
        <v>2660</v>
      </c>
      <c r="D687" s="319" t="s">
        <v>2661</v>
      </c>
      <c r="E687" s="319"/>
      <c r="F687" s="319" t="s">
        <v>4352</v>
      </c>
      <c r="G687" s="319"/>
      <c r="H687" s="319" t="s">
        <v>2778</v>
      </c>
      <c r="I687" s="319"/>
    </row>
    <row r="688" customFormat="false" ht="32.25" hidden="false" customHeight="true" outlineLevel="0" collapsed="false">
      <c r="A688" s="319" t="s">
        <v>4353</v>
      </c>
      <c r="B688" s="319" t="s">
        <v>4354</v>
      </c>
      <c r="C688" s="319" t="s">
        <v>711</v>
      </c>
      <c r="D688" s="319" t="s">
        <v>2643</v>
      </c>
      <c r="E688" s="319"/>
      <c r="F688" s="319" t="s">
        <v>4355</v>
      </c>
      <c r="G688" s="319"/>
      <c r="H688" s="319"/>
      <c r="I688" s="319"/>
    </row>
    <row r="689" customFormat="false" ht="15" hidden="false" customHeight="true" outlineLevel="0" collapsed="false">
      <c r="A689" s="319" t="s">
        <v>4353</v>
      </c>
      <c r="B689" s="319" t="s">
        <v>4354</v>
      </c>
      <c r="C689" s="319" t="s">
        <v>712</v>
      </c>
      <c r="D689" s="319" t="s">
        <v>2643</v>
      </c>
      <c r="E689" s="319"/>
      <c r="F689" s="319" t="s">
        <v>4304</v>
      </c>
      <c r="G689" s="319"/>
      <c r="H689" s="319"/>
      <c r="I689" s="319"/>
    </row>
    <row r="690" customFormat="false" ht="42.75" hidden="false" customHeight="true" outlineLevel="0" collapsed="false">
      <c r="A690" s="319" t="s">
        <v>4353</v>
      </c>
      <c r="B690" s="319" t="s">
        <v>4354</v>
      </c>
      <c r="C690" s="319" t="s">
        <v>2635</v>
      </c>
      <c r="D690" s="319" t="s">
        <v>2619</v>
      </c>
      <c r="E690" s="319"/>
      <c r="F690" s="319" t="s">
        <v>4356</v>
      </c>
      <c r="G690" s="319" t="s">
        <v>4357</v>
      </c>
      <c r="H690" s="319" t="s">
        <v>2638</v>
      </c>
      <c r="I690" s="319" t="s">
        <v>4358</v>
      </c>
    </row>
    <row r="691" customFormat="false" ht="32.25" hidden="false" customHeight="true" outlineLevel="0" collapsed="false">
      <c r="A691" s="319" t="s">
        <v>4353</v>
      </c>
      <c r="B691" s="319" t="s">
        <v>4354</v>
      </c>
      <c r="C691" s="319" t="s">
        <v>2635</v>
      </c>
      <c r="D691" s="319" t="s">
        <v>2619</v>
      </c>
      <c r="E691" s="319"/>
      <c r="F691" s="319" t="s">
        <v>4359</v>
      </c>
      <c r="G691" s="319" t="s">
        <v>4360</v>
      </c>
      <c r="H691" s="319" t="s">
        <v>2638</v>
      </c>
      <c r="I691" s="319" t="s">
        <v>4361</v>
      </c>
    </row>
    <row r="692" customFormat="false" ht="15" hidden="false" customHeight="true" outlineLevel="0" collapsed="false">
      <c r="A692" s="319" t="s">
        <v>4353</v>
      </c>
      <c r="B692" s="319" t="s">
        <v>4354</v>
      </c>
      <c r="C692" s="319" t="s">
        <v>2642</v>
      </c>
      <c r="D692" s="319" t="s">
        <v>2643</v>
      </c>
      <c r="E692" s="319"/>
      <c r="F692" s="319" t="s">
        <v>4304</v>
      </c>
      <c r="G692" s="319"/>
      <c r="H692" s="319"/>
      <c r="I692" s="319"/>
    </row>
    <row r="693" customFormat="false" ht="32.25" hidden="false" customHeight="true" outlineLevel="0" collapsed="false">
      <c r="A693" s="319" t="s">
        <v>4353</v>
      </c>
      <c r="B693" s="319" t="s">
        <v>4354</v>
      </c>
      <c r="C693" s="319" t="s">
        <v>2660</v>
      </c>
      <c r="D693" s="319" t="s">
        <v>2661</v>
      </c>
      <c r="E693" s="319"/>
      <c r="F693" s="319" t="s">
        <v>4362</v>
      </c>
      <c r="G693" s="319"/>
      <c r="H693" s="319" t="s">
        <v>2663</v>
      </c>
      <c r="I693" s="319"/>
    </row>
    <row r="694" customFormat="false" ht="21.75" hidden="false" customHeight="true" outlineLevel="0" collapsed="false">
      <c r="A694" s="319" t="s">
        <v>4363</v>
      </c>
      <c r="B694" s="319" t="s">
        <v>4364</v>
      </c>
      <c r="C694" s="319" t="s">
        <v>711</v>
      </c>
      <c r="D694" s="319" t="s">
        <v>2643</v>
      </c>
      <c r="E694" s="319"/>
      <c r="F694" s="319" t="s">
        <v>4365</v>
      </c>
      <c r="G694" s="319"/>
      <c r="H694" s="319"/>
      <c r="I694" s="319"/>
    </row>
    <row r="695" customFormat="false" ht="21.75" hidden="false" customHeight="true" outlineLevel="0" collapsed="false">
      <c r="A695" s="319" t="s">
        <v>4363</v>
      </c>
      <c r="B695" s="319" t="s">
        <v>4364</v>
      </c>
      <c r="C695" s="319" t="s">
        <v>712</v>
      </c>
      <c r="D695" s="319" t="s">
        <v>2643</v>
      </c>
      <c r="E695" s="319"/>
      <c r="F695" s="319" t="s">
        <v>4304</v>
      </c>
      <c r="G695" s="319"/>
      <c r="H695" s="319"/>
      <c r="I695" s="319"/>
    </row>
    <row r="696" customFormat="false" ht="42.75" hidden="false" customHeight="true" outlineLevel="0" collapsed="false">
      <c r="A696" s="319" t="s">
        <v>4363</v>
      </c>
      <c r="B696" s="319" t="s">
        <v>4364</v>
      </c>
      <c r="C696" s="319" t="s">
        <v>2635</v>
      </c>
      <c r="D696" s="319" t="s">
        <v>2619</v>
      </c>
      <c r="E696" s="319"/>
      <c r="F696" s="319" t="s">
        <v>4366</v>
      </c>
      <c r="G696" s="319" t="s">
        <v>4367</v>
      </c>
      <c r="H696" s="319" t="s">
        <v>2638</v>
      </c>
      <c r="I696" s="319" t="s">
        <v>4368</v>
      </c>
    </row>
    <row r="697" customFormat="false" ht="21.75" hidden="false" customHeight="true" outlineLevel="0" collapsed="false">
      <c r="A697" s="319" t="s">
        <v>4363</v>
      </c>
      <c r="B697" s="319" t="s">
        <v>4364</v>
      </c>
      <c r="C697" s="319" t="s">
        <v>2635</v>
      </c>
      <c r="D697" s="319" t="s">
        <v>2619</v>
      </c>
      <c r="E697" s="319"/>
      <c r="F697" s="319" t="s">
        <v>4369</v>
      </c>
      <c r="G697" s="319" t="s">
        <v>4370</v>
      </c>
      <c r="H697" s="319" t="s">
        <v>2638</v>
      </c>
      <c r="I697" s="319" t="s">
        <v>4371</v>
      </c>
    </row>
    <row r="698" customFormat="false" ht="21.75" hidden="false" customHeight="true" outlineLevel="0" collapsed="false">
      <c r="A698" s="319" t="s">
        <v>4363</v>
      </c>
      <c r="B698" s="319" t="s">
        <v>4364</v>
      </c>
      <c r="C698" s="319" t="s">
        <v>2642</v>
      </c>
      <c r="D698" s="319" t="s">
        <v>2643</v>
      </c>
      <c r="E698" s="319"/>
      <c r="F698" s="319" t="s">
        <v>4304</v>
      </c>
      <c r="G698" s="319"/>
      <c r="H698" s="319"/>
      <c r="I698" s="319"/>
    </row>
    <row r="699" customFormat="false" ht="21.75" hidden="false" customHeight="true" outlineLevel="0" collapsed="false">
      <c r="A699" s="319" t="s">
        <v>4363</v>
      </c>
      <c r="B699" s="319" t="s">
        <v>4364</v>
      </c>
      <c r="C699" s="319" t="s">
        <v>2660</v>
      </c>
      <c r="D699" s="319" t="s">
        <v>2661</v>
      </c>
      <c r="E699" s="319"/>
      <c r="F699" s="319" t="s">
        <v>4372</v>
      </c>
      <c r="G699" s="319"/>
      <c r="H699" s="319" t="s">
        <v>2778</v>
      </c>
      <c r="I699" s="319"/>
    </row>
    <row r="700" customFormat="false" ht="21.75" hidden="false" customHeight="true" outlineLevel="0" collapsed="false">
      <c r="A700" s="319" t="s">
        <v>4373</v>
      </c>
      <c r="B700" s="319" t="s">
        <v>4374</v>
      </c>
      <c r="C700" s="319" t="s">
        <v>711</v>
      </c>
      <c r="D700" s="319" t="s">
        <v>2643</v>
      </c>
      <c r="E700" s="319"/>
      <c r="F700" s="319" t="s">
        <v>4375</v>
      </c>
      <c r="G700" s="319"/>
      <c r="H700" s="319"/>
      <c r="I700" s="319"/>
    </row>
    <row r="701" customFormat="false" ht="21.75" hidden="false" customHeight="true" outlineLevel="0" collapsed="false">
      <c r="A701" s="319" t="s">
        <v>4373</v>
      </c>
      <c r="B701" s="319" t="s">
        <v>4374</v>
      </c>
      <c r="C701" s="319" t="s">
        <v>712</v>
      </c>
      <c r="D701" s="319" t="s">
        <v>2643</v>
      </c>
      <c r="E701" s="319"/>
      <c r="F701" s="319" t="s">
        <v>4376</v>
      </c>
      <c r="G701" s="319"/>
      <c r="H701" s="319"/>
      <c r="I701" s="319"/>
    </row>
    <row r="702" customFormat="false" ht="32.25" hidden="false" customHeight="true" outlineLevel="0" collapsed="false">
      <c r="A702" s="319" t="s">
        <v>4373</v>
      </c>
      <c r="B702" s="319" t="s">
        <v>4374</v>
      </c>
      <c r="C702" s="319" t="s">
        <v>2635</v>
      </c>
      <c r="D702" s="319" t="s">
        <v>2619</v>
      </c>
      <c r="E702" s="319"/>
      <c r="F702" s="319" t="s">
        <v>4377</v>
      </c>
      <c r="G702" s="319" t="s">
        <v>4378</v>
      </c>
      <c r="H702" s="319" t="s">
        <v>2638</v>
      </c>
      <c r="I702" s="319" t="s">
        <v>4379</v>
      </c>
    </row>
    <row r="703" customFormat="false" ht="32.25" hidden="false" customHeight="true" outlineLevel="0" collapsed="false">
      <c r="A703" s="319" t="s">
        <v>4373</v>
      </c>
      <c r="B703" s="319" t="s">
        <v>4374</v>
      </c>
      <c r="C703" s="319" t="s">
        <v>2635</v>
      </c>
      <c r="D703" s="319" t="s">
        <v>2619</v>
      </c>
      <c r="E703" s="319"/>
      <c r="F703" s="319" t="s">
        <v>4380</v>
      </c>
      <c r="G703" s="319" t="s">
        <v>4381</v>
      </c>
      <c r="H703" s="319" t="s">
        <v>2638</v>
      </c>
      <c r="I703" s="319" t="s">
        <v>4382</v>
      </c>
    </row>
    <row r="704" customFormat="false" ht="42.75" hidden="false" customHeight="true" outlineLevel="0" collapsed="false">
      <c r="A704" s="319" t="s">
        <v>4373</v>
      </c>
      <c r="B704" s="319" t="s">
        <v>4374</v>
      </c>
      <c r="C704" s="319" t="s">
        <v>2635</v>
      </c>
      <c r="D704" s="319" t="s">
        <v>2619</v>
      </c>
      <c r="E704" s="319"/>
      <c r="F704" s="319" t="s">
        <v>4383</v>
      </c>
      <c r="G704" s="319" t="s">
        <v>4384</v>
      </c>
      <c r="H704" s="319" t="s">
        <v>2622</v>
      </c>
      <c r="I704" s="319" t="s">
        <v>4385</v>
      </c>
    </row>
    <row r="705" customFormat="false" ht="21.75" hidden="false" customHeight="true" outlineLevel="0" collapsed="false">
      <c r="A705" s="319" t="s">
        <v>4373</v>
      </c>
      <c r="B705" s="319" t="s">
        <v>4374</v>
      </c>
      <c r="C705" s="319" t="s">
        <v>2642</v>
      </c>
      <c r="D705" s="319" t="s">
        <v>2643</v>
      </c>
      <c r="E705" s="319"/>
      <c r="F705" s="319" t="s">
        <v>4376</v>
      </c>
      <c r="G705" s="319"/>
      <c r="H705" s="319"/>
      <c r="I705" s="319"/>
    </row>
    <row r="706" customFormat="false" ht="21.75" hidden="false" customHeight="true" outlineLevel="0" collapsed="false">
      <c r="A706" s="319" t="s">
        <v>4373</v>
      </c>
      <c r="B706" s="319" t="s">
        <v>4374</v>
      </c>
      <c r="C706" s="319" t="s">
        <v>2660</v>
      </c>
      <c r="D706" s="319" t="s">
        <v>2661</v>
      </c>
      <c r="E706" s="319"/>
      <c r="F706" s="319" t="s">
        <v>4386</v>
      </c>
      <c r="G706" s="319"/>
      <c r="H706" s="319" t="s">
        <v>2778</v>
      </c>
      <c r="I706" s="319"/>
    </row>
    <row r="707" customFormat="false" ht="21.75" hidden="false" customHeight="true" outlineLevel="0" collapsed="false">
      <c r="A707" s="319" t="s">
        <v>4387</v>
      </c>
      <c r="B707" s="319" t="s">
        <v>4388</v>
      </c>
      <c r="C707" s="319" t="s">
        <v>711</v>
      </c>
      <c r="D707" s="319" t="s">
        <v>2643</v>
      </c>
      <c r="E707" s="319"/>
      <c r="F707" s="319" t="s">
        <v>4389</v>
      </c>
      <c r="G707" s="319"/>
      <c r="H707" s="319"/>
      <c r="I707" s="319"/>
    </row>
    <row r="708" customFormat="false" ht="15" hidden="false" customHeight="true" outlineLevel="0" collapsed="false">
      <c r="A708" s="319" t="s">
        <v>4387</v>
      </c>
      <c r="B708" s="319" t="s">
        <v>4388</v>
      </c>
      <c r="C708" s="319" t="s">
        <v>712</v>
      </c>
      <c r="D708" s="319" t="s">
        <v>2643</v>
      </c>
      <c r="E708" s="319"/>
      <c r="F708" s="319" t="s">
        <v>4304</v>
      </c>
      <c r="G708" s="319"/>
      <c r="H708" s="319"/>
      <c r="I708" s="319"/>
    </row>
    <row r="709" customFormat="false" ht="53.25" hidden="false" customHeight="true" outlineLevel="0" collapsed="false">
      <c r="A709" s="319" t="s">
        <v>4387</v>
      </c>
      <c r="B709" s="319" t="s">
        <v>4388</v>
      </c>
      <c r="C709" s="319" t="s">
        <v>2635</v>
      </c>
      <c r="D709" s="319" t="s">
        <v>2619</v>
      </c>
      <c r="E709" s="319"/>
      <c r="F709" s="319" t="s">
        <v>4390</v>
      </c>
      <c r="G709" s="319" t="s">
        <v>4391</v>
      </c>
      <c r="H709" s="319" t="s">
        <v>2638</v>
      </c>
      <c r="I709" s="319" t="s">
        <v>4392</v>
      </c>
    </row>
    <row r="710" customFormat="false" ht="21.75" hidden="false" customHeight="true" outlineLevel="0" collapsed="false">
      <c r="A710" s="319" t="s">
        <v>4387</v>
      </c>
      <c r="B710" s="319" t="s">
        <v>4388</v>
      </c>
      <c r="C710" s="319" t="s">
        <v>2635</v>
      </c>
      <c r="D710" s="319" t="s">
        <v>2619</v>
      </c>
      <c r="E710" s="319"/>
      <c r="F710" s="319" t="s">
        <v>4393</v>
      </c>
      <c r="G710" s="319" t="s">
        <v>4394</v>
      </c>
      <c r="H710" s="319" t="s">
        <v>2638</v>
      </c>
      <c r="I710" s="319" t="s">
        <v>4395</v>
      </c>
    </row>
    <row r="711" customFormat="false" ht="42.75" hidden="false" customHeight="true" outlineLevel="0" collapsed="false">
      <c r="A711" s="319" t="s">
        <v>4387</v>
      </c>
      <c r="B711" s="319" t="s">
        <v>4388</v>
      </c>
      <c r="C711" s="319" t="s">
        <v>2635</v>
      </c>
      <c r="D711" s="319" t="s">
        <v>2619</v>
      </c>
      <c r="E711" s="319"/>
      <c r="F711" s="319" t="s">
        <v>4396</v>
      </c>
      <c r="G711" s="319" t="s">
        <v>4397</v>
      </c>
      <c r="H711" s="319" t="s">
        <v>2638</v>
      </c>
      <c r="I711" s="319" t="s">
        <v>4398</v>
      </c>
    </row>
    <row r="712" customFormat="false" ht="15" hidden="false" customHeight="true" outlineLevel="0" collapsed="false">
      <c r="A712" s="319" t="s">
        <v>4387</v>
      </c>
      <c r="B712" s="319" t="s">
        <v>4388</v>
      </c>
      <c r="C712" s="319" t="s">
        <v>2642</v>
      </c>
      <c r="D712" s="319" t="s">
        <v>2643</v>
      </c>
      <c r="E712" s="319"/>
      <c r="F712" s="319" t="s">
        <v>4304</v>
      </c>
      <c r="G712" s="319"/>
      <c r="H712" s="319"/>
      <c r="I712" s="319"/>
    </row>
    <row r="713" customFormat="false" ht="21.75" hidden="false" customHeight="true" outlineLevel="0" collapsed="false">
      <c r="A713" s="319" t="s">
        <v>4387</v>
      </c>
      <c r="B713" s="319" t="s">
        <v>4388</v>
      </c>
      <c r="C713" s="319" t="s">
        <v>2660</v>
      </c>
      <c r="D713" s="319" t="s">
        <v>2661</v>
      </c>
      <c r="E713" s="319"/>
      <c r="F713" s="319" t="s">
        <v>4399</v>
      </c>
      <c r="G713" s="319"/>
      <c r="H713" s="319" t="s">
        <v>2778</v>
      </c>
      <c r="I713" s="319"/>
    </row>
  </sheetData>
  <autoFilter ref="A1:I7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125" defaultRowHeight="15" zeroHeight="false" outlineLevelRow="0" outlineLevelCol="0"/>
  <cols>
    <col collapsed="false" customWidth="true" hidden="false" outlineLevel="0" max="1" min="1" style="16" width="5"/>
    <col collapsed="false" customWidth="true" hidden="false" outlineLevel="0" max="2" min="2" style="16" width="30"/>
    <col collapsed="false" customWidth="true" hidden="false" outlineLevel="0" max="3" min="3" style="16" width="20"/>
    <col collapsed="false" customWidth="true" hidden="false" outlineLevel="0" max="4" min="4" style="16" width="50"/>
    <col collapsed="false" customWidth="true" hidden="false" outlineLevel="0" max="5" min="5" style="16" width="18"/>
    <col collapsed="false" customWidth="true" hidden="false" outlineLevel="0" max="6" min="6" style="16" width="60"/>
    <col collapsed="false" customWidth="true" hidden="false" outlineLevel="0" max="7" min="7" style="16" width="50"/>
    <col collapsed="false" customWidth="true" hidden="false" outlineLevel="0" max="8" min="8" style="16" width="40"/>
  </cols>
  <sheetData>
    <row r="1" customFormat="false" ht="15" hidden="false" customHeight="true" outlineLevel="0" collapsed="false">
      <c r="A1" s="320" t="s">
        <v>4400</v>
      </c>
      <c r="B1" s="320" t="s">
        <v>2460</v>
      </c>
      <c r="C1" s="320" t="s">
        <v>4401</v>
      </c>
      <c r="D1" s="320" t="s">
        <v>4402</v>
      </c>
      <c r="E1" s="320" t="s">
        <v>4403</v>
      </c>
      <c r="F1" s="320" t="s">
        <v>4404</v>
      </c>
      <c r="G1" s="320" t="s">
        <v>4405</v>
      </c>
      <c r="H1" s="320" t="s">
        <v>4406</v>
      </c>
    </row>
    <row r="2" customFormat="false" ht="64.5" hidden="false" customHeight="true" outlineLevel="0" collapsed="false">
      <c r="A2" s="321" t="n">
        <v>1</v>
      </c>
      <c r="B2" s="321" t="s">
        <v>2470</v>
      </c>
      <c r="C2" s="321" t="s">
        <v>4407</v>
      </c>
      <c r="D2" s="321"/>
      <c r="E2" s="321"/>
      <c r="F2" s="321" t="s">
        <v>2662</v>
      </c>
      <c r="G2" s="321"/>
      <c r="H2" s="322" t="s">
        <v>4408</v>
      </c>
    </row>
    <row r="3" customFormat="false" ht="78" hidden="false" customHeight="true" outlineLevel="0" collapsed="false">
      <c r="A3" s="323"/>
      <c r="B3" s="323"/>
      <c r="C3" s="323" t="s">
        <v>711</v>
      </c>
      <c r="D3" s="324"/>
      <c r="E3" s="325" t="s">
        <v>4409</v>
      </c>
      <c r="F3" s="326" t="s">
        <v>2620</v>
      </c>
      <c r="G3" s="327" t="s">
        <v>2621</v>
      </c>
      <c r="H3" s="328" t="s">
        <v>2623</v>
      </c>
    </row>
    <row r="4" customFormat="false" ht="90.75" hidden="false" customHeight="true" outlineLevel="0" collapsed="false">
      <c r="A4" s="323"/>
      <c r="B4" s="323"/>
      <c r="C4" s="323" t="s">
        <v>711</v>
      </c>
      <c r="D4" s="324"/>
      <c r="E4" s="325" t="s">
        <v>4409</v>
      </c>
      <c r="F4" s="326" t="s">
        <v>2624</v>
      </c>
      <c r="G4" s="327" t="s">
        <v>2625</v>
      </c>
      <c r="H4" s="328" t="s">
        <v>2627</v>
      </c>
    </row>
    <row r="5" customFormat="false" ht="103.5" hidden="false" customHeight="true" outlineLevel="0" collapsed="false">
      <c r="A5" s="323"/>
      <c r="B5" s="323"/>
      <c r="C5" s="323" t="s">
        <v>712</v>
      </c>
      <c r="D5" s="324"/>
      <c r="E5" s="325" t="s">
        <v>4409</v>
      </c>
      <c r="F5" s="326" t="s">
        <v>2632</v>
      </c>
      <c r="G5" s="327" t="s">
        <v>2633</v>
      </c>
      <c r="H5" s="328" t="s">
        <v>2634</v>
      </c>
    </row>
    <row r="6" customFormat="false" ht="78" hidden="false" customHeight="true" outlineLevel="0" collapsed="false">
      <c r="A6" s="323"/>
      <c r="B6" s="323"/>
      <c r="C6" s="323" t="s">
        <v>712</v>
      </c>
      <c r="D6" s="324"/>
      <c r="E6" s="325" t="s">
        <v>4409</v>
      </c>
      <c r="F6" s="326" t="s">
        <v>2629</v>
      </c>
      <c r="G6" s="327" t="s">
        <v>2630</v>
      </c>
      <c r="H6" s="328" t="s">
        <v>4410</v>
      </c>
    </row>
    <row r="7" customFormat="false" ht="39" hidden="false" customHeight="true" outlineLevel="0" collapsed="false">
      <c r="A7" s="323"/>
      <c r="B7" s="323"/>
      <c r="C7" s="323" t="s">
        <v>2635</v>
      </c>
      <c r="D7" s="324"/>
      <c r="E7" s="325" t="s">
        <v>4409</v>
      </c>
      <c r="F7" s="326" t="s">
        <v>2636</v>
      </c>
      <c r="G7" s="327" t="s">
        <v>2637</v>
      </c>
      <c r="H7" s="328" t="s">
        <v>2639</v>
      </c>
    </row>
    <row r="8" customFormat="false" ht="64.5" hidden="false" customHeight="true" outlineLevel="0" collapsed="false">
      <c r="A8" s="323"/>
      <c r="B8" s="323"/>
      <c r="C8" s="323" t="s">
        <v>2635</v>
      </c>
      <c r="D8" s="324"/>
      <c r="E8" s="325" t="s">
        <v>4409</v>
      </c>
      <c r="F8" s="326" t="s">
        <v>2640</v>
      </c>
      <c r="G8" s="327" t="s">
        <v>2633</v>
      </c>
      <c r="H8" s="328" t="s">
        <v>2641</v>
      </c>
    </row>
    <row r="9" customFormat="false" ht="64.5" hidden="false" customHeight="true" outlineLevel="0" collapsed="false">
      <c r="A9" s="323"/>
      <c r="B9" s="323"/>
      <c r="C9" s="323" t="s">
        <v>2642</v>
      </c>
      <c r="D9" s="324"/>
      <c r="E9" s="329" t="s">
        <v>4411</v>
      </c>
      <c r="F9" s="323" t="s">
        <v>2644</v>
      </c>
      <c r="G9" s="323"/>
      <c r="H9" s="328"/>
    </row>
    <row r="10" customFormat="false" ht="39" hidden="false" customHeight="true" outlineLevel="0" collapsed="false">
      <c r="A10" s="323"/>
      <c r="B10" s="323"/>
      <c r="C10" s="323" t="s">
        <v>4412</v>
      </c>
      <c r="D10" s="330"/>
      <c r="E10" s="331" t="s">
        <v>4413</v>
      </c>
      <c r="F10" s="326" t="s">
        <v>2647</v>
      </c>
      <c r="G10" s="323"/>
      <c r="H10" s="328" t="s">
        <v>2648</v>
      </c>
    </row>
    <row r="11" customFormat="false" ht="51.75" hidden="false" customHeight="true" outlineLevel="0" collapsed="false">
      <c r="A11" s="323"/>
      <c r="B11" s="323"/>
      <c r="C11" s="323" t="s">
        <v>4412</v>
      </c>
      <c r="D11" s="330"/>
      <c r="E11" s="331" t="s">
        <v>4414</v>
      </c>
      <c r="F11" s="326" t="s">
        <v>2650</v>
      </c>
      <c r="G11" s="323"/>
      <c r="H11" s="328" t="s">
        <v>2651</v>
      </c>
    </row>
    <row r="12" customFormat="false" ht="15" hidden="false" customHeight="true" outlineLevel="0" collapsed="false">
      <c r="A12" s="323"/>
      <c r="B12" s="323"/>
      <c r="C12" s="323" t="s">
        <v>4412</v>
      </c>
      <c r="D12" s="330"/>
      <c r="E12" s="331" t="s">
        <v>4413</v>
      </c>
      <c r="F12" s="326" t="s">
        <v>2652</v>
      </c>
      <c r="G12" s="323"/>
      <c r="H12" s="328" t="s">
        <v>2653</v>
      </c>
    </row>
    <row r="13" customFormat="false" ht="64.5" hidden="false" customHeight="true" outlineLevel="0" collapsed="false">
      <c r="A13" s="323"/>
      <c r="B13" s="323"/>
      <c r="C13" s="323" t="s">
        <v>4412</v>
      </c>
      <c r="D13" s="323"/>
      <c r="E13" s="332" t="s">
        <v>4415</v>
      </c>
      <c r="F13" s="323" t="s">
        <v>2655</v>
      </c>
      <c r="G13" s="323"/>
      <c r="H13" s="328" t="s">
        <v>2656</v>
      </c>
    </row>
    <row r="14" customFormat="false" ht="39" hidden="false" customHeight="true" outlineLevel="0" collapsed="false">
      <c r="A14" s="323"/>
      <c r="B14" s="323"/>
      <c r="C14" s="323" t="s">
        <v>4412</v>
      </c>
      <c r="D14" s="330"/>
      <c r="E14" s="331" t="s">
        <v>4416</v>
      </c>
      <c r="F14" s="326" t="s">
        <v>2658</v>
      </c>
      <c r="G14" s="323"/>
      <c r="H14" s="328" t="s">
        <v>2659</v>
      </c>
    </row>
    <row r="15" customFormat="false" ht="64.5" hidden="false" customHeight="true" outlineLevel="0" collapsed="false">
      <c r="A15" s="321" t="n">
        <v>2</v>
      </c>
      <c r="B15" s="321" t="s">
        <v>741</v>
      </c>
      <c r="C15" s="321" t="s">
        <v>4417</v>
      </c>
      <c r="D15" s="321"/>
      <c r="E15" s="321"/>
      <c r="F15" s="321" t="s">
        <v>2689</v>
      </c>
      <c r="G15" s="321"/>
      <c r="H15" s="322" t="s">
        <v>4408</v>
      </c>
    </row>
    <row r="16" customFormat="false" ht="78" hidden="false" customHeight="true" outlineLevel="0" collapsed="false">
      <c r="A16" s="323"/>
      <c r="B16" s="323"/>
      <c r="C16" s="323" t="s">
        <v>711</v>
      </c>
      <c r="D16" s="324"/>
      <c r="E16" s="325" t="s">
        <v>4409</v>
      </c>
      <c r="F16" s="326" t="s">
        <v>2665</v>
      </c>
      <c r="G16" s="327" t="s">
        <v>2666</v>
      </c>
      <c r="H16" s="328" t="s">
        <v>2667</v>
      </c>
    </row>
    <row r="17" customFormat="false" ht="103.5" hidden="false" customHeight="true" outlineLevel="0" collapsed="false">
      <c r="A17" s="323"/>
      <c r="B17" s="323"/>
      <c r="C17" s="323" t="s">
        <v>711</v>
      </c>
      <c r="D17" s="324"/>
      <c r="E17" s="325" t="s">
        <v>4409</v>
      </c>
      <c r="F17" s="326" t="s">
        <v>2668</v>
      </c>
      <c r="G17" s="327" t="s">
        <v>2669</v>
      </c>
      <c r="H17" s="328" t="s">
        <v>2670</v>
      </c>
    </row>
    <row r="18" customFormat="false" ht="78" hidden="false" customHeight="true" outlineLevel="0" collapsed="false">
      <c r="A18" s="323"/>
      <c r="B18" s="323"/>
      <c r="C18" s="323" t="s">
        <v>712</v>
      </c>
      <c r="D18" s="324"/>
      <c r="E18" s="325" t="s">
        <v>4409</v>
      </c>
      <c r="F18" s="326" t="s">
        <v>2671</v>
      </c>
      <c r="G18" s="327" t="s">
        <v>2672</v>
      </c>
      <c r="H18" s="328" t="s">
        <v>2673</v>
      </c>
    </row>
    <row r="19" customFormat="false" ht="64.5" hidden="false" customHeight="true" outlineLevel="0" collapsed="false">
      <c r="A19" s="323"/>
      <c r="B19" s="323"/>
      <c r="C19" s="323" t="s">
        <v>2635</v>
      </c>
      <c r="D19" s="324"/>
      <c r="E19" s="325" t="s">
        <v>4409</v>
      </c>
      <c r="F19" s="326" t="s">
        <v>2674</v>
      </c>
      <c r="G19" s="327" t="s">
        <v>2675</v>
      </c>
      <c r="H19" s="328" t="s">
        <v>2676</v>
      </c>
    </row>
    <row r="20" customFormat="false" ht="78" hidden="false" customHeight="true" outlineLevel="0" collapsed="false">
      <c r="A20" s="323"/>
      <c r="B20" s="323"/>
      <c r="C20" s="323" t="s">
        <v>2635</v>
      </c>
      <c r="D20" s="324"/>
      <c r="E20" s="325" t="s">
        <v>4409</v>
      </c>
      <c r="F20" s="326" t="s">
        <v>2677</v>
      </c>
      <c r="G20" s="327" t="s">
        <v>2678</v>
      </c>
      <c r="H20" s="328" t="s">
        <v>2679</v>
      </c>
    </row>
    <row r="21" customFormat="false" ht="39" hidden="false" customHeight="true" outlineLevel="0" collapsed="false">
      <c r="A21" s="323"/>
      <c r="B21" s="323"/>
      <c r="C21" s="323" t="s">
        <v>2642</v>
      </c>
      <c r="D21" s="324"/>
      <c r="E21" s="329" t="s">
        <v>4411</v>
      </c>
      <c r="F21" s="323" t="s">
        <v>2680</v>
      </c>
      <c r="G21" s="323"/>
      <c r="H21" s="328"/>
    </row>
    <row r="22" customFormat="false" ht="39" hidden="false" customHeight="true" outlineLevel="0" collapsed="false">
      <c r="A22" s="323"/>
      <c r="B22" s="323"/>
      <c r="C22" s="323" t="s">
        <v>4412</v>
      </c>
      <c r="D22" s="323"/>
      <c r="E22" s="332" t="s">
        <v>4415</v>
      </c>
      <c r="F22" s="323" t="s">
        <v>2681</v>
      </c>
      <c r="G22" s="323"/>
      <c r="H22" s="328" t="s">
        <v>2682</v>
      </c>
    </row>
    <row r="23" customFormat="false" ht="64.5" hidden="false" customHeight="true" outlineLevel="0" collapsed="false">
      <c r="A23" s="323"/>
      <c r="B23" s="323"/>
      <c r="C23" s="323" t="s">
        <v>4412</v>
      </c>
      <c r="D23" s="323"/>
      <c r="E23" s="332" t="s">
        <v>4415</v>
      </c>
      <c r="F23" s="323" t="s">
        <v>2683</v>
      </c>
      <c r="G23" s="323"/>
      <c r="H23" s="328" t="s">
        <v>2684</v>
      </c>
    </row>
    <row r="24" customFormat="false" ht="25.5" hidden="false" customHeight="true" outlineLevel="0" collapsed="false">
      <c r="A24" s="323"/>
      <c r="B24" s="323"/>
      <c r="C24" s="323" t="s">
        <v>4412</v>
      </c>
      <c r="D24" s="330"/>
      <c r="E24" s="331" t="s">
        <v>4416</v>
      </c>
      <c r="F24" s="326" t="s">
        <v>2685</v>
      </c>
      <c r="G24" s="323"/>
      <c r="H24" s="328" t="s">
        <v>2686</v>
      </c>
    </row>
    <row r="25" customFormat="false" ht="64.5" hidden="false" customHeight="true" outlineLevel="0" collapsed="false">
      <c r="A25" s="323"/>
      <c r="B25" s="323"/>
      <c r="C25" s="323" t="s">
        <v>4412</v>
      </c>
      <c r="D25" s="330"/>
      <c r="E25" s="331" t="s">
        <v>4414</v>
      </c>
      <c r="F25" s="326" t="s">
        <v>2687</v>
      </c>
      <c r="G25" s="323"/>
      <c r="H25" s="328" t="s">
        <v>2688</v>
      </c>
    </row>
    <row r="26" customFormat="false" ht="64.5" hidden="false" customHeight="true" outlineLevel="0" collapsed="false">
      <c r="A26" s="321" t="n">
        <v>3</v>
      </c>
      <c r="B26" s="321" t="s">
        <v>759</v>
      </c>
      <c r="C26" s="321" t="s">
        <v>4418</v>
      </c>
      <c r="D26" s="321"/>
      <c r="E26" s="321"/>
      <c r="F26" s="321" t="s">
        <v>2707</v>
      </c>
      <c r="G26" s="321"/>
      <c r="H26" s="322" t="s">
        <v>4419</v>
      </c>
    </row>
    <row r="27" customFormat="false" ht="51.75" hidden="false" customHeight="true" outlineLevel="0" collapsed="false">
      <c r="A27" s="323"/>
      <c r="B27" s="323"/>
      <c r="C27" s="323" t="s">
        <v>711</v>
      </c>
      <c r="D27" s="324"/>
      <c r="E27" s="329" t="s">
        <v>4411</v>
      </c>
      <c r="F27" s="323" t="s">
        <v>2691</v>
      </c>
      <c r="G27" s="323"/>
      <c r="H27" s="328"/>
    </row>
    <row r="28" customFormat="false" ht="39" hidden="false" customHeight="true" outlineLevel="0" collapsed="false">
      <c r="A28" s="323"/>
      <c r="B28" s="323"/>
      <c r="C28" s="323" t="s">
        <v>712</v>
      </c>
      <c r="D28" s="324"/>
      <c r="E28" s="329" t="s">
        <v>4411</v>
      </c>
      <c r="F28" s="323" t="s">
        <v>2692</v>
      </c>
      <c r="G28" s="323"/>
      <c r="H28" s="328"/>
    </row>
    <row r="29" customFormat="false" ht="117" hidden="false" customHeight="true" outlineLevel="0" collapsed="false">
      <c r="A29" s="323"/>
      <c r="B29" s="323"/>
      <c r="C29" s="323" t="s">
        <v>2635</v>
      </c>
      <c r="D29" s="324"/>
      <c r="E29" s="325" t="s">
        <v>4409</v>
      </c>
      <c r="F29" s="326" t="s">
        <v>2693</v>
      </c>
      <c r="G29" s="327" t="s">
        <v>2694</v>
      </c>
      <c r="H29" s="328" t="s">
        <v>2695</v>
      </c>
    </row>
    <row r="30" customFormat="false" ht="78" hidden="false" customHeight="true" outlineLevel="0" collapsed="false">
      <c r="A30" s="323"/>
      <c r="B30" s="323"/>
      <c r="C30" s="323" t="s">
        <v>2635</v>
      </c>
      <c r="D30" s="324"/>
      <c r="E30" s="325" t="s">
        <v>4409</v>
      </c>
      <c r="F30" s="326" t="s">
        <v>2696</v>
      </c>
      <c r="G30" s="327" t="s">
        <v>2697</v>
      </c>
      <c r="H30" s="328" t="s">
        <v>2698</v>
      </c>
    </row>
    <row r="31" customFormat="false" ht="15" hidden="false" customHeight="true" outlineLevel="0" collapsed="false">
      <c r="A31" s="323"/>
      <c r="B31" s="323"/>
      <c r="C31" s="323" t="s">
        <v>2642</v>
      </c>
      <c r="D31" s="324"/>
      <c r="E31" s="329" t="s">
        <v>4411</v>
      </c>
      <c r="F31" s="323" t="s">
        <v>2699</v>
      </c>
      <c r="G31" s="323"/>
      <c r="H31" s="328"/>
    </row>
    <row r="32" customFormat="false" ht="51.75" hidden="false" customHeight="true" outlineLevel="0" collapsed="false">
      <c r="A32" s="323"/>
      <c r="B32" s="323"/>
      <c r="C32" s="323" t="s">
        <v>4412</v>
      </c>
      <c r="D32" s="330"/>
      <c r="E32" s="331" t="s">
        <v>4416</v>
      </c>
      <c r="F32" s="326" t="s">
        <v>2700</v>
      </c>
      <c r="G32" s="323"/>
      <c r="H32" s="328" t="s">
        <v>2701</v>
      </c>
    </row>
    <row r="33" customFormat="false" ht="39" hidden="false" customHeight="true" outlineLevel="0" collapsed="false">
      <c r="A33" s="323"/>
      <c r="B33" s="323"/>
      <c r="C33" s="323" t="s">
        <v>4412</v>
      </c>
      <c r="D33" s="330"/>
      <c r="E33" s="331" t="s">
        <v>4413</v>
      </c>
      <c r="F33" s="326" t="s">
        <v>2702</v>
      </c>
      <c r="G33" s="323"/>
      <c r="H33" s="328" t="s">
        <v>2703</v>
      </c>
    </row>
    <row r="34" customFormat="false" ht="39" hidden="false" customHeight="true" outlineLevel="0" collapsed="false">
      <c r="A34" s="323"/>
      <c r="B34" s="323"/>
      <c r="C34" s="323" t="s">
        <v>4412</v>
      </c>
      <c r="D34" s="330"/>
      <c r="E34" s="331" t="s">
        <v>4413</v>
      </c>
      <c r="F34" s="326" t="s">
        <v>2704</v>
      </c>
      <c r="G34" s="323"/>
      <c r="H34" s="328" t="s">
        <v>2703</v>
      </c>
    </row>
    <row r="35" customFormat="false" ht="39" hidden="false" customHeight="true" outlineLevel="0" collapsed="false">
      <c r="A35" s="323"/>
      <c r="B35" s="323"/>
      <c r="C35" s="323" t="s">
        <v>4412</v>
      </c>
      <c r="D35" s="330"/>
      <c r="E35" s="331" t="s">
        <v>4413</v>
      </c>
      <c r="F35" s="326" t="s">
        <v>2705</v>
      </c>
      <c r="G35" s="323"/>
      <c r="H35" s="328" t="s">
        <v>2703</v>
      </c>
    </row>
    <row r="36" customFormat="false" ht="39" hidden="false" customHeight="true" outlineLevel="0" collapsed="false">
      <c r="A36" s="323"/>
      <c r="B36" s="323"/>
      <c r="C36" s="323" t="s">
        <v>4412</v>
      </c>
      <c r="D36" s="330"/>
      <c r="E36" s="331" t="s">
        <v>4413</v>
      </c>
      <c r="F36" s="326" t="s">
        <v>2706</v>
      </c>
      <c r="G36" s="323"/>
      <c r="H36" s="328" t="s">
        <v>2703</v>
      </c>
    </row>
    <row r="37" customFormat="false" ht="64.5" hidden="false" customHeight="true" outlineLevel="0" collapsed="false">
      <c r="A37" s="321" t="n">
        <v>4</v>
      </c>
      <c r="B37" s="321" t="s">
        <v>776</v>
      </c>
      <c r="C37" s="321" t="s">
        <v>4420</v>
      </c>
      <c r="D37" s="321"/>
      <c r="E37" s="321"/>
      <c r="F37" s="321" t="s">
        <v>2731</v>
      </c>
      <c r="G37" s="321"/>
      <c r="H37" s="322" t="s">
        <v>4408</v>
      </c>
    </row>
    <row r="38" customFormat="false" ht="129.75" hidden="false" customHeight="true" outlineLevel="0" collapsed="false">
      <c r="A38" s="323"/>
      <c r="B38" s="323"/>
      <c r="C38" s="323" t="s">
        <v>711</v>
      </c>
      <c r="D38" s="324"/>
      <c r="E38" s="325" t="s">
        <v>4409</v>
      </c>
      <c r="F38" s="326" t="s">
        <v>2710</v>
      </c>
      <c r="G38" s="327" t="s">
        <v>2711</v>
      </c>
      <c r="H38" s="328" t="s">
        <v>2712</v>
      </c>
    </row>
    <row r="39" customFormat="false" ht="78" hidden="false" customHeight="true" outlineLevel="0" collapsed="false">
      <c r="A39" s="323"/>
      <c r="B39" s="323"/>
      <c r="C39" s="323" t="s">
        <v>711</v>
      </c>
      <c r="D39" s="324"/>
      <c r="E39" s="325" t="s">
        <v>4409</v>
      </c>
      <c r="F39" s="326" t="s">
        <v>2713</v>
      </c>
      <c r="G39" s="327" t="s">
        <v>2714</v>
      </c>
      <c r="H39" s="328" t="s">
        <v>2715</v>
      </c>
    </row>
    <row r="40" customFormat="false" ht="64.5" hidden="false" customHeight="true" outlineLevel="0" collapsed="false">
      <c r="A40" s="323"/>
      <c r="B40" s="323"/>
      <c r="C40" s="323" t="s">
        <v>712</v>
      </c>
      <c r="D40" s="324"/>
      <c r="E40" s="329" t="s">
        <v>4411</v>
      </c>
      <c r="F40" s="323" t="s">
        <v>2716</v>
      </c>
      <c r="G40" s="323"/>
      <c r="H40" s="328"/>
    </row>
    <row r="41" customFormat="false" ht="78" hidden="false" customHeight="true" outlineLevel="0" collapsed="false">
      <c r="A41" s="323"/>
      <c r="B41" s="323"/>
      <c r="C41" s="323" t="s">
        <v>2635</v>
      </c>
      <c r="D41" s="324"/>
      <c r="E41" s="325" t="s">
        <v>4409</v>
      </c>
      <c r="F41" s="326" t="s">
        <v>2717</v>
      </c>
      <c r="G41" s="327" t="s">
        <v>2718</v>
      </c>
      <c r="H41" s="328" t="s">
        <v>2719</v>
      </c>
    </row>
    <row r="42" customFormat="false" ht="90.75" hidden="false" customHeight="true" outlineLevel="0" collapsed="false">
      <c r="A42" s="323"/>
      <c r="B42" s="323"/>
      <c r="C42" s="323" t="s">
        <v>2635</v>
      </c>
      <c r="D42" s="324"/>
      <c r="E42" s="325" t="s">
        <v>4409</v>
      </c>
      <c r="F42" s="326" t="s">
        <v>2720</v>
      </c>
      <c r="G42" s="327" t="s">
        <v>2721</v>
      </c>
      <c r="H42" s="328" t="s">
        <v>2722</v>
      </c>
    </row>
    <row r="43" customFormat="false" ht="15" hidden="false" customHeight="true" outlineLevel="0" collapsed="false">
      <c r="A43" s="323"/>
      <c r="B43" s="323"/>
      <c r="C43" s="323" t="s">
        <v>2642</v>
      </c>
      <c r="D43" s="324"/>
      <c r="E43" s="329" t="s">
        <v>4411</v>
      </c>
      <c r="F43" s="323" t="s">
        <v>2699</v>
      </c>
      <c r="G43" s="323"/>
      <c r="H43" s="328"/>
    </row>
    <row r="44" customFormat="false" ht="25.5" hidden="false" customHeight="true" outlineLevel="0" collapsed="false">
      <c r="A44" s="323"/>
      <c r="B44" s="323"/>
      <c r="C44" s="323" t="s">
        <v>4412</v>
      </c>
      <c r="D44" s="330"/>
      <c r="E44" s="331" t="s">
        <v>4413</v>
      </c>
      <c r="F44" s="326" t="s">
        <v>2723</v>
      </c>
      <c r="G44" s="323"/>
      <c r="H44" s="328" t="s">
        <v>2724</v>
      </c>
    </row>
    <row r="45" customFormat="false" ht="25.5" hidden="false" customHeight="true" outlineLevel="0" collapsed="false">
      <c r="A45" s="323"/>
      <c r="B45" s="323"/>
      <c r="C45" s="323" t="s">
        <v>4412</v>
      </c>
      <c r="D45" s="330"/>
      <c r="E45" s="331" t="s">
        <v>4413</v>
      </c>
      <c r="F45" s="326" t="s">
        <v>2725</v>
      </c>
      <c r="G45" s="323"/>
      <c r="H45" s="328" t="s">
        <v>2726</v>
      </c>
    </row>
    <row r="46" customFormat="false" ht="51.75" hidden="false" customHeight="true" outlineLevel="0" collapsed="false">
      <c r="A46" s="323"/>
      <c r="B46" s="323"/>
      <c r="C46" s="323" t="s">
        <v>4412</v>
      </c>
      <c r="D46" s="323"/>
      <c r="E46" s="332" t="s">
        <v>4415</v>
      </c>
      <c r="F46" s="323" t="s">
        <v>2727</v>
      </c>
      <c r="G46" s="323"/>
      <c r="H46" s="328" t="s">
        <v>2728</v>
      </c>
    </row>
    <row r="47" customFormat="false" ht="25.5" hidden="false" customHeight="true" outlineLevel="0" collapsed="false">
      <c r="A47" s="323"/>
      <c r="B47" s="323"/>
      <c r="C47" s="323" t="s">
        <v>4412</v>
      </c>
      <c r="D47" s="330"/>
      <c r="E47" s="331" t="s">
        <v>4413</v>
      </c>
      <c r="F47" s="326" t="s">
        <v>2729</v>
      </c>
      <c r="G47" s="323"/>
      <c r="H47" s="328" t="s">
        <v>2730</v>
      </c>
    </row>
    <row r="48" customFormat="false" ht="64.5" hidden="false" customHeight="true" outlineLevel="0" collapsed="false">
      <c r="A48" s="321" t="n">
        <v>5</v>
      </c>
      <c r="B48" s="321" t="s">
        <v>790</v>
      </c>
      <c r="C48" s="321" t="s">
        <v>4421</v>
      </c>
      <c r="D48" s="321"/>
      <c r="E48" s="321"/>
      <c r="F48" s="321" t="s">
        <v>2752</v>
      </c>
      <c r="G48" s="321"/>
      <c r="H48" s="322" t="s">
        <v>4408</v>
      </c>
    </row>
    <row r="49" customFormat="false" ht="142.5" hidden="false" customHeight="true" outlineLevel="0" collapsed="false">
      <c r="A49" s="323"/>
      <c r="B49" s="323"/>
      <c r="C49" s="323" t="s">
        <v>711</v>
      </c>
      <c r="D49" s="324"/>
      <c r="E49" s="325" t="s">
        <v>4409</v>
      </c>
      <c r="F49" s="326" t="s">
        <v>2733</v>
      </c>
      <c r="G49" s="327" t="s">
        <v>2734</v>
      </c>
      <c r="H49" s="328" t="s">
        <v>2735</v>
      </c>
    </row>
    <row r="50" customFormat="false" ht="25.5" hidden="false" customHeight="true" outlineLevel="0" collapsed="false">
      <c r="A50" s="323"/>
      <c r="B50" s="323"/>
      <c r="C50" s="323" t="s">
        <v>711</v>
      </c>
      <c r="D50" s="324"/>
      <c r="E50" s="325" t="s">
        <v>4409</v>
      </c>
      <c r="F50" s="326" t="s">
        <v>2736</v>
      </c>
      <c r="G50" s="327" t="s">
        <v>2737</v>
      </c>
      <c r="H50" s="328" t="s">
        <v>2738</v>
      </c>
    </row>
    <row r="51" customFormat="false" ht="64.5" hidden="false" customHeight="true" outlineLevel="0" collapsed="false">
      <c r="A51" s="323"/>
      <c r="B51" s="323"/>
      <c r="C51" s="323" t="s">
        <v>712</v>
      </c>
      <c r="D51" s="324"/>
      <c r="E51" s="329" t="s">
        <v>4411</v>
      </c>
      <c r="F51" s="323" t="s">
        <v>2739</v>
      </c>
      <c r="G51" s="323"/>
      <c r="H51" s="328"/>
    </row>
    <row r="52" customFormat="false" ht="78" hidden="false" customHeight="true" outlineLevel="0" collapsed="false">
      <c r="A52" s="323"/>
      <c r="B52" s="323"/>
      <c r="C52" s="323" t="s">
        <v>2635</v>
      </c>
      <c r="D52" s="324"/>
      <c r="E52" s="325" t="s">
        <v>4409</v>
      </c>
      <c r="F52" s="326" t="s">
        <v>2740</v>
      </c>
      <c r="G52" s="327" t="s">
        <v>2741</v>
      </c>
      <c r="H52" s="328" t="s">
        <v>2742</v>
      </c>
    </row>
    <row r="53" customFormat="false" ht="64.5" hidden="false" customHeight="true" outlineLevel="0" collapsed="false">
      <c r="A53" s="323"/>
      <c r="B53" s="323"/>
      <c r="C53" s="323" t="s">
        <v>2635</v>
      </c>
      <c r="D53" s="324"/>
      <c r="E53" s="325" t="s">
        <v>4409</v>
      </c>
      <c r="F53" s="326" t="s">
        <v>2743</v>
      </c>
      <c r="G53" s="327" t="s">
        <v>2744</v>
      </c>
      <c r="H53" s="328" t="s">
        <v>2745</v>
      </c>
    </row>
    <row r="54" customFormat="false" ht="15" hidden="false" customHeight="true" outlineLevel="0" collapsed="false">
      <c r="A54" s="323"/>
      <c r="B54" s="323"/>
      <c r="C54" s="323" t="s">
        <v>2642</v>
      </c>
      <c r="D54" s="324"/>
      <c r="E54" s="329" t="s">
        <v>4411</v>
      </c>
      <c r="F54" s="323" t="s">
        <v>2699</v>
      </c>
      <c r="G54" s="323"/>
      <c r="H54" s="328"/>
    </row>
    <row r="55" customFormat="false" ht="25.5" hidden="false" customHeight="true" outlineLevel="0" collapsed="false">
      <c r="A55" s="323"/>
      <c r="B55" s="323"/>
      <c r="C55" s="323" t="s">
        <v>4412</v>
      </c>
      <c r="D55" s="330"/>
      <c r="E55" s="331" t="s">
        <v>4413</v>
      </c>
      <c r="F55" s="326" t="s">
        <v>2746</v>
      </c>
      <c r="G55" s="323"/>
      <c r="H55" s="328" t="s">
        <v>2747</v>
      </c>
    </row>
    <row r="56" customFormat="false" ht="117" hidden="false" customHeight="true" outlineLevel="0" collapsed="false">
      <c r="A56" s="323"/>
      <c r="B56" s="323"/>
      <c r="C56" s="323" t="s">
        <v>4412</v>
      </c>
      <c r="D56" s="323"/>
      <c r="E56" s="332" t="s">
        <v>4415</v>
      </c>
      <c r="F56" s="323" t="s">
        <v>2748</v>
      </c>
      <c r="G56" s="323"/>
      <c r="H56" s="328" t="s">
        <v>2749</v>
      </c>
    </row>
    <row r="57" customFormat="false" ht="25.5" hidden="false" customHeight="true" outlineLevel="0" collapsed="false">
      <c r="A57" s="323"/>
      <c r="B57" s="323"/>
      <c r="C57" s="323" t="s">
        <v>4412</v>
      </c>
      <c r="D57" s="330"/>
      <c r="E57" s="331" t="s">
        <v>4413</v>
      </c>
      <c r="F57" s="326" t="s">
        <v>2750</v>
      </c>
      <c r="G57" s="323"/>
      <c r="H57" s="328" t="s">
        <v>2751</v>
      </c>
    </row>
    <row r="58" customFormat="false" ht="64.5" hidden="false" customHeight="true" outlineLevel="0" collapsed="false">
      <c r="A58" s="321" t="n">
        <v>6</v>
      </c>
      <c r="B58" s="321" t="s">
        <v>2754</v>
      </c>
      <c r="C58" s="321" t="s">
        <v>4422</v>
      </c>
      <c r="D58" s="321"/>
      <c r="E58" s="321"/>
      <c r="F58" s="321" t="s">
        <v>2777</v>
      </c>
      <c r="G58" s="321"/>
      <c r="H58" s="322" t="s">
        <v>4423</v>
      </c>
    </row>
    <row r="59" customFormat="false" ht="51.75" hidden="false" customHeight="true" outlineLevel="0" collapsed="false">
      <c r="A59" s="323"/>
      <c r="B59" s="323"/>
      <c r="C59" s="323" t="s">
        <v>711</v>
      </c>
      <c r="D59" s="324"/>
      <c r="E59" s="325" t="s">
        <v>4409</v>
      </c>
      <c r="F59" s="326" t="s">
        <v>2755</v>
      </c>
      <c r="G59" s="327" t="s">
        <v>2756</v>
      </c>
      <c r="H59" s="328" t="s">
        <v>2757</v>
      </c>
    </row>
    <row r="60" customFormat="false" ht="51.75" hidden="false" customHeight="true" outlineLevel="0" collapsed="false">
      <c r="A60" s="323"/>
      <c r="B60" s="323"/>
      <c r="C60" s="323" t="s">
        <v>711</v>
      </c>
      <c r="D60" s="324"/>
      <c r="E60" s="325" t="s">
        <v>4409</v>
      </c>
      <c r="F60" s="326" t="s">
        <v>2758</v>
      </c>
      <c r="G60" s="327" t="s">
        <v>2759</v>
      </c>
      <c r="H60" s="328" t="s">
        <v>2760</v>
      </c>
    </row>
    <row r="61" customFormat="false" ht="64.5" hidden="false" customHeight="true" outlineLevel="0" collapsed="false">
      <c r="A61" s="323"/>
      <c r="B61" s="323"/>
      <c r="C61" s="323" t="s">
        <v>712</v>
      </c>
      <c r="D61" s="324"/>
      <c r="E61" s="325" t="s">
        <v>4409</v>
      </c>
      <c r="F61" s="326" t="s">
        <v>2761</v>
      </c>
      <c r="G61" s="327" t="s">
        <v>2762</v>
      </c>
      <c r="H61" s="328" t="s">
        <v>2763</v>
      </c>
    </row>
    <row r="62" customFormat="false" ht="78" hidden="false" customHeight="true" outlineLevel="0" collapsed="false">
      <c r="A62" s="323"/>
      <c r="B62" s="323"/>
      <c r="C62" s="323" t="s">
        <v>2635</v>
      </c>
      <c r="D62" s="324"/>
      <c r="E62" s="325" t="s">
        <v>4409</v>
      </c>
      <c r="F62" s="326" t="s">
        <v>2764</v>
      </c>
      <c r="G62" s="327" t="s">
        <v>2765</v>
      </c>
      <c r="H62" s="328" t="s">
        <v>2766</v>
      </c>
    </row>
    <row r="63" customFormat="false" ht="90.75" hidden="false" customHeight="true" outlineLevel="0" collapsed="false">
      <c r="A63" s="323"/>
      <c r="B63" s="323"/>
      <c r="C63" s="323" t="s">
        <v>2635</v>
      </c>
      <c r="D63" s="324"/>
      <c r="E63" s="325" t="s">
        <v>4409</v>
      </c>
      <c r="F63" s="326" t="s">
        <v>2767</v>
      </c>
      <c r="G63" s="327" t="s">
        <v>2768</v>
      </c>
      <c r="H63" s="328" t="s">
        <v>2769</v>
      </c>
    </row>
    <row r="64" customFormat="false" ht="64.5" hidden="false" customHeight="true" outlineLevel="0" collapsed="false">
      <c r="A64" s="323"/>
      <c r="B64" s="323"/>
      <c r="C64" s="323" t="s">
        <v>2642</v>
      </c>
      <c r="D64" s="324"/>
      <c r="E64" s="329" t="s">
        <v>4411</v>
      </c>
      <c r="F64" s="323" t="s">
        <v>2770</v>
      </c>
      <c r="G64" s="323"/>
      <c r="H64" s="328"/>
    </row>
    <row r="65" customFormat="false" ht="90.75" hidden="false" customHeight="true" outlineLevel="0" collapsed="false">
      <c r="A65" s="323"/>
      <c r="B65" s="323"/>
      <c r="C65" s="323" t="s">
        <v>4412</v>
      </c>
      <c r="D65" s="330"/>
      <c r="E65" s="331" t="s">
        <v>4413</v>
      </c>
      <c r="F65" s="326" t="s">
        <v>2771</v>
      </c>
      <c r="G65" s="323"/>
      <c r="H65" s="328" t="s">
        <v>2772</v>
      </c>
    </row>
    <row r="66" customFormat="false" ht="64.5" hidden="false" customHeight="true" outlineLevel="0" collapsed="false">
      <c r="A66" s="323"/>
      <c r="B66" s="323"/>
      <c r="C66" s="323" t="s">
        <v>4412</v>
      </c>
      <c r="D66" s="323"/>
      <c r="E66" s="332" t="s">
        <v>4415</v>
      </c>
      <c r="F66" s="323" t="s">
        <v>2773</v>
      </c>
      <c r="G66" s="323"/>
      <c r="H66" s="328" t="s">
        <v>2774</v>
      </c>
    </row>
    <row r="67" customFormat="false" ht="25.5" hidden="false" customHeight="true" outlineLevel="0" collapsed="false">
      <c r="A67" s="323"/>
      <c r="B67" s="323"/>
      <c r="C67" s="323" t="s">
        <v>4412</v>
      </c>
      <c r="D67" s="330"/>
      <c r="E67" s="331" t="s">
        <v>4413</v>
      </c>
      <c r="F67" s="326" t="s">
        <v>2775</v>
      </c>
      <c r="G67" s="323"/>
      <c r="H67" s="328" t="s">
        <v>2776</v>
      </c>
    </row>
    <row r="68" customFormat="false" ht="64.5" hidden="false" customHeight="true" outlineLevel="0" collapsed="false">
      <c r="A68" s="321" t="n">
        <v>7</v>
      </c>
      <c r="B68" s="321" t="s">
        <v>826</v>
      </c>
      <c r="C68" s="321" t="s">
        <v>4424</v>
      </c>
      <c r="D68" s="321"/>
      <c r="E68" s="321"/>
      <c r="F68" s="321" t="s">
        <v>2805</v>
      </c>
      <c r="G68" s="321"/>
      <c r="H68" s="322" t="s">
        <v>4408</v>
      </c>
    </row>
    <row r="69" customFormat="false" ht="78" hidden="false" customHeight="true" outlineLevel="0" collapsed="false">
      <c r="A69" s="323"/>
      <c r="B69" s="323"/>
      <c r="C69" s="323" t="s">
        <v>711</v>
      </c>
      <c r="D69" s="324"/>
      <c r="E69" s="325" t="s">
        <v>4409</v>
      </c>
      <c r="F69" s="326" t="s">
        <v>2780</v>
      </c>
      <c r="G69" s="327" t="s">
        <v>2781</v>
      </c>
      <c r="H69" s="328" t="s">
        <v>2782</v>
      </c>
    </row>
    <row r="70" customFormat="false" ht="78" hidden="false" customHeight="true" outlineLevel="0" collapsed="false">
      <c r="A70" s="323"/>
      <c r="B70" s="323"/>
      <c r="C70" s="323" t="s">
        <v>711</v>
      </c>
      <c r="D70" s="324"/>
      <c r="E70" s="325" t="s">
        <v>4409</v>
      </c>
      <c r="F70" s="326" t="s">
        <v>2783</v>
      </c>
      <c r="G70" s="327" t="s">
        <v>2784</v>
      </c>
      <c r="H70" s="328" t="s">
        <v>2785</v>
      </c>
    </row>
    <row r="71" customFormat="false" ht="78" hidden="false" customHeight="true" outlineLevel="0" collapsed="false">
      <c r="A71" s="323"/>
      <c r="B71" s="323"/>
      <c r="C71" s="323" t="s">
        <v>711</v>
      </c>
      <c r="D71" s="324"/>
      <c r="E71" s="325" t="s">
        <v>4409</v>
      </c>
      <c r="F71" s="326" t="s">
        <v>2786</v>
      </c>
      <c r="G71" s="327" t="s">
        <v>2787</v>
      </c>
      <c r="H71" s="328" t="s">
        <v>2788</v>
      </c>
    </row>
    <row r="72" customFormat="false" ht="64.5" hidden="false" customHeight="true" outlineLevel="0" collapsed="false">
      <c r="A72" s="323"/>
      <c r="B72" s="323"/>
      <c r="C72" s="323" t="s">
        <v>712</v>
      </c>
      <c r="D72" s="324"/>
      <c r="E72" s="325" t="s">
        <v>4409</v>
      </c>
      <c r="F72" s="326" t="s">
        <v>2789</v>
      </c>
      <c r="G72" s="327" t="s">
        <v>2790</v>
      </c>
      <c r="H72" s="328" t="s">
        <v>4425</v>
      </c>
    </row>
    <row r="73" customFormat="false" ht="78" hidden="false" customHeight="true" outlineLevel="0" collapsed="false">
      <c r="A73" s="323"/>
      <c r="B73" s="323"/>
      <c r="C73" s="323" t="s">
        <v>2635</v>
      </c>
      <c r="D73" s="324"/>
      <c r="E73" s="325" t="s">
        <v>4409</v>
      </c>
      <c r="F73" s="326" t="s">
        <v>2791</v>
      </c>
      <c r="G73" s="327" t="s">
        <v>2792</v>
      </c>
      <c r="H73" s="328" t="s">
        <v>2793</v>
      </c>
    </row>
    <row r="74" customFormat="false" ht="51.75" hidden="false" customHeight="true" outlineLevel="0" collapsed="false">
      <c r="A74" s="323"/>
      <c r="B74" s="323"/>
      <c r="C74" s="323" t="s">
        <v>2642</v>
      </c>
      <c r="D74" s="324"/>
      <c r="E74" s="329" t="s">
        <v>4411</v>
      </c>
      <c r="F74" s="323" t="s">
        <v>2794</v>
      </c>
      <c r="G74" s="323"/>
      <c r="H74" s="328"/>
    </row>
    <row r="75" customFormat="false" ht="51.75" hidden="false" customHeight="true" outlineLevel="0" collapsed="false">
      <c r="A75" s="323"/>
      <c r="B75" s="323"/>
      <c r="C75" s="323" t="s">
        <v>4412</v>
      </c>
      <c r="D75" s="323"/>
      <c r="E75" s="332" t="s">
        <v>4415</v>
      </c>
      <c r="F75" s="323" t="s">
        <v>2795</v>
      </c>
      <c r="G75" s="323"/>
      <c r="H75" s="328" t="s">
        <v>2796</v>
      </c>
    </row>
    <row r="76" customFormat="false" ht="64.5" hidden="false" customHeight="true" outlineLevel="0" collapsed="false">
      <c r="A76" s="323"/>
      <c r="B76" s="323"/>
      <c r="C76" s="323" t="s">
        <v>4412</v>
      </c>
      <c r="D76" s="323"/>
      <c r="E76" s="332" t="s">
        <v>4415</v>
      </c>
      <c r="F76" s="323" t="s">
        <v>2797</v>
      </c>
      <c r="G76" s="323"/>
      <c r="H76" s="328" t="s">
        <v>2798</v>
      </c>
    </row>
    <row r="77" customFormat="false" ht="64.5" hidden="false" customHeight="true" outlineLevel="0" collapsed="false">
      <c r="A77" s="323"/>
      <c r="B77" s="323"/>
      <c r="C77" s="323" t="s">
        <v>4412</v>
      </c>
      <c r="D77" s="323"/>
      <c r="E77" s="332" t="s">
        <v>4415</v>
      </c>
      <c r="F77" s="323" t="s">
        <v>2799</v>
      </c>
      <c r="G77" s="323"/>
      <c r="H77" s="328" t="s">
        <v>2800</v>
      </c>
    </row>
    <row r="78" customFormat="false" ht="25.5" hidden="false" customHeight="true" outlineLevel="0" collapsed="false">
      <c r="A78" s="323"/>
      <c r="B78" s="323"/>
      <c r="C78" s="323" t="s">
        <v>4412</v>
      </c>
      <c r="D78" s="330"/>
      <c r="E78" s="331" t="s">
        <v>4413</v>
      </c>
      <c r="F78" s="326" t="s">
        <v>2801</v>
      </c>
      <c r="G78" s="323"/>
      <c r="H78" s="328" t="s">
        <v>2802</v>
      </c>
    </row>
    <row r="79" customFormat="false" ht="25.5" hidden="false" customHeight="true" outlineLevel="0" collapsed="false">
      <c r="A79" s="323"/>
      <c r="B79" s="323"/>
      <c r="C79" s="323" t="s">
        <v>4412</v>
      </c>
      <c r="D79" s="330"/>
      <c r="E79" s="331" t="s">
        <v>4416</v>
      </c>
      <c r="F79" s="326" t="s">
        <v>2803</v>
      </c>
      <c r="G79" s="323"/>
      <c r="H79" s="328" t="s">
        <v>2804</v>
      </c>
    </row>
    <row r="80" customFormat="false" ht="64.5" hidden="false" customHeight="true" outlineLevel="0" collapsed="false">
      <c r="A80" s="321" t="n">
        <v>8</v>
      </c>
      <c r="B80" s="321" t="s">
        <v>845</v>
      </c>
      <c r="C80" s="321" t="s">
        <v>4426</v>
      </c>
      <c r="D80" s="321"/>
      <c r="E80" s="321"/>
      <c r="F80" s="321" t="s">
        <v>2828</v>
      </c>
      <c r="G80" s="321"/>
      <c r="H80" s="322" t="s">
        <v>4408</v>
      </c>
    </row>
    <row r="81" customFormat="false" ht="103.5" hidden="false" customHeight="true" outlineLevel="0" collapsed="false">
      <c r="A81" s="323"/>
      <c r="B81" s="323"/>
      <c r="C81" s="323" t="s">
        <v>711</v>
      </c>
      <c r="D81" s="324"/>
      <c r="E81" s="325" t="s">
        <v>4409</v>
      </c>
      <c r="F81" s="326" t="s">
        <v>2807</v>
      </c>
      <c r="G81" s="327" t="s">
        <v>2808</v>
      </c>
      <c r="H81" s="328" t="s">
        <v>2809</v>
      </c>
    </row>
    <row r="82" customFormat="false" ht="64.5" hidden="false" customHeight="true" outlineLevel="0" collapsed="false">
      <c r="A82" s="323"/>
      <c r="B82" s="323"/>
      <c r="C82" s="323" t="s">
        <v>711</v>
      </c>
      <c r="D82" s="324"/>
      <c r="E82" s="325" t="s">
        <v>4409</v>
      </c>
      <c r="F82" s="326" t="s">
        <v>2810</v>
      </c>
      <c r="G82" s="327" t="s">
        <v>2811</v>
      </c>
      <c r="H82" s="328" t="s">
        <v>2812</v>
      </c>
    </row>
    <row r="83" customFormat="false" ht="90.75" hidden="false" customHeight="true" outlineLevel="0" collapsed="false">
      <c r="A83" s="323"/>
      <c r="B83" s="323"/>
      <c r="C83" s="323" t="s">
        <v>711</v>
      </c>
      <c r="D83" s="324"/>
      <c r="E83" s="325" t="s">
        <v>4409</v>
      </c>
      <c r="F83" s="326" t="s">
        <v>2813</v>
      </c>
      <c r="G83" s="327" t="s">
        <v>2814</v>
      </c>
      <c r="H83" s="328" t="s">
        <v>2815</v>
      </c>
    </row>
    <row r="84" customFormat="false" ht="64.5" hidden="false" customHeight="true" outlineLevel="0" collapsed="false">
      <c r="A84" s="323"/>
      <c r="B84" s="323"/>
      <c r="C84" s="323" t="s">
        <v>712</v>
      </c>
      <c r="D84" s="324"/>
      <c r="E84" s="325" t="s">
        <v>4409</v>
      </c>
      <c r="F84" s="326" t="s">
        <v>2816</v>
      </c>
      <c r="G84" s="327" t="s">
        <v>2817</v>
      </c>
      <c r="H84" s="328" t="s">
        <v>2819</v>
      </c>
    </row>
    <row r="85" customFormat="false" ht="51.75" hidden="false" customHeight="true" outlineLevel="0" collapsed="false">
      <c r="A85" s="323"/>
      <c r="B85" s="323"/>
      <c r="C85" s="323" t="s">
        <v>2635</v>
      </c>
      <c r="D85" s="324"/>
      <c r="E85" s="325" t="s">
        <v>4409</v>
      </c>
      <c r="F85" s="326" t="s">
        <v>2820</v>
      </c>
      <c r="G85" s="327" t="s">
        <v>2811</v>
      </c>
      <c r="H85" s="328" t="s">
        <v>2821</v>
      </c>
    </row>
    <row r="86" customFormat="false" ht="39" hidden="false" customHeight="true" outlineLevel="0" collapsed="false">
      <c r="A86" s="323"/>
      <c r="B86" s="323"/>
      <c r="C86" s="323" t="s">
        <v>2642</v>
      </c>
      <c r="D86" s="324"/>
      <c r="E86" s="329" t="s">
        <v>4411</v>
      </c>
      <c r="F86" s="323" t="s">
        <v>2822</v>
      </c>
      <c r="G86" s="323"/>
      <c r="H86" s="328"/>
    </row>
    <row r="87" customFormat="false" ht="64.5" hidden="false" customHeight="true" outlineLevel="0" collapsed="false">
      <c r="A87" s="321" t="n">
        <v>9</v>
      </c>
      <c r="B87" s="321" t="s">
        <v>2830</v>
      </c>
      <c r="C87" s="321" t="s">
        <v>4427</v>
      </c>
      <c r="D87" s="321"/>
      <c r="E87" s="321"/>
      <c r="F87" s="321" t="s">
        <v>2850</v>
      </c>
      <c r="G87" s="321"/>
      <c r="H87" s="322" t="s">
        <v>4408</v>
      </c>
    </row>
    <row r="88" customFormat="false" ht="78" hidden="false" customHeight="true" outlineLevel="0" collapsed="false">
      <c r="A88" s="323"/>
      <c r="B88" s="323"/>
      <c r="C88" s="323" t="s">
        <v>711</v>
      </c>
      <c r="D88" s="324"/>
      <c r="E88" s="325" t="s">
        <v>4409</v>
      </c>
      <c r="F88" s="326" t="s">
        <v>2831</v>
      </c>
      <c r="G88" s="327" t="s">
        <v>2832</v>
      </c>
      <c r="H88" s="328" t="s">
        <v>2833</v>
      </c>
    </row>
    <row r="89" customFormat="false" ht="51.75" hidden="false" customHeight="true" outlineLevel="0" collapsed="false">
      <c r="A89" s="323"/>
      <c r="B89" s="323"/>
      <c r="C89" s="323" t="s">
        <v>711</v>
      </c>
      <c r="D89" s="324"/>
      <c r="E89" s="325" t="s">
        <v>4409</v>
      </c>
      <c r="F89" s="326" t="s">
        <v>2834</v>
      </c>
      <c r="G89" s="327" t="s">
        <v>2835</v>
      </c>
      <c r="H89" s="328" t="s">
        <v>2836</v>
      </c>
    </row>
    <row r="90" customFormat="false" ht="51.75" hidden="false" customHeight="true" outlineLevel="0" collapsed="false">
      <c r="A90" s="323"/>
      <c r="B90" s="323"/>
      <c r="C90" s="323" t="s">
        <v>711</v>
      </c>
      <c r="D90" s="324"/>
      <c r="E90" s="325" t="s">
        <v>4409</v>
      </c>
      <c r="F90" s="326" t="s">
        <v>2837</v>
      </c>
      <c r="G90" s="327" t="s">
        <v>2838</v>
      </c>
      <c r="H90" s="328" t="s">
        <v>2839</v>
      </c>
    </row>
    <row r="91" customFormat="false" ht="90.75" hidden="false" customHeight="true" outlineLevel="0" collapsed="false">
      <c r="A91" s="323"/>
      <c r="B91" s="323"/>
      <c r="C91" s="323" t="s">
        <v>712</v>
      </c>
      <c r="D91" s="324"/>
      <c r="E91" s="325" t="s">
        <v>4409</v>
      </c>
      <c r="F91" s="326" t="s">
        <v>2840</v>
      </c>
      <c r="G91" s="327" t="s">
        <v>2841</v>
      </c>
      <c r="H91" s="328" t="s">
        <v>2842</v>
      </c>
    </row>
    <row r="92" customFormat="false" ht="64.5" hidden="false" customHeight="true" outlineLevel="0" collapsed="false">
      <c r="A92" s="323"/>
      <c r="B92" s="323"/>
      <c r="C92" s="323" t="s">
        <v>2635</v>
      </c>
      <c r="D92" s="324"/>
      <c r="E92" s="325" t="s">
        <v>4409</v>
      </c>
      <c r="F92" s="326" t="s">
        <v>2843</v>
      </c>
      <c r="G92" s="327" t="s">
        <v>2844</v>
      </c>
      <c r="H92" s="328" t="s">
        <v>2845</v>
      </c>
    </row>
    <row r="93" customFormat="false" ht="78" hidden="false" customHeight="true" outlineLevel="0" collapsed="false">
      <c r="A93" s="323"/>
      <c r="B93" s="323"/>
      <c r="C93" s="323" t="s">
        <v>2635</v>
      </c>
      <c r="D93" s="324"/>
      <c r="E93" s="325" t="s">
        <v>4409</v>
      </c>
      <c r="F93" s="326" t="s">
        <v>2846</v>
      </c>
      <c r="G93" s="327" t="s">
        <v>2847</v>
      </c>
      <c r="H93" s="328" t="s">
        <v>2848</v>
      </c>
    </row>
    <row r="94" customFormat="false" ht="51.75" hidden="false" customHeight="true" outlineLevel="0" collapsed="false">
      <c r="A94" s="323"/>
      <c r="B94" s="323"/>
      <c r="C94" s="323" t="s">
        <v>2642</v>
      </c>
      <c r="D94" s="324"/>
      <c r="E94" s="329" t="s">
        <v>4411</v>
      </c>
      <c r="F94" s="323" t="s">
        <v>2849</v>
      </c>
      <c r="G94" s="323"/>
      <c r="H94" s="328"/>
    </row>
    <row r="95" customFormat="false" ht="51.75" hidden="false" customHeight="true" outlineLevel="0" collapsed="false">
      <c r="A95" s="321" t="n">
        <v>10</v>
      </c>
      <c r="B95" s="321" t="s">
        <v>882</v>
      </c>
      <c r="C95" s="321" t="s">
        <v>4428</v>
      </c>
      <c r="D95" s="321"/>
      <c r="E95" s="321"/>
      <c r="F95" s="321" t="s">
        <v>2864</v>
      </c>
      <c r="G95" s="321"/>
      <c r="H95" s="322" t="s">
        <v>4423</v>
      </c>
    </row>
    <row r="96" customFormat="false" ht="64.5" hidden="false" customHeight="true" outlineLevel="0" collapsed="false">
      <c r="A96" s="323"/>
      <c r="B96" s="323"/>
      <c r="C96" s="323" t="s">
        <v>711</v>
      </c>
      <c r="D96" s="324"/>
      <c r="E96" s="325" t="s">
        <v>4409</v>
      </c>
      <c r="F96" s="326" t="s">
        <v>2852</v>
      </c>
      <c r="G96" s="327" t="s">
        <v>2853</v>
      </c>
      <c r="H96" s="328" t="s">
        <v>2854</v>
      </c>
    </row>
    <row r="97" customFormat="false" ht="103.5" hidden="false" customHeight="true" outlineLevel="0" collapsed="false">
      <c r="A97" s="323"/>
      <c r="B97" s="323"/>
      <c r="C97" s="323" t="s">
        <v>711</v>
      </c>
      <c r="D97" s="324"/>
      <c r="E97" s="325" t="s">
        <v>4409</v>
      </c>
      <c r="F97" s="326" t="s">
        <v>2855</v>
      </c>
      <c r="G97" s="327" t="s">
        <v>2856</v>
      </c>
      <c r="H97" s="328" t="s">
        <v>2857</v>
      </c>
    </row>
    <row r="98" customFormat="false" ht="39" hidden="false" customHeight="true" outlineLevel="0" collapsed="false">
      <c r="A98" s="323"/>
      <c r="B98" s="323"/>
      <c r="C98" s="323" t="s">
        <v>711</v>
      </c>
      <c r="D98" s="324"/>
      <c r="E98" s="325" t="s">
        <v>4409</v>
      </c>
      <c r="F98" s="326" t="s">
        <v>2858</v>
      </c>
      <c r="G98" s="327" t="s">
        <v>2859</v>
      </c>
      <c r="H98" s="328" t="s">
        <v>2860</v>
      </c>
    </row>
    <row r="99" customFormat="false" ht="39" hidden="false" customHeight="true" outlineLevel="0" collapsed="false">
      <c r="A99" s="323"/>
      <c r="B99" s="323"/>
      <c r="C99" s="323" t="s">
        <v>712</v>
      </c>
      <c r="D99" s="324"/>
      <c r="E99" s="329" t="s">
        <v>4411</v>
      </c>
      <c r="F99" s="323" t="s">
        <v>2861</v>
      </c>
      <c r="G99" s="323"/>
      <c r="H99" s="328"/>
    </row>
    <row r="100" customFormat="false" ht="39" hidden="false" customHeight="true" outlineLevel="0" collapsed="false">
      <c r="A100" s="323"/>
      <c r="B100" s="323"/>
      <c r="C100" s="323" t="s">
        <v>2635</v>
      </c>
      <c r="D100" s="324"/>
      <c r="E100" s="329" t="s">
        <v>4411</v>
      </c>
      <c r="F100" s="323" t="s">
        <v>2862</v>
      </c>
      <c r="G100" s="323"/>
      <c r="H100" s="328"/>
    </row>
    <row r="101" customFormat="false" ht="25.5" hidden="false" customHeight="true" outlineLevel="0" collapsed="false">
      <c r="A101" s="323"/>
      <c r="B101" s="323"/>
      <c r="C101" s="323" t="s">
        <v>2642</v>
      </c>
      <c r="D101" s="324"/>
      <c r="E101" s="329" t="s">
        <v>4411</v>
      </c>
      <c r="F101" s="323" t="s">
        <v>2863</v>
      </c>
      <c r="G101" s="323"/>
      <c r="H101" s="328"/>
    </row>
    <row r="102" customFormat="false" ht="64.5" hidden="false" customHeight="true" outlineLevel="0" collapsed="false">
      <c r="A102" s="321" t="n">
        <v>11</v>
      </c>
      <c r="B102" s="321" t="s">
        <v>896</v>
      </c>
      <c r="C102" s="321" t="s">
        <v>4429</v>
      </c>
      <c r="D102" s="321"/>
      <c r="E102" s="321"/>
      <c r="F102" s="321" t="s">
        <v>2898</v>
      </c>
      <c r="G102" s="321"/>
      <c r="H102" s="322" t="s">
        <v>4423</v>
      </c>
    </row>
    <row r="103" customFormat="false" ht="51.75" hidden="false" customHeight="true" outlineLevel="0" collapsed="false">
      <c r="A103" s="323"/>
      <c r="B103" s="323"/>
      <c r="C103" s="323" t="s">
        <v>711</v>
      </c>
      <c r="D103" s="323" t="s">
        <v>4430</v>
      </c>
      <c r="E103" s="332" t="s">
        <v>4431</v>
      </c>
      <c r="F103" s="323" t="s">
        <v>4432</v>
      </c>
      <c r="G103" s="323"/>
      <c r="H103" s="328" t="s">
        <v>2869</v>
      </c>
    </row>
    <row r="104" customFormat="false" ht="39" hidden="false" customHeight="true" outlineLevel="0" collapsed="false">
      <c r="A104" s="323"/>
      <c r="B104" s="323"/>
      <c r="C104" s="323" t="s">
        <v>711</v>
      </c>
      <c r="D104" s="323" t="s">
        <v>4433</v>
      </c>
      <c r="E104" s="332" t="s">
        <v>4431</v>
      </c>
      <c r="F104" s="323" t="s">
        <v>4432</v>
      </c>
      <c r="G104" s="323"/>
      <c r="H104" s="328" t="s">
        <v>2872</v>
      </c>
    </row>
    <row r="105" customFormat="false" ht="39" hidden="false" customHeight="true" outlineLevel="0" collapsed="false">
      <c r="A105" s="323"/>
      <c r="B105" s="323"/>
      <c r="C105" s="323" t="s">
        <v>711</v>
      </c>
      <c r="D105" s="324"/>
      <c r="E105" s="325" t="s">
        <v>4409</v>
      </c>
      <c r="F105" s="326" t="s">
        <v>2873</v>
      </c>
      <c r="G105" s="327" t="s">
        <v>2874</v>
      </c>
      <c r="H105" s="328" t="s">
        <v>2875</v>
      </c>
    </row>
    <row r="106" customFormat="false" ht="39" hidden="false" customHeight="true" outlineLevel="0" collapsed="false">
      <c r="A106" s="323"/>
      <c r="B106" s="323"/>
      <c r="C106" s="323" t="s">
        <v>711</v>
      </c>
      <c r="D106" s="324"/>
      <c r="E106" s="325" t="s">
        <v>4409</v>
      </c>
      <c r="F106" s="326" t="s">
        <v>2876</v>
      </c>
      <c r="G106" s="327" t="s">
        <v>2877</v>
      </c>
      <c r="H106" s="328" t="s">
        <v>2878</v>
      </c>
    </row>
    <row r="107" customFormat="false" ht="117" hidden="false" customHeight="true" outlineLevel="0" collapsed="false">
      <c r="A107" s="323"/>
      <c r="B107" s="323"/>
      <c r="C107" s="323" t="s">
        <v>711</v>
      </c>
      <c r="D107" s="324"/>
      <c r="E107" s="325" t="s">
        <v>4409</v>
      </c>
      <c r="F107" s="326" t="s">
        <v>2879</v>
      </c>
      <c r="G107" s="327" t="s">
        <v>2880</v>
      </c>
      <c r="H107" s="328" t="s">
        <v>2881</v>
      </c>
    </row>
    <row r="108" customFormat="false" ht="25.5" hidden="false" customHeight="true" outlineLevel="0" collapsed="false">
      <c r="A108" s="323"/>
      <c r="B108" s="323"/>
      <c r="C108" s="323" t="s">
        <v>712</v>
      </c>
      <c r="D108" s="323" t="s">
        <v>2882</v>
      </c>
      <c r="E108" s="332" t="s">
        <v>4431</v>
      </c>
      <c r="F108" s="323" t="s">
        <v>4432</v>
      </c>
      <c r="G108" s="323"/>
      <c r="H108" s="328" t="s">
        <v>2883</v>
      </c>
    </row>
    <row r="109" customFormat="false" ht="39" hidden="false" customHeight="true" outlineLevel="0" collapsed="false">
      <c r="A109" s="323"/>
      <c r="B109" s="323"/>
      <c r="C109" s="323" t="s">
        <v>712</v>
      </c>
      <c r="D109" s="324"/>
      <c r="E109" s="329" t="s">
        <v>4411</v>
      </c>
      <c r="F109" s="323" t="s">
        <v>2885</v>
      </c>
      <c r="G109" s="323"/>
      <c r="H109" s="328"/>
    </row>
    <row r="110" customFormat="false" ht="25.5" hidden="false" customHeight="true" outlineLevel="0" collapsed="false">
      <c r="A110" s="323"/>
      <c r="B110" s="323"/>
      <c r="C110" s="323" t="s">
        <v>2635</v>
      </c>
      <c r="D110" s="323" t="s">
        <v>4434</v>
      </c>
      <c r="E110" s="332" t="s">
        <v>4431</v>
      </c>
      <c r="F110" s="323" t="s">
        <v>4432</v>
      </c>
      <c r="G110" s="323"/>
      <c r="H110" s="328" t="s">
        <v>2887</v>
      </c>
    </row>
    <row r="111" customFormat="false" ht="25.5" hidden="false" customHeight="true" outlineLevel="0" collapsed="false">
      <c r="A111" s="323"/>
      <c r="B111" s="323"/>
      <c r="C111" s="323" t="s">
        <v>2635</v>
      </c>
      <c r="D111" s="323" t="s">
        <v>4435</v>
      </c>
      <c r="E111" s="332" t="s">
        <v>4431</v>
      </c>
      <c r="F111" s="323" t="s">
        <v>4432</v>
      </c>
      <c r="G111" s="323"/>
      <c r="H111" s="328" t="s">
        <v>2887</v>
      </c>
    </row>
    <row r="112" customFormat="false" ht="51.75" hidden="false" customHeight="true" outlineLevel="0" collapsed="false">
      <c r="A112" s="323"/>
      <c r="B112" s="323"/>
      <c r="C112" s="323" t="s">
        <v>2635</v>
      </c>
      <c r="D112" s="324"/>
      <c r="E112" s="325" t="s">
        <v>4409</v>
      </c>
      <c r="F112" s="326" t="s">
        <v>2889</v>
      </c>
      <c r="G112" s="327" t="s">
        <v>2874</v>
      </c>
      <c r="H112" s="328" t="s">
        <v>2890</v>
      </c>
    </row>
    <row r="113" customFormat="false" ht="51.75" hidden="false" customHeight="true" outlineLevel="0" collapsed="false">
      <c r="A113" s="323"/>
      <c r="B113" s="323"/>
      <c r="C113" s="323" t="s">
        <v>2635</v>
      </c>
      <c r="D113" s="324"/>
      <c r="E113" s="325" t="s">
        <v>4409</v>
      </c>
      <c r="F113" s="326" t="s">
        <v>2891</v>
      </c>
      <c r="G113" s="327" t="s">
        <v>2874</v>
      </c>
      <c r="H113" s="328" t="s">
        <v>2892</v>
      </c>
    </row>
    <row r="114" customFormat="false" ht="15" hidden="false" customHeight="true" outlineLevel="0" collapsed="false">
      <c r="A114" s="323"/>
      <c r="B114" s="323"/>
      <c r="C114" s="323" t="s">
        <v>2642</v>
      </c>
      <c r="D114" s="323" t="s">
        <v>2882</v>
      </c>
      <c r="E114" s="332" t="s">
        <v>4431</v>
      </c>
      <c r="F114" s="323" t="s">
        <v>4432</v>
      </c>
      <c r="G114" s="323"/>
      <c r="H114" s="328" t="s">
        <v>2893</v>
      </c>
    </row>
    <row r="115" customFormat="false" ht="15" hidden="false" customHeight="true" outlineLevel="0" collapsed="false">
      <c r="A115" s="323"/>
      <c r="B115" s="323"/>
      <c r="C115" s="323" t="s">
        <v>2642</v>
      </c>
      <c r="D115" s="324"/>
      <c r="E115" s="329" t="s">
        <v>4411</v>
      </c>
      <c r="F115" s="323" t="s">
        <v>2894</v>
      </c>
      <c r="G115" s="323"/>
      <c r="H115" s="328"/>
    </row>
    <row r="116" customFormat="false" ht="51.75" hidden="false" customHeight="true" outlineLevel="0" collapsed="false">
      <c r="A116" s="321" t="n">
        <v>12</v>
      </c>
      <c r="B116" s="321" t="s">
        <v>909</v>
      </c>
      <c r="C116" s="321" t="s">
        <v>4436</v>
      </c>
      <c r="D116" s="321"/>
      <c r="E116" s="321"/>
      <c r="F116" s="321" t="s">
        <v>2921</v>
      </c>
      <c r="G116" s="321"/>
      <c r="H116" s="322" t="s">
        <v>4408</v>
      </c>
    </row>
    <row r="117" customFormat="false" ht="51.75" hidden="false" customHeight="true" outlineLevel="0" collapsed="false">
      <c r="A117" s="323"/>
      <c r="B117" s="323"/>
      <c r="C117" s="323" t="s">
        <v>711</v>
      </c>
      <c r="D117" s="323" t="s">
        <v>4437</v>
      </c>
      <c r="E117" s="332" t="s">
        <v>4431</v>
      </c>
      <c r="F117" s="323" t="s">
        <v>4432</v>
      </c>
      <c r="G117" s="323"/>
      <c r="H117" s="328" t="s">
        <v>2902</v>
      </c>
    </row>
    <row r="118" customFormat="false" ht="64.5" hidden="false" customHeight="true" outlineLevel="0" collapsed="false">
      <c r="A118" s="323"/>
      <c r="B118" s="323"/>
      <c r="C118" s="323" t="s">
        <v>711</v>
      </c>
      <c r="D118" s="324"/>
      <c r="E118" s="325" t="s">
        <v>4409</v>
      </c>
      <c r="F118" s="326" t="s">
        <v>2903</v>
      </c>
      <c r="G118" s="327" t="s">
        <v>2904</v>
      </c>
      <c r="H118" s="328" t="s">
        <v>2905</v>
      </c>
    </row>
    <row r="119" customFormat="false" ht="51.75" hidden="false" customHeight="true" outlineLevel="0" collapsed="false">
      <c r="A119" s="323"/>
      <c r="B119" s="323"/>
      <c r="C119" s="323" t="s">
        <v>711</v>
      </c>
      <c r="D119" s="324"/>
      <c r="E119" s="325" t="s">
        <v>4409</v>
      </c>
      <c r="F119" s="326" t="s">
        <v>2906</v>
      </c>
      <c r="G119" s="327" t="s">
        <v>2907</v>
      </c>
      <c r="H119" s="328" t="s">
        <v>2908</v>
      </c>
    </row>
    <row r="120" customFormat="false" ht="51.75" hidden="false" customHeight="true" outlineLevel="0" collapsed="false">
      <c r="A120" s="323"/>
      <c r="B120" s="323"/>
      <c r="C120" s="323" t="s">
        <v>712</v>
      </c>
      <c r="D120" s="324"/>
      <c r="E120" s="329" t="s">
        <v>4411</v>
      </c>
      <c r="F120" s="323" t="s">
        <v>2909</v>
      </c>
      <c r="G120" s="323"/>
      <c r="H120" s="328"/>
    </row>
    <row r="121" customFormat="false" ht="39" hidden="false" customHeight="true" outlineLevel="0" collapsed="false">
      <c r="A121" s="323"/>
      <c r="B121" s="323"/>
      <c r="C121" s="323" t="s">
        <v>2635</v>
      </c>
      <c r="D121" s="323" t="s">
        <v>4438</v>
      </c>
      <c r="E121" s="332" t="s">
        <v>4431</v>
      </c>
      <c r="F121" s="323" t="s">
        <v>4432</v>
      </c>
      <c r="G121" s="323"/>
      <c r="H121" s="328" t="s">
        <v>2912</v>
      </c>
    </row>
    <row r="122" customFormat="false" ht="78" hidden="false" customHeight="true" outlineLevel="0" collapsed="false">
      <c r="A122" s="323"/>
      <c r="B122" s="323"/>
      <c r="C122" s="323" t="s">
        <v>2635</v>
      </c>
      <c r="D122" s="324"/>
      <c r="E122" s="325" t="s">
        <v>4409</v>
      </c>
      <c r="F122" s="326" t="s">
        <v>2913</v>
      </c>
      <c r="G122" s="327" t="s">
        <v>2914</v>
      </c>
      <c r="H122" s="328" t="s">
        <v>2915</v>
      </c>
    </row>
    <row r="123" customFormat="false" ht="51.75" hidden="false" customHeight="true" outlineLevel="0" collapsed="false">
      <c r="A123" s="323"/>
      <c r="B123" s="323"/>
      <c r="C123" s="323" t="s">
        <v>2642</v>
      </c>
      <c r="D123" s="330" t="s">
        <v>4439</v>
      </c>
      <c r="E123" s="331" t="s">
        <v>4440</v>
      </c>
      <c r="F123" s="326" t="s">
        <v>2918</v>
      </c>
      <c r="G123" s="323"/>
      <c r="H123" s="328" t="s">
        <v>2920</v>
      </c>
    </row>
    <row r="124" customFormat="false" ht="25.5" hidden="false" customHeight="true" outlineLevel="0" collapsed="false">
      <c r="A124" s="323"/>
      <c r="B124" s="323"/>
      <c r="C124" s="323" t="s">
        <v>2642</v>
      </c>
      <c r="D124" s="324"/>
      <c r="E124" s="329" t="s">
        <v>4411</v>
      </c>
      <c r="F124" s="323" t="s">
        <v>4441</v>
      </c>
      <c r="G124" s="323"/>
      <c r="H124" s="328"/>
    </row>
    <row r="125" customFormat="false" ht="64.5" hidden="false" customHeight="true" outlineLevel="0" collapsed="false">
      <c r="A125" s="321" t="n">
        <v>13</v>
      </c>
      <c r="B125" s="321" t="s">
        <v>922</v>
      </c>
      <c r="C125" s="321" t="s">
        <v>4442</v>
      </c>
      <c r="D125" s="321"/>
      <c r="E125" s="321"/>
      <c r="F125" s="321" t="s">
        <v>2957</v>
      </c>
      <c r="G125" s="321"/>
      <c r="H125" s="322" t="s">
        <v>4408</v>
      </c>
    </row>
    <row r="126" customFormat="false" ht="64.5" hidden="false" customHeight="true" outlineLevel="0" collapsed="false">
      <c r="A126" s="323"/>
      <c r="B126" s="323"/>
      <c r="C126" s="323" t="s">
        <v>711</v>
      </c>
      <c r="D126" s="330" t="s">
        <v>2923</v>
      </c>
      <c r="E126" s="331" t="s">
        <v>4440</v>
      </c>
      <c r="F126" s="326" t="s">
        <v>2924</v>
      </c>
      <c r="G126" s="323"/>
      <c r="H126" s="328" t="s">
        <v>2926</v>
      </c>
    </row>
    <row r="127" customFormat="false" ht="90.75" hidden="false" customHeight="true" outlineLevel="0" collapsed="false">
      <c r="A127" s="323"/>
      <c r="B127" s="323"/>
      <c r="C127" s="323" t="s">
        <v>711</v>
      </c>
      <c r="D127" s="324"/>
      <c r="E127" s="325" t="s">
        <v>4409</v>
      </c>
      <c r="F127" s="326" t="s">
        <v>2927</v>
      </c>
      <c r="G127" s="327" t="s">
        <v>2928</v>
      </c>
      <c r="H127" s="328" t="s">
        <v>2929</v>
      </c>
    </row>
    <row r="128" customFormat="false" ht="25.5" hidden="false" customHeight="true" outlineLevel="0" collapsed="false">
      <c r="A128" s="323"/>
      <c r="B128" s="323"/>
      <c r="C128" s="323" t="s">
        <v>712</v>
      </c>
      <c r="D128" s="323" t="s">
        <v>2930</v>
      </c>
      <c r="E128" s="332" t="s">
        <v>4431</v>
      </c>
      <c r="F128" s="323" t="s">
        <v>4432</v>
      </c>
      <c r="G128" s="323"/>
      <c r="H128" s="328" t="s">
        <v>2931</v>
      </c>
    </row>
    <row r="129" customFormat="false" ht="51.75" hidden="false" customHeight="true" outlineLevel="0" collapsed="false">
      <c r="A129" s="323"/>
      <c r="B129" s="323"/>
      <c r="C129" s="323" t="s">
        <v>712</v>
      </c>
      <c r="D129" s="324"/>
      <c r="E129" s="325" t="s">
        <v>4409</v>
      </c>
      <c r="F129" s="326" t="s">
        <v>2932</v>
      </c>
      <c r="G129" s="327" t="s">
        <v>2925</v>
      </c>
      <c r="H129" s="328" t="s">
        <v>2933</v>
      </c>
    </row>
    <row r="130" customFormat="false" ht="25.5" hidden="false" customHeight="true" outlineLevel="0" collapsed="false">
      <c r="A130" s="323"/>
      <c r="B130" s="323"/>
      <c r="C130" s="323" t="s">
        <v>2635</v>
      </c>
      <c r="D130" s="323" t="s">
        <v>2934</v>
      </c>
      <c r="E130" s="332" t="s">
        <v>4431</v>
      </c>
      <c r="F130" s="323" t="s">
        <v>4432</v>
      </c>
      <c r="G130" s="323"/>
      <c r="H130" s="328" t="s">
        <v>2935</v>
      </c>
    </row>
    <row r="131" customFormat="false" ht="78" hidden="false" customHeight="true" outlineLevel="0" collapsed="false">
      <c r="A131" s="323"/>
      <c r="B131" s="323"/>
      <c r="C131" s="323" t="s">
        <v>2635</v>
      </c>
      <c r="D131" s="330" t="s">
        <v>2936</v>
      </c>
      <c r="E131" s="331" t="s">
        <v>4440</v>
      </c>
      <c r="F131" s="326" t="s">
        <v>2937</v>
      </c>
      <c r="G131" s="323"/>
      <c r="H131" s="328" t="s">
        <v>2939</v>
      </c>
    </row>
    <row r="132" customFormat="false" ht="39" hidden="false" customHeight="true" outlineLevel="0" collapsed="false">
      <c r="A132" s="323"/>
      <c r="B132" s="323"/>
      <c r="C132" s="323" t="s">
        <v>2635</v>
      </c>
      <c r="D132" s="330" t="s">
        <v>4443</v>
      </c>
      <c r="E132" s="331" t="s">
        <v>4444</v>
      </c>
      <c r="F132" s="326" t="s">
        <v>2942</v>
      </c>
      <c r="G132" s="323"/>
      <c r="H132" s="328" t="s">
        <v>2944</v>
      </c>
    </row>
    <row r="133" customFormat="false" ht="64.5" hidden="false" customHeight="true" outlineLevel="0" collapsed="false">
      <c r="A133" s="323"/>
      <c r="B133" s="323"/>
      <c r="C133" s="323" t="s">
        <v>2635</v>
      </c>
      <c r="D133" s="324"/>
      <c r="E133" s="325" t="s">
        <v>4409</v>
      </c>
      <c r="F133" s="326" t="s">
        <v>2945</v>
      </c>
      <c r="G133" s="327" t="s">
        <v>2925</v>
      </c>
      <c r="H133" s="328" t="s">
        <v>2946</v>
      </c>
    </row>
    <row r="134" customFormat="false" ht="78" hidden="false" customHeight="true" outlineLevel="0" collapsed="false">
      <c r="A134" s="323"/>
      <c r="B134" s="323"/>
      <c r="C134" s="323" t="s">
        <v>2635</v>
      </c>
      <c r="D134" s="324"/>
      <c r="E134" s="325" t="s">
        <v>4409</v>
      </c>
      <c r="F134" s="326" t="s">
        <v>2947</v>
      </c>
      <c r="G134" s="327" t="s">
        <v>2948</v>
      </c>
      <c r="H134" s="328" t="s">
        <v>2949</v>
      </c>
    </row>
    <row r="135" customFormat="false" ht="39" hidden="false" customHeight="true" outlineLevel="0" collapsed="false">
      <c r="A135" s="323"/>
      <c r="B135" s="323"/>
      <c r="C135" s="323" t="s">
        <v>2642</v>
      </c>
      <c r="D135" s="330" t="s">
        <v>2950</v>
      </c>
      <c r="E135" s="331" t="s">
        <v>4440</v>
      </c>
      <c r="F135" s="326" t="s">
        <v>2951</v>
      </c>
      <c r="G135" s="323"/>
      <c r="H135" s="328" t="s">
        <v>2952</v>
      </c>
    </row>
    <row r="136" customFormat="false" ht="51.75" hidden="false" customHeight="true" outlineLevel="0" collapsed="false">
      <c r="A136" s="323"/>
      <c r="B136" s="323"/>
      <c r="C136" s="323" t="s">
        <v>2642</v>
      </c>
      <c r="D136" s="330" t="s">
        <v>2954</v>
      </c>
      <c r="E136" s="331" t="s">
        <v>4445</v>
      </c>
      <c r="F136" s="326" t="s">
        <v>2955</v>
      </c>
      <c r="G136" s="323"/>
      <c r="H136" s="328" t="s">
        <v>2956</v>
      </c>
    </row>
    <row r="137" customFormat="false" ht="39" hidden="false" customHeight="true" outlineLevel="0" collapsed="false">
      <c r="A137" s="323"/>
      <c r="B137" s="323"/>
      <c r="C137" s="323" t="s">
        <v>2642</v>
      </c>
      <c r="D137" s="324"/>
      <c r="E137" s="329" t="s">
        <v>4411</v>
      </c>
      <c r="F137" s="323" t="s">
        <v>4446</v>
      </c>
      <c r="G137" s="323"/>
      <c r="H137" s="328"/>
    </row>
    <row r="138" customFormat="false" ht="64.5" hidden="false" customHeight="true" outlineLevel="0" collapsed="false">
      <c r="A138" s="321" t="n">
        <v>14</v>
      </c>
      <c r="B138" s="321" t="s">
        <v>938</v>
      </c>
      <c r="C138" s="321" t="s">
        <v>4447</v>
      </c>
      <c r="D138" s="321"/>
      <c r="E138" s="321"/>
      <c r="F138" s="321" t="s">
        <v>2984</v>
      </c>
      <c r="G138" s="321"/>
      <c r="H138" s="322" t="s">
        <v>4408</v>
      </c>
    </row>
    <row r="139" customFormat="false" ht="51.75" hidden="false" customHeight="true" outlineLevel="0" collapsed="false">
      <c r="A139" s="323"/>
      <c r="B139" s="323"/>
      <c r="C139" s="323" t="s">
        <v>711</v>
      </c>
      <c r="D139" s="330" t="s">
        <v>2959</v>
      </c>
      <c r="E139" s="331" t="s">
        <v>4440</v>
      </c>
      <c r="F139" s="326" t="s">
        <v>2960</v>
      </c>
      <c r="G139" s="323"/>
      <c r="H139" s="328" t="s">
        <v>2961</v>
      </c>
    </row>
    <row r="140" customFormat="false" ht="39" hidden="false" customHeight="true" outlineLevel="0" collapsed="false">
      <c r="A140" s="323"/>
      <c r="B140" s="323"/>
      <c r="C140" s="323" t="s">
        <v>711</v>
      </c>
      <c r="D140" s="324"/>
      <c r="E140" s="329" t="s">
        <v>4411</v>
      </c>
      <c r="F140" s="323" t="s">
        <v>4448</v>
      </c>
      <c r="G140" s="323"/>
      <c r="H140" s="328"/>
    </row>
    <row r="141" customFormat="false" ht="51.75" hidden="false" customHeight="true" outlineLevel="0" collapsed="false">
      <c r="A141" s="323"/>
      <c r="B141" s="323"/>
      <c r="C141" s="323" t="s">
        <v>712</v>
      </c>
      <c r="D141" s="330" t="s">
        <v>4449</v>
      </c>
      <c r="E141" s="331" t="s">
        <v>4450</v>
      </c>
      <c r="F141" s="326" t="s">
        <v>2965</v>
      </c>
      <c r="G141" s="323"/>
      <c r="H141" s="328" t="s">
        <v>2967</v>
      </c>
    </row>
    <row r="142" customFormat="false" ht="78" hidden="false" customHeight="true" outlineLevel="0" collapsed="false">
      <c r="A142" s="323"/>
      <c r="B142" s="323"/>
      <c r="C142" s="323" t="s">
        <v>712</v>
      </c>
      <c r="D142" s="324"/>
      <c r="E142" s="325" t="s">
        <v>4409</v>
      </c>
      <c r="F142" s="326" t="s">
        <v>2968</v>
      </c>
      <c r="G142" s="327" t="s">
        <v>2969</v>
      </c>
      <c r="H142" s="328" t="s">
        <v>2970</v>
      </c>
    </row>
    <row r="143" customFormat="false" ht="64.5" hidden="false" customHeight="true" outlineLevel="0" collapsed="false">
      <c r="A143" s="323"/>
      <c r="B143" s="323"/>
      <c r="C143" s="323" t="s">
        <v>712</v>
      </c>
      <c r="D143" s="324"/>
      <c r="E143" s="325" t="s">
        <v>4409</v>
      </c>
      <c r="F143" s="326" t="s">
        <v>2971</v>
      </c>
      <c r="G143" s="327" t="s">
        <v>2972</v>
      </c>
      <c r="H143" s="328" t="s">
        <v>2973</v>
      </c>
    </row>
    <row r="144" customFormat="false" ht="25.5" hidden="false" customHeight="true" outlineLevel="0" collapsed="false">
      <c r="A144" s="323"/>
      <c r="B144" s="323"/>
      <c r="C144" s="323" t="s">
        <v>2635</v>
      </c>
      <c r="D144" s="323" t="s">
        <v>4451</v>
      </c>
      <c r="E144" s="332" t="s">
        <v>4431</v>
      </c>
      <c r="F144" s="323" t="s">
        <v>4432</v>
      </c>
      <c r="G144" s="323"/>
      <c r="H144" s="328" t="s">
        <v>2976</v>
      </c>
    </row>
    <row r="145" customFormat="false" ht="168.75" hidden="false" customHeight="true" outlineLevel="0" collapsed="false">
      <c r="A145" s="323"/>
      <c r="B145" s="323"/>
      <c r="C145" s="323" t="s">
        <v>2635</v>
      </c>
      <c r="D145" s="324"/>
      <c r="E145" s="325" t="s">
        <v>4409</v>
      </c>
      <c r="F145" s="326" t="s">
        <v>2977</v>
      </c>
      <c r="G145" s="327" t="s">
        <v>2978</v>
      </c>
      <c r="H145" s="328" t="s">
        <v>2979</v>
      </c>
    </row>
    <row r="146" customFormat="false" ht="78" hidden="false" customHeight="true" outlineLevel="0" collapsed="false">
      <c r="A146" s="323"/>
      <c r="B146" s="323"/>
      <c r="C146" s="323" t="s">
        <v>2635</v>
      </c>
      <c r="D146" s="324"/>
      <c r="E146" s="325" t="s">
        <v>4409</v>
      </c>
      <c r="F146" s="326" t="s">
        <v>2980</v>
      </c>
      <c r="G146" s="327" t="s">
        <v>2981</v>
      </c>
      <c r="H146" s="328" t="s">
        <v>2982</v>
      </c>
    </row>
    <row r="147" customFormat="false" ht="51.75" hidden="false" customHeight="true" outlineLevel="0" collapsed="false">
      <c r="A147" s="323"/>
      <c r="B147" s="323"/>
      <c r="C147" s="323" t="s">
        <v>2635</v>
      </c>
      <c r="D147" s="324"/>
      <c r="E147" s="325" t="s">
        <v>4409</v>
      </c>
      <c r="F147" s="326" t="s">
        <v>2983</v>
      </c>
      <c r="G147" s="327" t="s">
        <v>2966</v>
      </c>
      <c r="H147" s="328" t="s">
        <v>2931</v>
      </c>
    </row>
    <row r="148" customFormat="false" ht="15" hidden="false" customHeight="true" outlineLevel="0" collapsed="false">
      <c r="A148" s="323"/>
      <c r="B148" s="323"/>
      <c r="C148" s="323" t="s">
        <v>2642</v>
      </c>
      <c r="D148" s="323" t="s">
        <v>947</v>
      </c>
      <c r="E148" s="332" t="s">
        <v>4431</v>
      </c>
      <c r="F148" s="323" t="s">
        <v>4432</v>
      </c>
      <c r="G148" s="323"/>
      <c r="H148" s="328" t="s">
        <v>2893</v>
      </c>
    </row>
    <row r="149" customFormat="false" ht="15" hidden="false" customHeight="true" outlineLevel="0" collapsed="false">
      <c r="A149" s="323"/>
      <c r="B149" s="323"/>
      <c r="C149" s="323" t="s">
        <v>2642</v>
      </c>
      <c r="D149" s="324"/>
      <c r="E149" s="329" t="s">
        <v>4411</v>
      </c>
      <c r="F149" s="323" t="s">
        <v>2894</v>
      </c>
      <c r="G149" s="323"/>
      <c r="H149" s="328"/>
    </row>
    <row r="150" customFormat="false" ht="64.5" hidden="false" customHeight="true" outlineLevel="0" collapsed="false">
      <c r="A150" s="321" t="n">
        <v>15</v>
      </c>
      <c r="B150" s="321" t="s">
        <v>130</v>
      </c>
      <c r="C150" s="321" t="s">
        <v>4452</v>
      </c>
      <c r="D150" s="321"/>
      <c r="E150" s="321"/>
      <c r="F150" s="321" t="s">
        <v>3021</v>
      </c>
      <c r="G150" s="321"/>
      <c r="H150" s="322" t="s">
        <v>4423</v>
      </c>
    </row>
    <row r="151" customFormat="false" ht="90.75" hidden="false" customHeight="true" outlineLevel="0" collapsed="false">
      <c r="A151" s="323"/>
      <c r="B151" s="323"/>
      <c r="C151" s="323" t="s">
        <v>711</v>
      </c>
      <c r="D151" s="323" t="s">
        <v>4453</v>
      </c>
      <c r="E151" s="332" t="s">
        <v>4431</v>
      </c>
      <c r="F151" s="323" t="s">
        <v>4432</v>
      </c>
      <c r="G151" s="323"/>
      <c r="H151" s="328" t="s">
        <v>2987</v>
      </c>
    </row>
    <row r="152" customFormat="false" ht="51.75" hidden="false" customHeight="true" outlineLevel="0" collapsed="false">
      <c r="A152" s="323"/>
      <c r="B152" s="323"/>
      <c r="C152" s="323" t="s">
        <v>711</v>
      </c>
      <c r="D152" s="323" t="s">
        <v>4454</v>
      </c>
      <c r="E152" s="332" t="s">
        <v>4431</v>
      </c>
      <c r="F152" s="323" t="s">
        <v>4432</v>
      </c>
      <c r="G152" s="323"/>
      <c r="H152" s="328" t="s">
        <v>2991</v>
      </c>
    </row>
    <row r="153" customFormat="false" ht="51.75" hidden="false" customHeight="true" outlineLevel="0" collapsed="false">
      <c r="A153" s="323"/>
      <c r="B153" s="323"/>
      <c r="C153" s="323" t="s">
        <v>711</v>
      </c>
      <c r="D153" s="324"/>
      <c r="E153" s="325" t="s">
        <v>4409</v>
      </c>
      <c r="F153" s="326" t="s">
        <v>2992</v>
      </c>
      <c r="G153" s="327" t="s">
        <v>2993</v>
      </c>
      <c r="H153" s="328" t="s">
        <v>2994</v>
      </c>
    </row>
    <row r="154" customFormat="false" ht="51.75" hidden="false" customHeight="true" outlineLevel="0" collapsed="false">
      <c r="A154" s="323"/>
      <c r="B154" s="323"/>
      <c r="C154" s="323" t="s">
        <v>711</v>
      </c>
      <c r="D154" s="324"/>
      <c r="E154" s="325" t="s">
        <v>4409</v>
      </c>
      <c r="F154" s="326" t="s">
        <v>2995</v>
      </c>
      <c r="G154" s="327" t="s">
        <v>2996</v>
      </c>
      <c r="H154" s="328" t="s">
        <v>2997</v>
      </c>
    </row>
    <row r="155" customFormat="false" ht="25.5" hidden="false" customHeight="true" outlineLevel="0" collapsed="false">
      <c r="A155" s="323"/>
      <c r="B155" s="323"/>
      <c r="C155" s="323" t="s">
        <v>712</v>
      </c>
      <c r="D155" s="323" t="s">
        <v>2998</v>
      </c>
      <c r="E155" s="332" t="s">
        <v>4431</v>
      </c>
      <c r="F155" s="323" t="s">
        <v>4432</v>
      </c>
      <c r="G155" s="323"/>
      <c r="H155" s="328" t="s">
        <v>2999</v>
      </c>
    </row>
    <row r="156" customFormat="false" ht="39" hidden="false" customHeight="true" outlineLevel="0" collapsed="false">
      <c r="A156" s="323"/>
      <c r="B156" s="323"/>
      <c r="C156" s="323" t="s">
        <v>712</v>
      </c>
      <c r="D156" s="324"/>
      <c r="E156" s="329" t="s">
        <v>4411</v>
      </c>
      <c r="F156" s="323" t="s">
        <v>4455</v>
      </c>
      <c r="G156" s="323"/>
      <c r="H156" s="328"/>
    </row>
    <row r="157" customFormat="false" ht="51.75" hidden="false" customHeight="true" outlineLevel="0" collapsed="false">
      <c r="A157" s="323"/>
      <c r="B157" s="323"/>
      <c r="C157" s="323" t="s">
        <v>2635</v>
      </c>
      <c r="D157" s="323" t="s">
        <v>4456</v>
      </c>
      <c r="E157" s="332" t="s">
        <v>4431</v>
      </c>
      <c r="F157" s="323" t="s">
        <v>4432</v>
      </c>
      <c r="G157" s="323"/>
      <c r="H157" s="328" t="s">
        <v>3002</v>
      </c>
    </row>
    <row r="158" customFormat="false" ht="39" hidden="false" customHeight="true" outlineLevel="0" collapsed="false">
      <c r="A158" s="323"/>
      <c r="B158" s="323"/>
      <c r="C158" s="323" t="s">
        <v>2635</v>
      </c>
      <c r="D158" s="323" t="s">
        <v>4457</v>
      </c>
      <c r="E158" s="332" t="s">
        <v>4431</v>
      </c>
      <c r="F158" s="323" t="s">
        <v>4432</v>
      </c>
      <c r="G158" s="323"/>
      <c r="H158" s="328" t="s">
        <v>3005</v>
      </c>
    </row>
    <row r="159" customFormat="false" ht="39" hidden="false" customHeight="true" outlineLevel="0" collapsed="false">
      <c r="A159" s="323"/>
      <c r="B159" s="323"/>
      <c r="C159" s="323" t="s">
        <v>2635</v>
      </c>
      <c r="D159" s="323" t="s">
        <v>4458</v>
      </c>
      <c r="E159" s="332" t="s">
        <v>4431</v>
      </c>
      <c r="F159" s="323" t="s">
        <v>4432</v>
      </c>
      <c r="G159" s="323"/>
      <c r="H159" s="328" t="s">
        <v>3008</v>
      </c>
    </row>
    <row r="160" customFormat="false" ht="64.5" hidden="false" customHeight="true" outlineLevel="0" collapsed="false">
      <c r="A160" s="323"/>
      <c r="B160" s="323"/>
      <c r="C160" s="323" t="s">
        <v>2635</v>
      </c>
      <c r="D160" s="324"/>
      <c r="E160" s="325" t="s">
        <v>4409</v>
      </c>
      <c r="F160" s="326" t="s">
        <v>3009</v>
      </c>
      <c r="G160" s="327" t="s">
        <v>3010</v>
      </c>
      <c r="H160" s="328" t="s">
        <v>3011</v>
      </c>
    </row>
    <row r="161" customFormat="false" ht="39" hidden="false" customHeight="true" outlineLevel="0" collapsed="false">
      <c r="A161" s="323"/>
      <c r="B161" s="323"/>
      <c r="C161" s="323" t="s">
        <v>2635</v>
      </c>
      <c r="D161" s="324"/>
      <c r="E161" s="325" t="s">
        <v>4409</v>
      </c>
      <c r="F161" s="326" t="s">
        <v>3012</v>
      </c>
      <c r="G161" s="327" t="s">
        <v>3004</v>
      </c>
      <c r="H161" s="328" t="s">
        <v>3013</v>
      </c>
    </row>
    <row r="162" customFormat="false" ht="51.75" hidden="false" customHeight="true" outlineLevel="0" collapsed="false">
      <c r="A162" s="323"/>
      <c r="B162" s="323"/>
      <c r="C162" s="323" t="s">
        <v>2635</v>
      </c>
      <c r="D162" s="324"/>
      <c r="E162" s="325" t="s">
        <v>4409</v>
      </c>
      <c r="F162" s="326" t="s">
        <v>3014</v>
      </c>
      <c r="G162" s="327" t="s">
        <v>3015</v>
      </c>
      <c r="H162" s="328" t="s">
        <v>3016</v>
      </c>
    </row>
    <row r="163" customFormat="false" ht="51.75" hidden="false" customHeight="true" outlineLevel="0" collapsed="false">
      <c r="A163" s="323"/>
      <c r="B163" s="323"/>
      <c r="C163" s="323" t="s">
        <v>2635</v>
      </c>
      <c r="D163" s="324"/>
      <c r="E163" s="325" t="s">
        <v>4409</v>
      </c>
      <c r="F163" s="326" t="s">
        <v>3017</v>
      </c>
      <c r="G163" s="327" t="s">
        <v>3018</v>
      </c>
      <c r="H163" s="328" t="s">
        <v>3019</v>
      </c>
    </row>
    <row r="164" customFormat="false" ht="25.5" hidden="false" customHeight="true" outlineLevel="0" collapsed="false">
      <c r="A164" s="323"/>
      <c r="B164" s="323"/>
      <c r="C164" s="323" t="s">
        <v>2642</v>
      </c>
      <c r="D164" s="323" t="s">
        <v>947</v>
      </c>
      <c r="E164" s="332" t="s">
        <v>4431</v>
      </c>
      <c r="F164" s="323" t="s">
        <v>4432</v>
      </c>
      <c r="G164" s="323"/>
      <c r="H164" s="328" t="s">
        <v>3020</v>
      </c>
    </row>
    <row r="165" customFormat="false" ht="25.5" hidden="false" customHeight="true" outlineLevel="0" collapsed="false">
      <c r="A165" s="323"/>
      <c r="B165" s="323"/>
      <c r="C165" s="323" t="s">
        <v>2642</v>
      </c>
      <c r="D165" s="324"/>
      <c r="E165" s="329" t="s">
        <v>4411</v>
      </c>
      <c r="F165" s="323" t="s">
        <v>4459</v>
      </c>
      <c r="G165" s="323"/>
      <c r="H165" s="328"/>
    </row>
    <row r="166" customFormat="false" ht="78" hidden="false" customHeight="true" outlineLevel="0" collapsed="false">
      <c r="A166" s="321" t="n">
        <v>16</v>
      </c>
      <c r="B166" s="321" t="s">
        <v>962</v>
      </c>
      <c r="C166" s="321" t="s">
        <v>4460</v>
      </c>
      <c r="D166" s="321"/>
      <c r="E166" s="321"/>
      <c r="F166" s="321" t="s">
        <v>3055</v>
      </c>
      <c r="G166" s="321"/>
      <c r="H166" s="322" t="s">
        <v>4408</v>
      </c>
    </row>
    <row r="167" customFormat="false" ht="78" hidden="false" customHeight="true" outlineLevel="0" collapsed="false">
      <c r="A167" s="323"/>
      <c r="B167" s="323"/>
      <c r="C167" s="323" t="s">
        <v>711</v>
      </c>
      <c r="D167" s="330" t="s">
        <v>4461</v>
      </c>
      <c r="E167" s="331" t="s">
        <v>4440</v>
      </c>
      <c r="F167" s="326" t="s">
        <v>3024</v>
      </c>
      <c r="G167" s="323"/>
      <c r="H167" s="328" t="s">
        <v>3026</v>
      </c>
    </row>
    <row r="168" customFormat="false" ht="64.5" hidden="false" customHeight="true" outlineLevel="0" collapsed="false">
      <c r="A168" s="323"/>
      <c r="B168" s="323"/>
      <c r="C168" s="323" t="s">
        <v>711</v>
      </c>
      <c r="D168" s="324"/>
      <c r="E168" s="325" t="s">
        <v>4409</v>
      </c>
      <c r="F168" s="326" t="s">
        <v>3027</v>
      </c>
      <c r="G168" s="327" t="s">
        <v>3028</v>
      </c>
      <c r="H168" s="328" t="s">
        <v>3029</v>
      </c>
    </row>
    <row r="169" customFormat="false" ht="64.5" hidden="false" customHeight="true" outlineLevel="0" collapsed="false">
      <c r="A169" s="323"/>
      <c r="B169" s="323"/>
      <c r="C169" s="323" t="s">
        <v>711</v>
      </c>
      <c r="D169" s="324"/>
      <c r="E169" s="325" t="s">
        <v>4409</v>
      </c>
      <c r="F169" s="326" t="s">
        <v>3030</v>
      </c>
      <c r="G169" s="327" t="s">
        <v>3031</v>
      </c>
      <c r="H169" s="328" t="s">
        <v>3032</v>
      </c>
    </row>
    <row r="170" customFormat="false" ht="39" hidden="false" customHeight="true" outlineLevel="0" collapsed="false">
      <c r="A170" s="323"/>
      <c r="B170" s="323"/>
      <c r="C170" s="323" t="s">
        <v>712</v>
      </c>
      <c r="D170" s="330" t="s">
        <v>3033</v>
      </c>
      <c r="E170" s="331" t="s">
        <v>4440</v>
      </c>
      <c r="F170" s="326" t="s">
        <v>3034</v>
      </c>
      <c r="G170" s="323"/>
      <c r="H170" s="328" t="s">
        <v>3035</v>
      </c>
    </row>
    <row r="171" customFormat="false" ht="64.5" hidden="false" customHeight="true" outlineLevel="0" collapsed="false">
      <c r="A171" s="323"/>
      <c r="B171" s="323"/>
      <c r="C171" s="323" t="s">
        <v>712</v>
      </c>
      <c r="D171" s="324"/>
      <c r="E171" s="329" t="s">
        <v>4411</v>
      </c>
      <c r="F171" s="323" t="s">
        <v>4462</v>
      </c>
      <c r="G171" s="323"/>
      <c r="H171" s="328"/>
    </row>
    <row r="172" customFormat="false" ht="39" hidden="false" customHeight="true" outlineLevel="0" collapsed="false">
      <c r="A172" s="323"/>
      <c r="B172" s="323"/>
      <c r="C172" s="323" t="s">
        <v>2635</v>
      </c>
      <c r="D172" s="330" t="s">
        <v>4463</v>
      </c>
      <c r="E172" s="331" t="s">
        <v>4440</v>
      </c>
      <c r="F172" s="326" t="s">
        <v>3037</v>
      </c>
      <c r="G172" s="323"/>
      <c r="H172" s="328" t="s">
        <v>3038</v>
      </c>
    </row>
    <row r="173" customFormat="false" ht="51.75" hidden="false" customHeight="true" outlineLevel="0" collapsed="false">
      <c r="A173" s="323"/>
      <c r="B173" s="323"/>
      <c r="C173" s="323" t="s">
        <v>2635</v>
      </c>
      <c r="D173" s="323" t="s">
        <v>4464</v>
      </c>
      <c r="E173" s="332" t="s">
        <v>4431</v>
      </c>
      <c r="F173" s="323" t="s">
        <v>4432</v>
      </c>
      <c r="G173" s="323"/>
      <c r="H173" s="328" t="s">
        <v>3041</v>
      </c>
    </row>
    <row r="174" customFormat="false" ht="64.5" hidden="false" customHeight="true" outlineLevel="0" collapsed="false">
      <c r="A174" s="323"/>
      <c r="B174" s="323"/>
      <c r="C174" s="323" t="s">
        <v>2635</v>
      </c>
      <c r="D174" s="324"/>
      <c r="E174" s="325" t="s">
        <v>4409</v>
      </c>
      <c r="F174" s="326" t="s">
        <v>3042</v>
      </c>
      <c r="G174" s="327" t="s">
        <v>3043</v>
      </c>
      <c r="H174" s="328" t="s">
        <v>3044</v>
      </c>
    </row>
    <row r="175" customFormat="false" ht="39" hidden="false" customHeight="true" outlineLevel="0" collapsed="false">
      <c r="A175" s="323"/>
      <c r="B175" s="323"/>
      <c r="C175" s="323" t="s">
        <v>2642</v>
      </c>
      <c r="D175" s="330" t="s">
        <v>4465</v>
      </c>
      <c r="E175" s="331" t="s">
        <v>4445</v>
      </c>
      <c r="F175" s="326" t="s">
        <v>3046</v>
      </c>
      <c r="G175" s="323"/>
      <c r="H175" s="328" t="s">
        <v>3048</v>
      </c>
    </row>
    <row r="176" customFormat="false" ht="103.5" hidden="false" customHeight="true" outlineLevel="0" collapsed="false">
      <c r="A176" s="323"/>
      <c r="B176" s="323"/>
      <c r="C176" s="323" t="s">
        <v>2642</v>
      </c>
      <c r="D176" s="324"/>
      <c r="E176" s="325" t="s">
        <v>4409</v>
      </c>
      <c r="F176" s="326" t="s">
        <v>3049</v>
      </c>
      <c r="G176" s="327" t="s">
        <v>3050</v>
      </c>
      <c r="H176" s="328" t="s">
        <v>3051</v>
      </c>
    </row>
    <row r="177" customFormat="false" ht="51.75" hidden="false" customHeight="true" outlineLevel="0" collapsed="false">
      <c r="A177" s="323"/>
      <c r="B177" s="323"/>
      <c r="C177" s="323" t="s">
        <v>2642</v>
      </c>
      <c r="D177" s="324"/>
      <c r="E177" s="325" t="s">
        <v>4409</v>
      </c>
      <c r="F177" s="326" t="s">
        <v>3052</v>
      </c>
      <c r="G177" s="327" t="s">
        <v>3053</v>
      </c>
      <c r="H177" s="328" t="s">
        <v>3054</v>
      </c>
    </row>
    <row r="178" customFormat="false" ht="78" hidden="false" customHeight="true" outlineLevel="0" collapsed="false">
      <c r="A178" s="321" t="n">
        <v>17</v>
      </c>
      <c r="B178" s="321" t="s">
        <v>980</v>
      </c>
      <c r="C178" s="321" t="s">
        <v>4466</v>
      </c>
      <c r="D178" s="321"/>
      <c r="E178" s="321"/>
      <c r="F178" s="321" t="s">
        <v>3093</v>
      </c>
      <c r="G178" s="321"/>
      <c r="H178" s="322" t="s">
        <v>4419</v>
      </c>
    </row>
    <row r="179" customFormat="false" ht="64.5" hidden="false" customHeight="true" outlineLevel="0" collapsed="false">
      <c r="A179" s="323"/>
      <c r="B179" s="323"/>
      <c r="C179" s="323" t="s">
        <v>711</v>
      </c>
      <c r="D179" s="330" t="s">
        <v>4467</v>
      </c>
      <c r="E179" s="331" t="s">
        <v>4468</v>
      </c>
      <c r="F179" s="326" t="s">
        <v>3059</v>
      </c>
      <c r="G179" s="323"/>
      <c r="H179" s="328" t="s">
        <v>3061</v>
      </c>
    </row>
    <row r="180" customFormat="false" ht="51.75" hidden="false" customHeight="true" outlineLevel="0" collapsed="false">
      <c r="A180" s="323"/>
      <c r="B180" s="323"/>
      <c r="C180" s="323" t="s">
        <v>711</v>
      </c>
      <c r="D180" s="324"/>
      <c r="E180" s="325" t="s">
        <v>4409</v>
      </c>
      <c r="F180" s="326" t="s">
        <v>3062</v>
      </c>
      <c r="G180" s="327" t="s">
        <v>3063</v>
      </c>
      <c r="H180" s="328" t="s">
        <v>3064</v>
      </c>
    </row>
    <row r="181" customFormat="false" ht="103.5" hidden="false" customHeight="true" outlineLevel="0" collapsed="false">
      <c r="A181" s="323"/>
      <c r="B181" s="323"/>
      <c r="C181" s="323" t="s">
        <v>711</v>
      </c>
      <c r="D181" s="324"/>
      <c r="E181" s="325" t="s">
        <v>4409</v>
      </c>
      <c r="F181" s="326" t="s">
        <v>3065</v>
      </c>
      <c r="G181" s="327" t="s">
        <v>3066</v>
      </c>
      <c r="H181" s="328" t="s">
        <v>3067</v>
      </c>
    </row>
    <row r="182" customFormat="false" ht="25.5" hidden="false" customHeight="true" outlineLevel="0" collapsed="false">
      <c r="A182" s="323"/>
      <c r="B182" s="323"/>
      <c r="C182" s="323" t="s">
        <v>712</v>
      </c>
      <c r="D182" s="330" t="s">
        <v>4469</v>
      </c>
      <c r="E182" s="331" t="s">
        <v>4450</v>
      </c>
      <c r="F182" s="326" t="s">
        <v>3069</v>
      </c>
      <c r="G182" s="323"/>
      <c r="H182" s="328" t="s">
        <v>3070</v>
      </c>
    </row>
    <row r="183" customFormat="false" ht="25.5" hidden="false" customHeight="true" outlineLevel="0" collapsed="false">
      <c r="A183" s="323"/>
      <c r="B183" s="323"/>
      <c r="C183" s="323" t="s">
        <v>712</v>
      </c>
      <c r="D183" s="323" t="s">
        <v>4470</v>
      </c>
      <c r="E183" s="332" t="s">
        <v>4431</v>
      </c>
      <c r="F183" s="323" t="s">
        <v>4432</v>
      </c>
      <c r="G183" s="323"/>
      <c r="H183" s="328" t="s">
        <v>3072</v>
      </c>
    </row>
    <row r="184" customFormat="false" ht="78" hidden="false" customHeight="true" outlineLevel="0" collapsed="false">
      <c r="A184" s="323"/>
      <c r="B184" s="323"/>
      <c r="C184" s="323" t="s">
        <v>712</v>
      </c>
      <c r="D184" s="324"/>
      <c r="E184" s="325" t="s">
        <v>4409</v>
      </c>
      <c r="F184" s="326" t="s">
        <v>3073</v>
      </c>
      <c r="G184" s="327" t="s">
        <v>3074</v>
      </c>
      <c r="H184" s="328" t="s">
        <v>3075</v>
      </c>
    </row>
    <row r="185" customFormat="false" ht="39" hidden="false" customHeight="true" outlineLevel="0" collapsed="false">
      <c r="A185" s="323"/>
      <c r="B185" s="323"/>
      <c r="C185" s="323" t="s">
        <v>2635</v>
      </c>
      <c r="D185" s="330" t="s">
        <v>4471</v>
      </c>
      <c r="E185" s="331" t="s">
        <v>4468</v>
      </c>
      <c r="F185" s="326" t="s">
        <v>3077</v>
      </c>
      <c r="G185" s="323"/>
      <c r="H185" s="328" t="s">
        <v>3078</v>
      </c>
    </row>
    <row r="186" customFormat="false" ht="78" hidden="false" customHeight="true" outlineLevel="0" collapsed="false">
      <c r="A186" s="323"/>
      <c r="B186" s="323"/>
      <c r="C186" s="323" t="s">
        <v>2635</v>
      </c>
      <c r="D186" s="323" t="s">
        <v>4472</v>
      </c>
      <c r="E186" s="332" t="s">
        <v>4431</v>
      </c>
      <c r="F186" s="323" t="s">
        <v>4432</v>
      </c>
      <c r="G186" s="323"/>
      <c r="H186" s="328" t="s">
        <v>3080</v>
      </c>
    </row>
    <row r="187" customFormat="false" ht="39" hidden="false" customHeight="true" outlineLevel="0" collapsed="false">
      <c r="A187" s="323"/>
      <c r="B187" s="323"/>
      <c r="C187" s="323" t="s">
        <v>2635</v>
      </c>
      <c r="D187" s="330" t="s">
        <v>4473</v>
      </c>
      <c r="E187" s="331" t="s">
        <v>4468</v>
      </c>
      <c r="F187" s="326" t="s">
        <v>3082</v>
      </c>
      <c r="G187" s="323"/>
      <c r="H187" s="328" t="s">
        <v>3083</v>
      </c>
    </row>
    <row r="188" customFormat="false" ht="117" hidden="false" customHeight="true" outlineLevel="0" collapsed="false">
      <c r="A188" s="323"/>
      <c r="B188" s="323"/>
      <c r="C188" s="323" t="s">
        <v>2635</v>
      </c>
      <c r="D188" s="324"/>
      <c r="E188" s="325" t="s">
        <v>4409</v>
      </c>
      <c r="F188" s="326" t="s">
        <v>3084</v>
      </c>
      <c r="G188" s="327" t="s">
        <v>3085</v>
      </c>
      <c r="H188" s="328" t="s">
        <v>3086</v>
      </c>
    </row>
    <row r="189" customFormat="false" ht="39" hidden="false" customHeight="true" outlineLevel="0" collapsed="false">
      <c r="A189" s="323"/>
      <c r="B189" s="323"/>
      <c r="C189" s="323" t="s">
        <v>2642</v>
      </c>
      <c r="D189" s="330" t="s">
        <v>4474</v>
      </c>
      <c r="E189" s="331" t="s">
        <v>4445</v>
      </c>
      <c r="F189" s="326" t="s">
        <v>3088</v>
      </c>
      <c r="G189" s="323"/>
      <c r="H189" s="328" t="s">
        <v>3089</v>
      </c>
    </row>
    <row r="190" customFormat="false" ht="39" hidden="false" customHeight="true" outlineLevel="0" collapsed="false">
      <c r="A190" s="323"/>
      <c r="B190" s="323"/>
      <c r="C190" s="323" t="s">
        <v>2642</v>
      </c>
      <c r="D190" s="324"/>
      <c r="E190" s="325" t="s">
        <v>4409</v>
      </c>
      <c r="F190" s="326" t="s">
        <v>3090</v>
      </c>
      <c r="G190" s="327" t="s">
        <v>3091</v>
      </c>
      <c r="H190" s="328" t="s">
        <v>3092</v>
      </c>
    </row>
    <row r="191" customFormat="false" ht="64.5" hidden="false" customHeight="true" outlineLevel="0" collapsed="false">
      <c r="A191" s="321" t="n">
        <v>18</v>
      </c>
      <c r="B191" s="321" t="s">
        <v>996</v>
      </c>
      <c r="C191" s="321" t="s">
        <v>4475</v>
      </c>
      <c r="D191" s="321"/>
      <c r="E191" s="321"/>
      <c r="F191" s="321" t="s">
        <v>3126</v>
      </c>
      <c r="G191" s="321"/>
      <c r="H191" s="322" t="s">
        <v>4408</v>
      </c>
    </row>
    <row r="192" customFormat="false" ht="117" hidden="false" customHeight="true" outlineLevel="0" collapsed="false">
      <c r="A192" s="323"/>
      <c r="B192" s="323"/>
      <c r="C192" s="323" t="s">
        <v>711</v>
      </c>
      <c r="D192" s="323" t="s">
        <v>4476</v>
      </c>
      <c r="E192" s="332" t="s">
        <v>4431</v>
      </c>
      <c r="F192" s="323" t="s">
        <v>4432</v>
      </c>
      <c r="G192" s="323"/>
      <c r="H192" s="328" t="s">
        <v>3097</v>
      </c>
    </row>
    <row r="193" customFormat="false" ht="25.5" hidden="false" customHeight="true" outlineLevel="0" collapsed="false">
      <c r="A193" s="323"/>
      <c r="B193" s="323"/>
      <c r="C193" s="323" t="s">
        <v>711</v>
      </c>
      <c r="D193" s="330" t="s">
        <v>4477</v>
      </c>
      <c r="E193" s="331" t="s">
        <v>4440</v>
      </c>
      <c r="F193" s="326" t="s">
        <v>3099</v>
      </c>
      <c r="G193" s="323"/>
      <c r="H193" s="328" t="s">
        <v>3101</v>
      </c>
    </row>
    <row r="194" customFormat="false" ht="25.5" hidden="false" customHeight="true" outlineLevel="0" collapsed="false">
      <c r="A194" s="323"/>
      <c r="B194" s="323"/>
      <c r="C194" s="323" t="s">
        <v>711</v>
      </c>
      <c r="D194" s="330" t="s">
        <v>4478</v>
      </c>
      <c r="E194" s="331" t="s">
        <v>4440</v>
      </c>
      <c r="F194" s="326" t="s">
        <v>3103</v>
      </c>
      <c r="G194" s="323"/>
      <c r="H194" s="328" t="s">
        <v>3104</v>
      </c>
    </row>
    <row r="195" customFormat="false" ht="117" hidden="false" customHeight="true" outlineLevel="0" collapsed="false">
      <c r="A195" s="323"/>
      <c r="B195" s="323"/>
      <c r="C195" s="323" t="s">
        <v>711</v>
      </c>
      <c r="D195" s="324"/>
      <c r="E195" s="325" t="s">
        <v>4409</v>
      </c>
      <c r="F195" s="326" t="s">
        <v>3105</v>
      </c>
      <c r="G195" s="327" t="s">
        <v>3106</v>
      </c>
      <c r="H195" s="328" t="s">
        <v>3107</v>
      </c>
    </row>
    <row r="196" customFormat="false" ht="103.5" hidden="false" customHeight="true" outlineLevel="0" collapsed="false">
      <c r="A196" s="323"/>
      <c r="B196" s="323"/>
      <c r="C196" s="323" t="s">
        <v>711</v>
      </c>
      <c r="D196" s="324"/>
      <c r="E196" s="325" t="s">
        <v>4409</v>
      </c>
      <c r="F196" s="326" t="s">
        <v>3108</v>
      </c>
      <c r="G196" s="327" t="s">
        <v>3109</v>
      </c>
      <c r="H196" s="328" t="s">
        <v>3110</v>
      </c>
    </row>
    <row r="197" customFormat="false" ht="51.75" hidden="false" customHeight="true" outlineLevel="0" collapsed="false">
      <c r="A197" s="323"/>
      <c r="B197" s="323"/>
      <c r="C197" s="323" t="s">
        <v>712</v>
      </c>
      <c r="D197" s="330" t="s">
        <v>4479</v>
      </c>
      <c r="E197" s="331" t="s">
        <v>4440</v>
      </c>
      <c r="F197" s="326" t="s">
        <v>3112</v>
      </c>
      <c r="G197" s="323"/>
      <c r="H197" s="328" t="s">
        <v>3113</v>
      </c>
    </row>
    <row r="198" customFormat="false" ht="64.5" hidden="false" customHeight="true" outlineLevel="0" collapsed="false">
      <c r="A198" s="323"/>
      <c r="B198" s="323"/>
      <c r="C198" s="323" t="s">
        <v>712</v>
      </c>
      <c r="D198" s="324"/>
      <c r="E198" s="325" t="s">
        <v>4409</v>
      </c>
      <c r="F198" s="326" t="s">
        <v>3114</v>
      </c>
      <c r="G198" s="327" t="s">
        <v>3115</v>
      </c>
      <c r="H198" s="328" t="s">
        <v>3116</v>
      </c>
    </row>
    <row r="199" customFormat="false" ht="39" hidden="false" customHeight="true" outlineLevel="0" collapsed="false">
      <c r="A199" s="323"/>
      <c r="B199" s="323"/>
      <c r="C199" s="323" t="s">
        <v>2635</v>
      </c>
      <c r="D199" s="330" t="s">
        <v>4480</v>
      </c>
      <c r="E199" s="331" t="s">
        <v>4481</v>
      </c>
      <c r="F199" s="326" t="s">
        <v>3118</v>
      </c>
      <c r="G199" s="323"/>
      <c r="H199" s="328" t="s">
        <v>3119</v>
      </c>
    </row>
    <row r="200" customFormat="false" ht="78" hidden="false" customHeight="true" outlineLevel="0" collapsed="false">
      <c r="A200" s="323"/>
      <c r="B200" s="323"/>
      <c r="C200" s="323" t="s">
        <v>2635</v>
      </c>
      <c r="D200" s="324"/>
      <c r="E200" s="325" t="s">
        <v>4409</v>
      </c>
      <c r="F200" s="326" t="s">
        <v>3120</v>
      </c>
      <c r="G200" s="327" t="s">
        <v>3121</v>
      </c>
      <c r="H200" s="328" t="s">
        <v>3122</v>
      </c>
    </row>
    <row r="201" customFormat="false" ht="39" hidden="false" customHeight="true" outlineLevel="0" collapsed="false">
      <c r="A201" s="323"/>
      <c r="B201" s="323"/>
      <c r="C201" s="323" t="s">
        <v>2642</v>
      </c>
      <c r="D201" s="330" t="s">
        <v>4482</v>
      </c>
      <c r="E201" s="331" t="s">
        <v>4440</v>
      </c>
      <c r="F201" s="326" t="s">
        <v>3124</v>
      </c>
      <c r="G201" s="323"/>
      <c r="H201" s="328" t="s">
        <v>3125</v>
      </c>
    </row>
    <row r="202" customFormat="false" ht="39" hidden="false" customHeight="true" outlineLevel="0" collapsed="false">
      <c r="A202" s="323"/>
      <c r="B202" s="323"/>
      <c r="C202" s="323" t="s">
        <v>2642</v>
      </c>
      <c r="D202" s="324"/>
      <c r="E202" s="329" t="s">
        <v>4411</v>
      </c>
      <c r="F202" s="323" t="s">
        <v>4483</v>
      </c>
      <c r="G202" s="323"/>
      <c r="H202" s="328"/>
    </row>
    <row r="203" customFormat="false" ht="64.5" hidden="false" customHeight="true" outlineLevel="0" collapsed="false">
      <c r="A203" s="321" t="n">
        <v>19</v>
      </c>
      <c r="B203" s="321" t="s">
        <v>1012</v>
      </c>
      <c r="C203" s="321" t="s">
        <v>4484</v>
      </c>
      <c r="D203" s="321"/>
      <c r="E203" s="321"/>
      <c r="F203" s="321" t="s">
        <v>3147</v>
      </c>
      <c r="G203" s="321"/>
      <c r="H203" s="322" t="s">
        <v>4408</v>
      </c>
    </row>
    <row r="204" customFormat="false" ht="39" hidden="false" customHeight="true" outlineLevel="0" collapsed="false">
      <c r="A204" s="323"/>
      <c r="B204" s="323"/>
      <c r="C204" s="323" t="s">
        <v>711</v>
      </c>
      <c r="D204" s="330" t="s">
        <v>3128</v>
      </c>
      <c r="E204" s="331" t="s">
        <v>4468</v>
      </c>
      <c r="F204" s="326" t="s">
        <v>3129</v>
      </c>
      <c r="G204" s="323"/>
      <c r="H204" s="328" t="s">
        <v>3131</v>
      </c>
    </row>
    <row r="205" customFormat="false" ht="64.5" hidden="false" customHeight="true" outlineLevel="0" collapsed="false">
      <c r="A205" s="323"/>
      <c r="B205" s="323"/>
      <c r="C205" s="323" t="s">
        <v>711</v>
      </c>
      <c r="D205" s="324"/>
      <c r="E205" s="325" t="s">
        <v>4409</v>
      </c>
      <c r="F205" s="326" t="s">
        <v>3132</v>
      </c>
      <c r="G205" s="327" t="s">
        <v>3133</v>
      </c>
      <c r="H205" s="328" t="s">
        <v>3134</v>
      </c>
    </row>
    <row r="206" customFormat="false" ht="25.5" hidden="false" customHeight="true" outlineLevel="0" collapsed="false">
      <c r="A206" s="323"/>
      <c r="B206" s="323"/>
      <c r="C206" s="323" t="s">
        <v>712</v>
      </c>
      <c r="D206" s="323" t="s">
        <v>4485</v>
      </c>
      <c r="E206" s="332" t="s">
        <v>4431</v>
      </c>
      <c r="F206" s="323" t="s">
        <v>4432</v>
      </c>
      <c r="G206" s="323"/>
      <c r="H206" s="328" t="s">
        <v>3135</v>
      </c>
    </row>
    <row r="207" customFormat="false" ht="39" hidden="false" customHeight="true" outlineLevel="0" collapsed="false">
      <c r="A207" s="323"/>
      <c r="B207" s="323"/>
      <c r="C207" s="323" t="s">
        <v>712</v>
      </c>
      <c r="D207" s="324"/>
      <c r="E207" s="329" t="s">
        <v>4411</v>
      </c>
      <c r="F207" s="323" t="s">
        <v>4486</v>
      </c>
      <c r="G207" s="323"/>
      <c r="H207" s="328"/>
    </row>
    <row r="208" customFormat="false" ht="64.5" hidden="false" customHeight="true" outlineLevel="0" collapsed="false">
      <c r="A208" s="323"/>
      <c r="B208" s="323"/>
      <c r="C208" s="323" t="s">
        <v>2635</v>
      </c>
      <c r="D208" s="330" t="s">
        <v>4487</v>
      </c>
      <c r="E208" s="331" t="s">
        <v>4440</v>
      </c>
      <c r="F208" s="326" t="s">
        <v>3137</v>
      </c>
      <c r="G208" s="323"/>
      <c r="H208" s="328" t="s">
        <v>3139</v>
      </c>
    </row>
    <row r="209" customFormat="false" ht="51.75" hidden="false" customHeight="true" outlineLevel="0" collapsed="false">
      <c r="A209" s="323"/>
      <c r="B209" s="323"/>
      <c r="C209" s="323" t="s">
        <v>2635</v>
      </c>
      <c r="D209" s="324"/>
      <c r="E209" s="325" t="s">
        <v>4409</v>
      </c>
      <c r="F209" s="326" t="s">
        <v>3140</v>
      </c>
      <c r="G209" s="327" t="s">
        <v>3141</v>
      </c>
      <c r="H209" s="328" t="s">
        <v>3142</v>
      </c>
    </row>
    <row r="210" customFormat="false" ht="39" hidden="false" customHeight="true" outlineLevel="0" collapsed="false">
      <c r="A210" s="323"/>
      <c r="B210" s="323"/>
      <c r="C210" s="323" t="s">
        <v>2642</v>
      </c>
      <c r="D210" s="330" t="s">
        <v>4488</v>
      </c>
      <c r="E210" s="331" t="s">
        <v>4440</v>
      </c>
      <c r="F210" s="326" t="s">
        <v>3144</v>
      </c>
      <c r="G210" s="323"/>
      <c r="H210" s="328" t="s">
        <v>3145</v>
      </c>
    </row>
    <row r="211" customFormat="false" ht="15" hidden="false" customHeight="true" outlineLevel="0" collapsed="false">
      <c r="A211" s="323"/>
      <c r="B211" s="323"/>
      <c r="C211" s="323" t="s">
        <v>2642</v>
      </c>
      <c r="D211" s="324"/>
      <c r="E211" s="329" t="s">
        <v>4411</v>
      </c>
      <c r="F211" s="323" t="s">
        <v>4304</v>
      </c>
      <c r="G211" s="323"/>
      <c r="H211" s="328"/>
    </row>
    <row r="212" customFormat="false" ht="64.5" hidden="false" customHeight="true" outlineLevel="0" collapsed="false">
      <c r="A212" s="321" t="n">
        <v>20</v>
      </c>
      <c r="B212" s="321" t="s">
        <v>1031</v>
      </c>
      <c r="C212" s="321" t="s">
        <v>4489</v>
      </c>
      <c r="D212" s="321"/>
      <c r="E212" s="321"/>
      <c r="F212" s="321" t="s">
        <v>3176</v>
      </c>
      <c r="G212" s="321"/>
      <c r="H212" s="322" t="s">
        <v>4423</v>
      </c>
    </row>
    <row r="213" customFormat="false" ht="51.75" hidden="false" customHeight="true" outlineLevel="0" collapsed="false">
      <c r="A213" s="323"/>
      <c r="B213" s="323"/>
      <c r="C213" s="323" t="s">
        <v>711</v>
      </c>
      <c r="D213" s="323" t="s">
        <v>4490</v>
      </c>
      <c r="E213" s="332" t="s">
        <v>4431</v>
      </c>
      <c r="F213" s="323" t="s">
        <v>4432</v>
      </c>
      <c r="G213" s="323"/>
      <c r="H213" s="328" t="s">
        <v>3150</v>
      </c>
    </row>
    <row r="214" customFormat="false" ht="64.5" hidden="false" customHeight="true" outlineLevel="0" collapsed="false">
      <c r="A214" s="323"/>
      <c r="B214" s="323"/>
      <c r="C214" s="323" t="s">
        <v>711</v>
      </c>
      <c r="D214" s="324"/>
      <c r="E214" s="325" t="s">
        <v>4409</v>
      </c>
      <c r="F214" s="326" t="s">
        <v>3153</v>
      </c>
      <c r="G214" s="327" t="s">
        <v>3154</v>
      </c>
      <c r="H214" s="328" t="s">
        <v>3155</v>
      </c>
    </row>
    <row r="215" customFormat="false" ht="51.75" hidden="false" customHeight="true" outlineLevel="0" collapsed="false">
      <c r="A215" s="323"/>
      <c r="B215" s="323"/>
      <c r="C215" s="323" t="s">
        <v>711</v>
      </c>
      <c r="D215" s="324"/>
      <c r="E215" s="325" t="s">
        <v>4409</v>
      </c>
      <c r="F215" s="326" t="s">
        <v>3156</v>
      </c>
      <c r="G215" s="327" t="s">
        <v>3157</v>
      </c>
      <c r="H215" s="328" t="s">
        <v>3158</v>
      </c>
    </row>
    <row r="216" customFormat="false" ht="51.75" hidden="false" customHeight="true" outlineLevel="0" collapsed="false">
      <c r="A216" s="323"/>
      <c r="B216" s="323"/>
      <c r="C216" s="323" t="s">
        <v>711</v>
      </c>
      <c r="D216" s="324"/>
      <c r="E216" s="325" t="s">
        <v>4409</v>
      </c>
      <c r="F216" s="326" t="s">
        <v>3159</v>
      </c>
      <c r="G216" s="327" t="s">
        <v>3160</v>
      </c>
      <c r="H216" s="328" t="s">
        <v>3161</v>
      </c>
    </row>
    <row r="217" customFormat="false" ht="51.75" hidden="false" customHeight="true" outlineLevel="0" collapsed="false">
      <c r="A217" s="323"/>
      <c r="B217" s="323"/>
      <c r="C217" s="323" t="s">
        <v>712</v>
      </c>
      <c r="D217" s="323" t="s">
        <v>4491</v>
      </c>
      <c r="E217" s="332" t="s">
        <v>4431</v>
      </c>
      <c r="F217" s="323" t="s">
        <v>4432</v>
      </c>
      <c r="G217" s="323"/>
      <c r="H217" s="328" t="s">
        <v>3164</v>
      </c>
    </row>
    <row r="218" customFormat="false" ht="51.75" hidden="false" customHeight="true" outlineLevel="0" collapsed="false">
      <c r="A218" s="323"/>
      <c r="B218" s="323"/>
      <c r="C218" s="323" t="s">
        <v>712</v>
      </c>
      <c r="D218" s="324"/>
      <c r="E218" s="325" t="s">
        <v>4409</v>
      </c>
      <c r="F218" s="326" t="s">
        <v>3165</v>
      </c>
      <c r="G218" s="327" t="s">
        <v>3157</v>
      </c>
      <c r="H218" s="328" t="s">
        <v>3166</v>
      </c>
    </row>
    <row r="219" customFormat="false" ht="39" hidden="false" customHeight="true" outlineLevel="0" collapsed="false">
      <c r="A219" s="323"/>
      <c r="B219" s="323"/>
      <c r="C219" s="323" t="s">
        <v>2635</v>
      </c>
      <c r="D219" s="323" t="s">
        <v>4492</v>
      </c>
      <c r="E219" s="332" t="s">
        <v>4431</v>
      </c>
      <c r="F219" s="323" t="s">
        <v>4432</v>
      </c>
      <c r="G219" s="323"/>
      <c r="H219" s="328" t="s">
        <v>3168</v>
      </c>
    </row>
    <row r="220" customFormat="false" ht="39" hidden="false" customHeight="true" outlineLevel="0" collapsed="false">
      <c r="A220" s="323"/>
      <c r="B220" s="323"/>
      <c r="C220" s="323" t="s">
        <v>2635</v>
      </c>
      <c r="D220" s="323" t="s">
        <v>4493</v>
      </c>
      <c r="E220" s="332" t="s">
        <v>4431</v>
      </c>
      <c r="F220" s="323" t="s">
        <v>4432</v>
      </c>
      <c r="G220" s="323"/>
      <c r="H220" s="328" t="s">
        <v>3172</v>
      </c>
    </row>
    <row r="221" customFormat="false" ht="51.75" hidden="false" customHeight="true" outlineLevel="0" collapsed="false">
      <c r="A221" s="323"/>
      <c r="B221" s="323"/>
      <c r="C221" s="323" t="s">
        <v>2635</v>
      </c>
      <c r="D221" s="324"/>
      <c r="E221" s="325" t="s">
        <v>4409</v>
      </c>
      <c r="F221" s="326" t="s">
        <v>3173</v>
      </c>
      <c r="G221" s="327" t="s">
        <v>3174</v>
      </c>
      <c r="H221" s="328" t="s">
        <v>3175</v>
      </c>
    </row>
    <row r="222" customFormat="false" ht="25.5" hidden="false" customHeight="true" outlineLevel="0" collapsed="false">
      <c r="A222" s="323"/>
      <c r="B222" s="323"/>
      <c r="C222" s="323" t="s">
        <v>2642</v>
      </c>
      <c r="D222" s="323" t="s">
        <v>4494</v>
      </c>
      <c r="E222" s="332" t="s">
        <v>4431</v>
      </c>
      <c r="F222" s="323" t="s">
        <v>4432</v>
      </c>
      <c r="G222" s="323"/>
      <c r="H222" s="328" t="s">
        <v>3135</v>
      </c>
    </row>
    <row r="223" customFormat="false" ht="39" hidden="false" customHeight="true" outlineLevel="0" collapsed="false">
      <c r="A223" s="323"/>
      <c r="B223" s="323"/>
      <c r="C223" s="323" t="s">
        <v>2642</v>
      </c>
      <c r="D223" s="324"/>
      <c r="E223" s="329" t="s">
        <v>4411</v>
      </c>
      <c r="F223" s="323" t="s">
        <v>4495</v>
      </c>
      <c r="G223" s="323"/>
      <c r="H223" s="328"/>
    </row>
    <row r="224" customFormat="false" ht="78" hidden="false" customHeight="true" outlineLevel="0" collapsed="false">
      <c r="A224" s="321" t="n">
        <v>21</v>
      </c>
      <c r="B224" s="321" t="s">
        <v>1047</v>
      </c>
      <c r="C224" s="321" t="s">
        <v>4496</v>
      </c>
      <c r="D224" s="321"/>
      <c r="E224" s="321"/>
      <c r="F224" s="321" t="s">
        <v>3211</v>
      </c>
      <c r="G224" s="321"/>
      <c r="H224" s="322" t="s">
        <v>4408</v>
      </c>
    </row>
    <row r="225" customFormat="false" ht="39" hidden="false" customHeight="true" outlineLevel="0" collapsed="false">
      <c r="A225" s="323"/>
      <c r="B225" s="323"/>
      <c r="C225" s="323" t="s">
        <v>711</v>
      </c>
      <c r="D225" s="330" t="s">
        <v>4497</v>
      </c>
      <c r="E225" s="331" t="s">
        <v>4440</v>
      </c>
      <c r="F225" s="326" t="s">
        <v>3179</v>
      </c>
      <c r="G225" s="323"/>
      <c r="H225" s="328" t="s">
        <v>3181</v>
      </c>
    </row>
    <row r="226" customFormat="false" ht="51.75" hidden="false" customHeight="true" outlineLevel="0" collapsed="false">
      <c r="A226" s="323"/>
      <c r="B226" s="323"/>
      <c r="C226" s="323" t="s">
        <v>711</v>
      </c>
      <c r="D226" s="330" t="s">
        <v>4498</v>
      </c>
      <c r="E226" s="331" t="s">
        <v>4440</v>
      </c>
      <c r="F226" s="326" t="s">
        <v>3183</v>
      </c>
      <c r="G226" s="323"/>
      <c r="H226" s="328" t="s">
        <v>3185</v>
      </c>
    </row>
    <row r="227" customFormat="false" ht="64.5" hidden="false" customHeight="true" outlineLevel="0" collapsed="false">
      <c r="A227" s="323"/>
      <c r="B227" s="323"/>
      <c r="C227" s="323" t="s">
        <v>711</v>
      </c>
      <c r="D227" s="324"/>
      <c r="E227" s="325" t="s">
        <v>4409</v>
      </c>
      <c r="F227" s="326" t="s">
        <v>3186</v>
      </c>
      <c r="G227" s="327" t="s">
        <v>3187</v>
      </c>
      <c r="H227" s="328" t="s">
        <v>3188</v>
      </c>
    </row>
    <row r="228" customFormat="false" ht="25.5" hidden="false" customHeight="true" outlineLevel="0" collapsed="false">
      <c r="A228" s="323"/>
      <c r="B228" s="323"/>
      <c r="C228" s="323" t="s">
        <v>712</v>
      </c>
      <c r="D228" s="330" t="s">
        <v>3189</v>
      </c>
      <c r="E228" s="331" t="s">
        <v>4445</v>
      </c>
      <c r="F228" s="326" t="s">
        <v>3190</v>
      </c>
      <c r="G228" s="323"/>
      <c r="H228" s="328" t="s">
        <v>3192</v>
      </c>
    </row>
    <row r="229" customFormat="false" ht="90.75" hidden="false" customHeight="true" outlineLevel="0" collapsed="false">
      <c r="A229" s="323"/>
      <c r="B229" s="323"/>
      <c r="C229" s="323" t="s">
        <v>712</v>
      </c>
      <c r="D229" s="324"/>
      <c r="E229" s="325" t="s">
        <v>4409</v>
      </c>
      <c r="F229" s="326" t="s">
        <v>3193</v>
      </c>
      <c r="G229" s="327" t="s">
        <v>3187</v>
      </c>
      <c r="H229" s="328" t="s">
        <v>3194</v>
      </c>
    </row>
    <row r="230" customFormat="false" ht="25.5" hidden="false" customHeight="true" outlineLevel="0" collapsed="false">
      <c r="A230" s="323"/>
      <c r="B230" s="323"/>
      <c r="C230" s="323" t="s">
        <v>2635</v>
      </c>
      <c r="D230" s="330" t="s">
        <v>4499</v>
      </c>
      <c r="E230" s="331" t="s">
        <v>4440</v>
      </c>
      <c r="F230" s="326" t="s">
        <v>3196</v>
      </c>
      <c r="G230" s="323"/>
      <c r="H230" s="328" t="s">
        <v>3197</v>
      </c>
    </row>
    <row r="231" customFormat="false" ht="25.5" hidden="false" customHeight="true" outlineLevel="0" collapsed="false">
      <c r="A231" s="323"/>
      <c r="B231" s="323"/>
      <c r="C231" s="323" t="s">
        <v>2635</v>
      </c>
      <c r="D231" s="330" t="s">
        <v>4500</v>
      </c>
      <c r="E231" s="331" t="s">
        <v>4440</v>
      </c>
      <c r="F231" s="326" t="s">
        <v>3199</v>
      </c>
      <c r="G231" s="323"/>
      <c r="H231" s="328" t="s">
        <v>3197</v>
      </c>
    </row>
    <row r="232" customFormat="false" ht="103.5" hidden="false" customHeight="true" outlineLevel="0" collapsed="false">
      <c r="A232" s="323"/>
      <c r="B232" s="323"/>
      <c r="C232" s="323" t="s">
        <v>2635</v>
      </c>
      <c r="D232" s="324"/>
      <c r="E232" s="325" t="s">
        <v>4409</v>
      </c>
      <c r="F232" s="326" t="s">
        <v>3201</v>
      </c>
      <c r="G232" s="327" t="s">
        <v>3202</v>
      </c>
      <c r="H232" s="328" t="s">
        <v>3203</v>
      </c>
    </row>
    <row r="233" customFormat="false" ht="39" hidden="false" customHeight="true" outlineLevel="0" collapsed="false">
      <c r="A233" s="323"/>
      <c r="B233" s="323"/>
      <c r="C233" s="323" t="s">
        <v>2642</v>
      </c>
      <c r="D233" s="330" t="s">
        <v>4501</v>
      </c>
      <c r="E233" s="331" t="s">
        <v>4445</v>
      </c>
      <c r="F233" s="326" t="s">
        <v>3205</v>
      </c>
      <c r="G233" s="323"/>
      <c r="H233" s="328" t="s">
        <v>3207</v>
      </c>
    </row>
    <row r="234" customFormat="false" ht="90.75" hidden="false" customHeight="true" outlineLevel="0" collapsed="false">
      <c r="A234" s="323"/>
      <c r="B234" s="323"/>
      <c r="C234" s="323" t="s">
        <v>2642</v>
      </c>
      <c r="D234" s="324"/>
      <c r="E234" s="325" t="s">
        <v>4409</v>
      </c>
      <c r="F234" s="326" t="s">
        <v>3208</v>
      </c>
      <c r="G234" s="327" t="s">
        <v>3209</v>
      </c>
      <c r="H234" s="328" t="s">
        <v>3210</v>
      </c>
    </row>
    <row r="235" customFormat="false" ht="78" hidden="false" customHeight="true" outlineLevel="0" collapsed="false">
      <c r="A235" s="321" t="n">
        <v>22</v>
      </c>
      <c r="B235" s="321" t="s">
        <v>2499</v>
      </c>
      <c r="C235" s="321" t="s">
        <v>4502</v>
      </c>
      <c r="D235" s="321"/>
      <c r="E235" s="321"/>
      <c r="F235" s="321" t="s">
        <v>3255</v>
      </c>
      <c r="G235" s="321"/>
      <c r="H235" s="322" t="s">
        <v>4408</v>
      </c>
    </row>
    <row r="236" customFormat="false" ht="64.5" hidden="false" customHeight="true" outlineLevel="0" collapsed="false">
      <c r="A236" s="323"/>
      <c r="B236" s="323"/>
      <c r="C236" s="323" t="s">
        <v>711</v>
      </c>
      <c r="D236" s="323" t="s">
        <v>4503</v>
      </c>
      <c r="E236" s="332" t="s">
        <v>4431</v>
      </c>
      <c r="F236" s="323" t="s">
        <v>4432</v>
      </c>
      <c r="G236" s="323"/>
      <c r="H236" s="328" t="s">
        <v>3215</v>
      </c>
    </row>
    <row r="237" customFormat="false" ht="39" hidden="false" customHeight="true" outlineLevel="0" collapsed="false">
      <c r="A237" s="323"/>
      <c r="B237" s="323"/>
      <c r="C237" s="323" t="s">
        <v>711</v>
      </c>
      <c r="D237" s="330" t="s">
        <v>4504</v>
      </c>
      <c r="E237" s="331" t="s">
        <v>4440</v>
      </c>
      <c r="F237" s="326" t="s">
        <v>3217</v>
      </c>
      <c r="G237" s="323"/>
      <c r="H237" s="328" t="s">
        <v>3219</v>
      </c>
    </row>
    <row r="238" customFormat="false" ht="64.5" hidden="false" customHeight="true" outlineLevel="0" collapsed="false">
      <c r="A238" s="323"/>
      <c r="B238" s="323"/>
      <c r="C238" s="323" t="s">
        <v>711</v>
      </c>
      <c r="D238" s="324"/>
      <c r="E238" s="325" t="s">
        <v>4409</v>
      </c>
      <c r="F238" s="326" t="s">
        <v>3220</v>
      </c>
      <c r="G238" s="327" t="s">
        <v>3221</v>
      </c>
      <c r="H238" s="328" t="s">
        <v>3222</v>
      </c>
    </row>
    <row r="239" customFormat="false" ht="142.5" hidden="false" customHeight="true" outlineLevel="0" collapsed="false">
      <c r="A239" s="323"/>
      <c r="B239" s="323"/>
      <c r="C239" s="323" t="s">
        <v>711</v>
      </c>
      <c r="D239" s="324"/>
      <c r="E239" s="325" t="s">
        <v>4409</v>
      </c>
      <c r="F239" s="326" t="s">
        <v>3223</v>
      </c>
      <c r="G239" s="327" t="s">
        <v>3224</v>
      </c>
      <c r="H239" s="328" t="s">
        <v>3225</v>
      </c>
    </row>
    <row r="240" customFormat="false" ht="78" hidden="false" customHeight="true" outlineLevel="0" collapsed="false">
      <c r="A240" s="323"/>
      <c r="B240" s="323"/>
      <c r="C240" s="323" t="s">
        <v>711</v>
      </c>
      <c r="D240" s="324"/>
      <c r="E240" s="325" t="s">
        <v>4409</v>
      </c>
      <c r="F240" s="326" t="s">
        <v>3226</v>
      </c>
      <c r="G240" s="327" t="s">
        <v>3227</v>
      </c>
      <c r="H240" s="328" t="s">
        <v>3228</v>
      </c>
    </row>
    <row r="241" customFormat="false" ht="51.75" hidden="false" customHeight="true" outlineLevel="0" collapsed="false">
      <c r="A241" s="323"/>
      <c r="B241" s="323"/>
      <c r="C241" s="323" t="s">
        <v>711</v>
      </c>
      <c r="D241" s="324"/>
      <c r="E241" s="325" t="s">
        <v>4409</v>
      </c>
      <c r="F241" s="326" t="s">
        <v>3229</v>
      </c>
      <c r="G241" s="327" t="s">
        <v>3230</v>
      </c>
      <c r="H241" s="328" t="s">
        <v>3231</v>
      </c>
    </row>
    <row r="242" customFormat="false" ht="51.75" hidden="false" customHeight="true" outlineLevel="0" collapsed="false">
      <c r="A242" s="323"/>
      <c r="B242" s="323"/>
      <c r="C242" s="323" t="s">
        <v>712</v>
      </c>
      <c r="D242" s="330" t="s">
        <v>4505</v>
      </c>
      <c r="E242" s="331" t="s">
        <v>4445</v>
      </c>
      <c r="F242" s="326" t="s">
        <v>3233</v>
      </c>
      <c r="G242" s="323"/>
      <c r="H242" s="328" t="s">
        <v>3235</v>
      </c>
    </row>
    <row r="243" customFormat="false" ht="51.75" hidden="false" customHeight="true" outlineLevel="0" collapsed="false">
      <c r="A243" s="323"/>
      <c r="B243" s="323"/>
      <c r="C243" s="323" t="s">
        <v>712</v>
      </c>
      <c r="D243" s="324"/>
      <c r="E243" s="329" t="s">
        <v>4411</v>
      </c>
      <c r="F243" s="323" t="s">
        <v>4506</v>
      </c>
      <c r="G243" s="323"/>
      <c r="H243" s="328"/>
    </row>
    <row r="244" customFormat="false" ht="103.5" hidden="false" customHeight="true" outlineLevel="0" collapsed="false">
      <c r="A244" s="323"/>
      <c r="B244" s="323"/>
      <c r="C244" s="323" t="s">
        <v>2635</v>
      </c>
      <c r="D244" s="330" t="s">
        <v>4507</v>
      </c>
      <c r="E244" s="331" t="s">
        <v>4440</v>
      </c>
      <c r="F244" s="326" t="s">
        <v>3237</v>
      </c>
      <c r="G244" s="323"/>
      <c r="H244" s="328" t="s">
        <v>3238</v>
      </c>
    </row>
    <row r="245" customFormat="false" ht="64.5" hidden="false" customHeight="true" outlineLevel="0" collapsed="false">
      <c r="A245" s="323"/>
      <c r="B245" s="323"/>
      <c r="C245" s="323" t="s">
        <v>2635</v>
      </c>
      <c r="D245" s="330" t="s">
        <v>4508</v>
      </c>
      <c r="E245" s="331" t="s">
        <v>4481</v>
      </c>
      <c r="F245" s="326" t="s">
        <v>3240</v>
      </c>
      <c r="G245" s="323"/>
      <c r="H245" s="328" t="s">
        <v>3242</v>
      </c>
    </row>
    <row r="246" customFormat="false" ht="103.5" hidden="false" customHeight="true" outlineLevel="0" collapsed="false">
      <c r="A246" s="323"/>
      <c r="B246" s="323"/>
      <c r="C246" s="323" t="s">
        <v>2635</v>
      </c>
      <c r="D246" s="324"/>
      <c r="E246" s="325" t="s">
        <v>4409</v>
      </c>
      <c r="F246" s="326" t="s">
        <v>3243</v>
      </c>
      <c r="G246" s="327" t="s">
        <v>3244</v>
      </c>
      <c r="H246" s="328" t="s">
        <v>3245</v>
      </c>
    </row>
    <row r="247" customFormat="false" ht="51.75" hidden="false" customHeight="true" outlineLevel="0" collapsed="false">
      <c r="A247" s="323"/>
      <c r="B247" s="323"/>
      <c r="C247" s="323" t="s">
        <v>2635</v>
      </c>
      <c r="D247" s="324"/>
      <c r="E247" s="325" t="s">
        <v>4409</v>
      </c>
      <c r="F247" s="326" t="s">
        <v>3246</v>
      </c>
      <c r="G247" s="327" t="s">
        <v>3230</v>
      </c>
      <c r="H247" s="328" t="s">
        <v>3247</v>
      </c>
    </row>
    <row r="248" customFormat="false" ht="90.75" hidden="false" customHeight="true" outlineLevel="0" collapsed="false">
      <c r="A248" s="323"/>
      <c r="B248" s="323"/>
      <c r="C248" s="323" t="s">
        <v>2642</v>
      </c>
      <c r="D248" s="330" t="s">
        <v>4509</v>
      </c>
      <c r="E248" s="331" t="s">
        <v>4445</v>
      </c>
      <c r="F248" s="326" t="s">
        <v>3248</v>
      </c>
      <c r="G248" s="323"/>
      <c r="H248" s="328" t="s">
        <v>3249</v>
      </c>
    </row>
    <row r="249" customFormat="false" ht="64.5" hidden="false" customHeight="true" outlineLevel="0" collapsed="false">
      <c r="A249" s="323"/>
      <c r="B249" s="323"/>
      <c r="C249" s="323" t="s">
        <v>2642</v>
      </c>
      <c r="D249" s="324"/>
      <c r="E249" s="325" t="s">
        <v>4409</v>
      </c>
      <c r="F249" s="326" t="s">
        <v>3252</v>
      </c>
      <c r="G249" s="327" t="s">
        <v>3253</v>
      </c>
      <c r="H249" s="328" t="s">
        <v>3254</v>
      </c>
    </row>
    <row r="250" customFormat="false" ht="64.5" hidden="false" customHeight="true" outlineLevel="0" collapsed="false">
      <c r="A250" s="321" t="n">
        <v>23</v>
      </c>
      <c r="B250" s="321" t="s">
        <v>1079</v>
      </c>
      <c r="C250" s="321" t="s">
        <v>4510</v>
      </c>
      <c r="D250" s="321"/>
      <c r="E250" s="321"/>
      <c r="F250" s="321" t="s">
        <v>3287</v>
      </c>
      <c r="G250" s="321"/>
      <c r="H250" s="322" t="s">
        <v>4423</v>
      </c>
    </row>
    <row r="251" customFormat="false" ht="51.75" hidden="false" customHeight="true" outlineLevel="0" collapsed="false">
      <c r="A251" s="323"/>
      <c r="B251" s="323"/>
      <c r="C251" s="323" t="s">
        <v>711</v>
      </c>
      <c r="D251" s="323" t="s">
        <v>4511</v>
      </c>
      <c r="E251" s="332" t="s">
        <v>4431</v>
      </c>
      <c r="F251" s="323" t="s">
        <v>4432</v>
      </c>
      <c r="G251" s="323"/>
      <c r="H251" s="328" t="s">
        <v>3259</v>
      </c>
    </row>
    <row r="252" customFormat="false" ht="25.5" hidden="false" customHeight="true" outlineLevel="0" collapsed="false">
      <c r="A252" s="323"/>
      <c r="B252" s="323"/>
      <c r="C252" s="323" t="s">
        <v>711</v>
      </c>
      <c r="D252" s="323" t="s">
        <v>4512</v>
      </c>
      <c r="E252" s="332" t="s">
        <v>4431</v>
      </c>
      <c r="F252" s="323" t="s">
        <v>4432</v>
      </c>
      <c r="G252" s="323"/>
      <c r="H252" s="328"/>
    </row>
    <row r="253" customFormat="false" ht="64.5" hidden="false" customHeight="true" outlineLevel="0" collapsed="false">
      <c r="A253" s="323"/>
      <c r="B253" s="323"/>
      <c r="C253" s="323" t="s">
        <v>711</v>
      </c>
      <c r="D253" s="324"/>
      <c r="E253" s="325" t="s">
        <v>4409</v>
      </c>
      <c r="F253" s="326" t="s">
        <v>3262</v>
      </c>
      <c r="G253" s="327" t="s">
        <v>3263</v>
      </c>
      <c r="H253" s="328" t="s">
        <v>3264</v>
      </c>
    </row>
    <row r="254" customFormat="false" ht="39" hidden="false" customHeight="true" outlineLevel="0" collapsed="false">
      <c r="A254" s="323"/>
      <c r="B254" s="323"/>
      <c r="C254" s="323" t="s">
        <v>711</v>
      </c>
      <c r="D254" s="324"/>
      <c r="E254" s="325" t="s">
        <v>4409</v>
      </c>
      <c r="F254" s="326" t="s">
        <v>3265</v>
      </c>
      <c r="G254" s="327" t="s">
        <v>3266</v>
      </c>
      <c r="H254" s="328" t="s">
        <v>3267</v>
      </c>
    </row>
    <row r="255" customFormat="false" ht="78" hidden="false" customHeight="true" outlineLevel="0" collapsed="false">
      <c r="A255" s="323"/>
      <c r="B255" s="323"/>
      <c r="C255" s="323" t="s">
        <v>711</v>
      </c>
      <c r="D255" s="324"/>
      <c r="E255" s="325" t="s">
        <v>4409</v>
      </c>
      <c r="F255" s="326" t="s">
        <v>3268</v>
      </c>
      <c r="G255" s="327" t="s">
        <v>3269</v>
      </c>
      <c r="H255" s="328" t="s">
        <v>3270</v>
      </c>
    </row>
    <row r="256" customFormat="false" ht="25.5" hidden="false" customHeight="true" outlineLevel="0" collapsed="false">
      <c r="A256" s="323"/>
      <c r="B256" s="323"/>
      <c r="C256" s="323" t="s">
        <v>712</v>
      </c>
      <c r="D256" s="330" t="s">
        <v>4513</v>
      </c>
      <c r="E256" s="331" t="s">
        <v>4440</v>
      </c>
      <c r="F256" s="326" t="s">
        <v>3272</v>
      </c>
      <c r="G256" s="323"/>
      <c r="H256" s="328" t="s">
        <v>3274</v>
      </c>
    </row>
    <row r="257" customFormat="false" ht="39" hidden="false" customHeight="true" outlineLevel="0" collapsed="false">
      <c r="A257" s="323"/>
      <c r="B257" s="323"/>
      <c r="C257" s="323" t="s">
        <v>712</v>
      </c>
      <c r="D257" s="330" t="s">
        <v>4514</v>
      </c>
      <c r="E257" s="331" t="s">
        <v>4481</v>
      </c>
      <c r="F257" s="326" t="s">
        <v>3276</v>
      </c>
      <c r="G257" s="323"/>
      <c r="H257" s="328" t="s">
        <v>3277</v>
      </c>
    </row>
    <row r="258" customFormat="false" ht="39" hidden="false" customHeight="true" outlineLevel="0" collapsed="false">
      <c r="A258" s="323"/>
      <c r="B258" s="323"/>
      <c r="C258" s="323" t="s">
        <v>712</v>
      </c>
      <c r="D258" s="324"/>
      <c r="E258" s="329" t="s">
        <v>4411</v>
      </c>
      <c r="F258" s="323" t="s">
        <v>4515</v>
      </c>
      <c r="G258" s="323"/>
      <c r="H258" s="328"/>
    </row>
    <row r="259" customFormat="false" ht="51.75" hidden="false" customHeight="true" outlineLevel="0" collapsed="false">
      <c r="A259" s="323"/>
      <c r="B259" s="323"/>
      <c r="C259" s="323" t="s">
        <v>2635</v>
      </c>
      <c r="D259" s="323" t="s">
        <v>4516</v>
      </c>
      <c r="E259" s="332" t="s">
        <v>4431</v>
      </c>
      <c r="F259" s="323" t="s">
        <v>4432</v>
      </c>
      <c r="G259" s="323"/>
      <c r="H259" s="328" t="s">
        <v>3281</v>
      </c>
    </row>
    <row r="260" customFormat="false" ht="25.5" hidden="false" customHeight="true" outlineLevel="0" collapsed="false">
      <c r="A260" s="323"/>
      <c r="B260" s="323"/>
      <c r="C260" s="323" t="s">
        <v>2635</v>
      </c>
      <c r="D260" s="323" t="s">
        <v>4517</v>
      </c>
      <c r="E260" s="332" t="s">
        <v>4431</v>
      </c>
      <c r="F260" s="323" t="s">
        <v>4432</v>
      </c>
      <c r="G260" s="323"/>
      <c r="H260" s="328"/>
    </row>
    <row r="261" customFormat="false" ht="51.75" hidden="false" customHeight="true" outlineLevel="0" collapsed="false">
      <c r="A261" s="323"/>
      <c r="B261" s="323"/>
      <c r="C261" s="323" t="s">
        <v>2635</v>
      </c>
      <c r="D261" s="324"/>
      <c r="E261" s="325" t="s">
        <v>4409</v>
      </c>
      <c r="F261" s="326" t="s">
        <v>3283</v>
      </c>
      <c r="G261" s="327" t="s">
        <v>3284</v>
      </c>
      <c r="H261" s="328" t="s">
        <v>3285</v>
      </c>
    </row>
    <row r="262" customFormat="false" ht="64.5" hidden="false" customHeight="true" outlineLevel="0" collapsed="false">
      <c r="A262" s="323"/>
      <c r="B262" s="323"/>
      <c r="C262" s="323" t="s">
        <v>2642</v>
      </c>
      <c r="D262" s="323" t="s">
        <v>1087</v>
      </c>
      <c r="E262" s="332" t="s">
        <v>4431</v>
      </c>
      <c r="F262" s="323" t="s">
        <v>4432</v>
      </c>
      <c r="G262" s="323"/>
      <c r="H262" s="328" t="s">
        <v>3286</v>
      </c>
    </row>
    <row r="263" customFormat="false" ht="39" hidden="false" customHeight="true" outlineLevel="0" collapsed="false">
      <c r="A263" s="323"/>
      <c r="B263" s="323"/>
      <c r="C263" s="323" t="s">
        <v>2642</v>
      </c>
      <c r="D263" s="324"/>
      <c r="E263" s="329" t="s">
        <v>4411</v>
      </c>
      <c r="F263" s="323" t="s">
        <v>4518</v>
      </c>
      <c r="G263" s="323"/>
      <c r="H263" s="328"/>
    </row>
    <row r="264" customFormat="false" ht="78" hidden="false" customHeight="true" outlineLevel="0" collapsed="false">
      <c r="A264" s="321" t="n">
        <v>24</v>
      </c>
      <c r="B264" s="321" t="s">
        <v>1094</v>
      </c>
      <c r="C264" s="321" t="s">
        <v>4519</v>
      </c>
      <c r="D264" s="321"/>
      <c r="E264" s="321"/>
      <c r="F264" s="321" t="s">
        <v>3330</v>
      </c>
      <c r="G264" s="321"/>
      <c r="H264" s="322" t="s">
        <v>4408</v>
      </c>
    </row>
    <row r="265" customFormat="false" ht="51.75" hidden="false" customHeight="true" outlineLevel="0" collapsed="false">
      <c r="A265" s="323"/>
      <c r="B265" s="323"/>
      <c r="C265" s="323" t="s">
        <v>711</v>
      </c>
      <c r="D265" s="323" t="s">
        <v>4520</v>
      </c>
      <c r="E265" s="332" t="s">
        <v>4431</v>
      </c>
      <c r="F265" s="323" t="s">
        <v>4432</v>
      </c>
      <c r="G265" s="323"/>
      <c r="H265" s="328" t="s">
        <v>3291</v>
      </c>
    </row>
    <row r="266" customFormat="false" ht="39" hidden="false" customHeight="true" outlineLevel="0" collapsed="false">
      <c r="A266" s="323"/>
      <c r="B266" s="323"/>
      <c r="C266" s="323" t="s">
        <v>711</v>
      </c>
      <c r="D266" s="323" t="s">
        <v>4521</v>
      </c>
      <c r="E266" s="332" t="s">
        <v>4431</v>
      </c>
      <c r="F266" s="323" t="s">
        <v>4432</v>
      </c>
      <c r="G266" s="323"/>
      <c r="H266" s="328"/>
    </row>
    <row r="267" customFormat="false" ht="64.5" hidden="false" customHeight="true" outlineLevel="0" collapsed="false">
      <c r="A267" s="323"/>
      <c r="B267" s="323"/>
      <c r="C267" s="323" t="s">
        <v>711</v>
      </c>
      <c r="D267" s="324"/>
      <c r="E267" s="325" t="s">
        <v>4409</v>
      </c>
      <c r="F267" s="326" t="s">
        <v>3294</v>
      </c>
      <c r="G267" s="327" t="s">
        <v>3295</v>
      </c>
      <c r="H267" s="328" t="s">
        <v>3296</v>
      </c>
    </row>
    <row r="268" customFormat="false" ht="51.75" hidden="false" customHeight="true" outlineLevel="0" collapsed="false">
      <c r="A268" s="323"/>
      <c r="B268" s="323"/>
      <c r="C268" s="323" t="s">
        <v>711</v>
      </c>
      <c r="D268" s="324"/>
      <c r="E268" s="325" t="s">
        <v>4409</v>
      </c>
      <c r="F268" s="326" t="s">
        <v>3297</v>
      </c>
      <c r="G268" s="327" t="s">
        <v>3298</v>
      </c>
      <c r="H268" s="328" t="s">
        <v>3299</v>
      </c>
    </row>
    <row r="269" customFormat="false" ht="51.75" hidden="false" customHeight="true" outlineLevel="0" collapsed="false">
      <c r="A269" s="323"/>
      <c r="B269" s="323"/>
      <c r="C269" s="323" t="s">
        <v>711</v>
      </c>
      <c r="D269" s="324"/>
      <c r="E269" s="325" t="s">
        <v>4409</v>
      </c>
      <c r="F269" s="326" t="s">
        <v>3300</v>
      </c>
      <c r="G269" s="327" t="s">
        <v>3301</v>
      </c>
      <c r="H269" s="328" t="s">
        <v>3302</v>
      </c>
    </row>
    <row r="270" customFormat="false" ht="39" hidden="false" customHeight="true" outlineLevel="0" collapsed="false">
      <c r="A270" s="323"/>
      <c r="B270" s="323"/>
      <c r="C270" s="323" t="s">
        <v>712</v>
      </c>
      <c r="D270" s="330" t="s">
        <v>4522</v>
      </c>
      <c r="E270" s="331" t="s">
        <v>4445</v>
      </c>
      <c r="F270" s="326" t="s">
        <v>3304</v>
      </c>
      <c r="G270" s="323"/>
      <c r="H270" s="328" t="s">
        <v>3306</v>
      </c>
    </row>
    <row r="271" customFormat="false" ht="25.5" hidden="false" customHeight="true" outlineLevel="0" collapsed="false">
      <c r="A271" s="323"/>
      <c r="B271" s="323"/>
      <c r="C271" s="323" t="s">
        <v>712</v>
      </c>
      <c r="D271" s="330" t="s">
        <v>4523</v>
      </c>
      <c r="E271" s="331" t="s">
        <v>4445</v>
      </c>
      <c r="F271" s="326" t="s">
        <v>3308</v>
      </c>
      <c r="G271" s="323"/>
      <c r="H271" s="328"/>
    </row>
    <row r="272" customFormat="false" ht="64.5" hidden="false" customHeight="true" outlineLevel="0" collapsed="false">
      <c r="A272" s="323"/>
      <c r="B272" s="323"/>
      <c r="C272" s="323" t="s">
        <v>712</v>
      </c>
      <c r="D272" s="324"/>
      <c r="E272" s="325" t="s">
        <v>4409</v>
      </c>
      <c r="F272" s="326" t="s">
        <v>3310</v>
      </c>
      <c r="G272" s="327" t="s">
        <v>3311</v>
      </c>
      <c r="H272" s="328" t="s">
        <v>3312</v>
      </c>
    </row>
    <row r="273" customFormat="false" ht="25.5" hidden="false" customHeight="true" outlineLevel="0" collapsed="false">
      <c r="A273" s="323"/>
      <c r="B273" s="323"/>
      <c r="C273" s="323" t="s">
        <v>2635</v>
      </c>
      <c r="D273" s="330" t="s">
        <v>4524</v>
      </c>
      <c r="E273" s="331" t="s">
        <v>4481</v>
      </c>
      <c r="F273" s="326" t="s">
        <v>3314</v>
      </c>
      <c r="G273" s="323"/>
      <c r="H273" s="328" t="s">
        <v>3315</v>
      </c>
    </row>
    <row r="274" customFormat="false" ht="25.5" hidden="false" customHeight="true" outlineLevel="0" collapsed="false">
      <c r="A274" s="323"/>
      <c r="B274" s="323"/>
      <c r="C274" s="323" t="s">
        <v>2635</v>
      </c>
      <c r="D274" s="330" t="s">
        <v>4525</v>
      </c>
      <c r="E274" s="331" t="s">
        <v>4481</v>
      </c>
      <c r="F274" s="326" t="s">
        <v>3317</v>
      </c>
      <c r="G274" s="323"/>
      <c r="H274" s="328"/>
    </row>
    <row r="275" customFormat="false" ht="51.75" hidden="false" customHeight="true" outlineLevel="0" collapsed="false">
      <c r="A275" s="323"/>
      <c r="B275" s="323"/>
      <c r="C275" s="323" t="s">
        <v>2635</v>
      </c>
      <c r="D275" s="324"/>
      <c r="E275" s="325" t="s">
        <v>4409</v>
      </c>
      <c r="F275" s="326" t="s">
        <v>3319</v>
      </c>
      <c r="G275" s="327" t="s">
        <v>3320</v>
      </c>
      <c r="H275" s="328" t="s">
        <v>3321</v>
      </c>
    </row>
    <row r="276" customFormat="false" ht="39" hidden="false" customHeight="true" outlineLevel="0" collapsed="false">
      <c r="A276" s="323"/>
      <c r="B276" s="323"/>
      <c r="C276" s="323" t="s">
        <v>2635</v>
      </c>
      <c r="D276" s="324"/>
      <c r="E276" s="325" t="s">
        <v>4409</v>
      </c>
      <c r="F276" s="326" t="s">
        <v>3322</v>
      </c>
      <c r="G276" s="327" t="s">
        <v>3295</v>
      </c>
      <c r="H276" s="328" t="s">
        <v>3323</v>
      </c>
    </row>
    <row r="277" customFormat="false" ht="78" hidden="false" customHeight="true" outlineLevel="0" collapsed="false">
      <c r="A277" s="323"/>
      <c r="B277" s="323"/>
      <c r="C277" s="323" t="s">
        <v>2642</v>
      </c>
      <c r="D277" s="330" t="s">
        <v>4526</v>
      </c>
      <c r="E277" s="331" t="s">
        <v>4445</v>
      </c>
      <c r="F277" s="326" t="s">
        <v>3325</v>
      </c>
      <c r="G277" s="323"/>
      <c r="H277" s="328" t="s">
        <v>3327</v>
      </c>
    </row>
    <row r="278" customFormat="false" ht="51.75" hidden="false" customHeight="true" outlineLevel="0" collapsed="false">
      <c r="A278" s="323"/>
      <c r="B278" s="323"/>
      <c r="C278" s="323" t="s">
        <v>2642</v>
      </c>
      <c r="D278" s="324"/>
      <c r="E278" s="325" t="s">
        <v>4409</v>
      </c>
      <c r="F278" s="326" t="s">
        <v>3328</v>
      </c>
      <c r="G278" s="327" t="s">
        <v>3311</v>
      </c>
      <c r="H278" s="328" t="s">
        <v>3329</v>
      </c>
    </row>
    <row r="279" customFormat="false" ht="78" hidden="false" customHeight="true" outlineLevel="0" collapsed="false">
      <c r="A279" s="321" t="n">
        <v>25</v>
      </c>
      <c r="B279" s="321" t="s">
        <v>1111</v>
      </c>
      <c r="C279" s="321" t="s">
        <v>4527</v>
      </c>
      <c r="D279" s="321"/>
      <c r="E279" s="321"/>
      <c r="F279" s="321" t="s">
        <v>3376</v>
      </c>
      <c r="G279" s="321"/>
      <c r="H279" s="322" t="s">
        <v>4423</v>
      </c>
    </row>
    <row r="280" customFormat="false" ht="25.5" hidden="false" customHeight="true" outlineLevel="0" collapsed="false">
      <c r="A280" s="323"/>
      <c r="B280" s="323"/>
      <c r="C280" s="323" t="s">
        <v>711</v>
      </c>
      <c r="D280" s="323" t="s">
        <v>4528</v>
      </c>
      <c r="E280" s="332" t="s">
        <v>4431</v>
      </c>
      <c r="F280" s="323" t="s">
        <v>4432</v>
      </c>
      <c r="G280" s="323"/>
      <c r="H280" s="328"/>
    </row>
    <row r="281" customFormat="false" ht="25.5" hidden="false" customHeight="true" outlineLevel="0" collapsed="false">
      <c r="A281" s="323"/>
      <c r="B281" s="323"/>
      <c r="C281" s="323" t="s">
        <v>711</v>
      </c>
      <c r="D281" s="330" t="s">
        <v>4529</v>
      </c>
      <c r="E281" s="331" t="s">
        <v>4440</v>
      </c>
      <c r="F281" s="326" t="s">
        <v>3335</v>
      </c>
      <c r="G281" s="323"/>
      <c r="H281" s="328" t="s">
        <v>3337</v>
      </c>
    </row>
    <row r="282" customFormat="false" ht="51.75" hidden="false" customHeight="true" outlineLevel="0" collapsed="false">
      <c r="A282" s="323"/>
      <c r="B282" s="323"/>
      <c r="C282" s="323" t="s">
        <v>711</v>
      </c>
      <c r="D282" s="324"/>
      <c r="E282" s="325" t="s">
        <v>4409</v>
      </c>
      <c r="F282" s="326" t="s">
        <v>3338</v>
      </c>
      <c r="G282" s="327" t="s">
        <v>3339</v>
      </c>
      <c r="H282" s="328" t="s">
        <v>3340</v>
      </c>
    </row>
    <row r="283" customFormat="false" ht="51.75" hidden="false" customHeight="true" outlineLevel="0" collapsed="false">
      <c r="A283" s="323"/>
      <c r="B283" s="323"/>
      <c r="C283" s="323" t="s">
        <v>711</v>
      </c>
      <c r="D283" s="324"/>
      <c r="E283" s="325" t="s">
        <v>4409</v>
      </c>
      <c r="F283" s="326" t="s">
        <v>3341</v>
      </c>
      <c r="G283" s="327" t="s">
        <v>3342</v>
      </c>
      <c r="H283" s="328" t="s">
        <v>3343</v>
      </c>
    </row>
    <row r="284" customFormat="false" ht="78" hidden="false" customHeight="true" outlineLevel="0" collapsed="false">
      <c r="A284" s="323"/>
      <c r="B284" s="323"/>
      <c r="C284" s="323" t="s">
        <v>711</v>
      </c>
      <c r="D284" s="324"/>
      <c r="E284" s="325" t="s">
        <v>4409</v>
      </c>
      <c r="F284" s="326" t="s">
        <v>3344</v>
      </c>
      <c r="G284" s="327" t="s">
        <v>3345</v>
      </c>
      <c r="H284" s="328" t="s">
        <v>3346</v>
      </c>
    </row>
    <row r="285" customFormat="false" ht="64.5" hidden="false" customHeight="true" outlineLevel="0" collapsed="false">
      <c r="A285" s="323"/>
      <c r="B285" s="323"/>
      <c r="C285" s="323" t="s">
        <v>711</v>
      </c>
      <c r="D285" s="324"/>
      <c r="E285" s="325" t="s">
        <v>4409</v>
      </c>
      <c r="F285" s="326" t="s">
        <v>3347</v>
      </c>
      <c r="G285" s="327" t="s">
        <v>3348</v>
      </c>
      <c r="H285" s="328" t="s">
        <v>3349</v>
      </c>
    </row>
    <row r="286" customFormat="false" ht="25.5" hidden="false" customHeight="true" outlineLevel="0" collapsed="false">
      <c r="A286" s="323"/>
      <c r="B286" s="323"/>
      <c r="C286" s="323" t="s">
        <v>712</v>
      </c>
      <c r="D286" s="330" t="s">
        <v>4530</v>
      </c>
      <c r="E286" s="331" t="s">
        <v>4445</v>
      </c>
      <c r="F286" s="326" t="s">
        <v>3351</v>
      </c>
      <c r="G286" s="323"/>
      <c r="H286" s="328"/>
    </row>
    <row r="287" customFormat="false" ht="25.5" hidden="false" customHeight="true" outlineLevel="0" collapsed="false">
      <c r="A287" s="323"/>
      <c r="B287" s="323"/>
      <c r="C287" s="323" t="s">
        <v>712</v>
      </c>
      <c r="D287" s="323" t="s">
        <v>4531</v>
      </c>
      <c r="E287" s="332" t="s">
        <v>4431</v>
      </c>
      <c r="F287" s="323" t="s">
        <v>4432</v>
      </c>
      <c r="G287" s="323"/>
      <c r="H287" s="328"/>
    </row>
    <row r="288" customFormat="false" ht="51.75" hidden="false" customHeight="true" outlineLevel="0" collapsed="false">
      <c r="A288" s="323"/>
      <c r="B288" s="323"/>
      <c r="C288" s="323" t="s">
        <v>712</v>
      </c>
      <c r="D288" s="324"/>
      <c r="E288" s="325" t="s">
        <v>4409</v>
      </c>
      <c r="F288" s="326" t="s">
        <v>3355</v>
      </c>
      <c r="G288" s="327" t="s">
        <v>3348</v>
      </c>
      <c r="H288" s="328" t="s">
        <v>3356</v>
      </c>
    </row>
    <row r="289" customFormat="false" ht="39" hidden="false" customHeight="true" outlineLevel="0" collapsed="false">
      <c r="A289" s="323"/>
      <c r="B289" s="323"/>
      <c r="C289" s="323" t="s">
        <v>2635</v>
      </c>
      <c r="D289" s="323" t="s">
        <v>4532</v>
      </c>
      <c r="E289" s="332" t="s">
        <v>4431</v>
      </c>
      <c r="F289" s="323" t="s">
        <v>4432</v>
      </c>
      <c r="G289" s="323"/>
      <c r="H289" s="328"/>
    </row>
    <row r="290" customFormat="false" ht="25.5" hidden="false" customHeight="true" outlineLevel="0" collapsed="false">
      <c r="A290" s="323"/>
      <c r="B290" s="323"/>
      <c r="C290" s="323" t="s">
        <v>2635</v>
      </c>
      <c r="D290" s="330" t="s">
        <v>4533</v>
      </c>
      <c r="E290" s="331" t="s">
        <v>4440</v>
      </c>
      <c r="F290" s="326" t="s">
        <v>3360</v>
      </c>
      <c r="G290" s="323"/>
      <c r="H290" s="328"/>
    </row>
    <row r="291" customFormat="false" ht="25.5" hidden="false" customHeight="true" outlineLevel="0" collapsed="false">
      <c r="A291" s="323"/>
      <c r="B291" s="323"/>
      <c r="C291" s="323" t="s">
        <v>2635</v>
      </c>
      <c r="D291" s="330" t="s">
        <v>4534</v>
      </c>
      <c r="E291" s="331" t="s">
        <v>4440</v>
      </c>
      <c r="F291" s="326" t="s">
        <v>3362</v>
      </c>
      <c r="G291" s="323"/>
      <c r="H291" s="328"/>
    </row>
    <row r="292" customFormat="false" ht="51.75" hidden="false" customHeight="true" outlineLevel="0" collapsed="false">
      <c r="A292" s="323"/>
      <c r="B292" s="323"/>
      <c r="C292" s="323" t="s">
        <v>2635</v>
      </c>
      <c r="D292" s="324"/>
      <c r="E292" s="325" t="s">
        <v>4409</v>
      </c>
      <c r="F292" s="326" t="s">
        <v>3363</v>
      </c>
      <c r="G292" s="327" t="s">
        <v>3348</v>
      </c>
      <c r="H292" s="328" t="s">
        <v>3364</v>
      </c>
    </row>
    <row r="293" customFormat="false" ht="64.5" hidden="false" customHeight="true" outlineLevel="0" collapsed="false">
      <c r="A293" s="323"/>
      <c r="B293" s="323"/>
      <c r="C293" s="323" t="s">
        <v>2635</v>
      </c>
      <c r="D293" s="324"/>
      <c r="E293" s="325" t="s">
        <v>4409</v>
      </c>
      <c r="F293" s="326" t="s">
        <v>3365</v>
      </c>
      <c r="G293" s="327" t="s">
        <v>3339</v>
      </c>
      <c r="H293" s="328" t="s">
        <v>3366</v>
      </c>
    </row>
    <row r="294" customFormat="false" ht="25.5" hidden="false" customHeight="true" outlineLevel="0" collapsed="false">
      <c r="A294" s="323"/>
      <c r="B294" s="323"/>
      <c r="C294" s="323" t="s">
        <v>2642</v>
      </c>
      <c r="D294" s="330" t="s">
        <v>4535</v>
      </c>
      <c r="E294" s="331" t="s">
        <v>4481</v>
      </c>
      <c r="F294" s="326" t="s">
        <v>3368</v>
      </c>
      <c r="G294" s="323"/>
      <c r="H294" s="328" t="s">
        <v>3369</v>
      </c>
    </row>
    <row r="295" customFormat="false" ht="25.5" hidden="false" customHeight="true" outlineLevel="0" collapsed="false">
      <c r="A295" s="323"/>
      <c r="B295" s="323"/>
      <c r="C295" s="323" t="s">
        <v>2642</v>
      </c>
      <c r="D295" s="330" t="s">
        <v>4536</v>
      </c>
      <c r="E295" s="331" t="s">
        <v>4481</v>
      </c>
      <c r="F295" s="326" t="s">
        <v>3371</v>
      </c>
      <c r="G295" s="323"/>
      <c r="H295" s="328" t="s">
        <v>3373</v>
      </c>
    </row>
    <row r="296" customFormat="false" ht="39" hidden="false" customHeight="true" outlineLevel="0" collapsed="false">
      <c r="A296" s="323"/>
      <c r="B296" s="323"/>
      <c r="C296" s="323" t="s">
        <v>2642</v>
      </c>
      <c r="D296" s="324"/>
      <c r="E296" s="325" t="s">
        <v>4409</v>
      </c>
      <c r="F296" s="326" t="s">
        <v>3374</v>
      </c>
      <c r="G296" s="327" t="s">
        <v>3348</v>
      </c>
      <c r="H296" s="328" t="s">
        <v>3375</v>
      </c>
    </row>
    <row r="297" customFormat="false" ht="64.5" hidden="false" customHeight="true" outlineLevel="0" collapsed="false">
      <c r="A297" s="321" t="n">
        <v>26</v>
      </c>
      <c r="B297" s="321" t="s">
        <v>1125</v>
      </c>
      <c r="C297" s="321" t="s">
        <v>4537</v>
      </c>
      <c r="D297" s="321"/>
      <c r="E297" s="321"/>
      <c r="F297" s="321" t="s">
        <v>3415</v>
      </c>
      <c r="G297" s="321"/>
      <c r="H297" s="322" t="s">
        <v>4408</v>
      </c>
    </row>
    <row r="298" customFormat="false" ht="78" hidden="false" customHeight="true" outlineLevel="0" collapsed="false">
      <c r="A298" s="323"/>
      <c r="B298" s="323"/>
      <c r="C298" s="323" t="s">
        <v>711</v>
      </c>
      <c r="D298" s="330" t="s">
        <v>4538</v>
      </c>
      <c r="E298" s="331" t="s">
        <v>4440</v>
      </c>
      <c r="F298" s="326" t="s">
        <v>3379</v>
      </c>
      <c r="G298" s="323"/>
      <c r="H298" s="328" t="s">
        <v>3381</v>
      </c>
    </row>
    <row r="299" customFormat="false" ht="39" hidden="false" customHeight="true" outlineLevel="0" collapsed="false">
      <c r="A299" s="323"/>
      <c r="B299" s="323"/>
      <c r="C299" s="323" t="s">
        <v>711</v>
      </c>
      <c r="D299" s="330" t="s">
        <v>4539</v>
      </c>
      <c r="E299" s="331" t="s">
        <v>4440</v>
      </c>
      <c r="F299" s="326" t="s">
        <v>3383</v>
      </c>
      <c r="G299" s="323"/>
      <c r="H299" s="328"/>
    </row>
    <row r="300" customFormat="false" ht="64.5" hidden="false" customHeight="true" outlineLevel="0" collapsed="false">
      <c r="A300" s="323"/>
      <c r="B300" s="323"/>
      <c r="C300" s="323" t="s">
        <v>711</v>
      </c>
      <c r="D300" s="324"/>
      <c r="E300" s="325" t="s">
        <v>4409</v>
      </c>
      <c r="F300" s="326" t="s">
        <v>3385</v>
      </c>
      <c r="G300" s="327" t="s">
        <v>3386</v>
      </c>
      <c r="H300" s="328" t="s">
        <v>3387</v>
      </c>
    </row>
    <row r="301" customFormat="false" ht="64.5" hidden="false" customHeight="true" outlineLevel="0" collapsed="false">
      <c r="A301" s="323"/>
      <c r="B301" s="323"/>
      <c r="C301" s="323" t="s">
        <v>711</v>
      </c>
      <c r="D301" s="324"/>
      <c r="E301" s="325" t="s">
        <v>4409</v>
      </c>
      <c r="F301" s="326" t="s">
        <v>3388</v>
      </c>
      <c r="G301" s="327" t="s">
        <v>3389</v>
      </c>
      <c r="H301" s="328" t="s">
        <v>3390</v>
      </c>
    </row>
    <row r="302" customFormat="false" ht="51.75" hidden="false" customHeight="true" outlineLevel="0" collapsed="false">
      <c r="A302" s="323"/>
      <c r="B302" s="323"/>
      <c r="C302" s="323" t="s">
        <v>711</v>
      </c>
      <c r="D302" s="324"/>
      <c r="E302" s="325" t="s">
        <v>4409</v>
      </c>
      <c r="F302" s="326" t="s">
        <v>3391</v>
      </c>
      <c r="G302" s="327" t="s">
        <v>3392</v>
      </c>
      <c r="H302" s="328" t="s">
        <v>3393</v>
      </c>
    </row>
    <row r="303" customFormat="false" ht="39" hidden="false" customHeight="true" outlineLevel="0" collapsed="false">
      <c r="A303" s="323"/>
      <c r="B303" s="323"/>
      <c r="C303" s="323" t="s">
        <v>711</v>
      </c>
      <c r="D303" s="324"/>
      <c r="E303" s="325" t="s">
        <v>4409</v>
      </c>
      <c r="F303" s="326" t="s">
        <v>3394</v>
      </c>
      <c r="G303" s="327" t="s">
        <v>3395</v>
      </c>
      <c r="H303" s="328" t="s">
        <v>3396</v>
      </c>
    </row>
    <row r="304" customFormat="false" ht="25.5" hidden="false" customHeight="true" outlineLevel="0" collapsed="false">
      <c r="A304" s="323"/>
      <c r="B304" s="323"/>
      <c r="C304" s="323" t="s">
        <v>712</v>
      </c>
      <c r="D304" s="330" t="s">
        <v>4540</v>
      </c>
      <c r="E304" s="331" t="s">
        <v>4445</v>
      </c>
      <c r="F304" s="326" t="s">
        <v>3398</v>
      </c>
      <c r="G304" s="323"/>
      <c r="H304" s="328"/>
    </row>
    <row r="305" customFormat="false" ht="25.5" hidden="false" customHeight="true" outlineLevel="0" collapsed="false">
      <c r="A305" s="323"/>
      <c r="B305" s="323"/>
      <c r="C305" s="323" t="s">
        <v>712</v>
      </c>
      <c r="D305" s="330" t="s">
        <v>4541</v>
      </c>
      <c r="E305" s="331" t="s">
        <v>4445</v>
      </c>
      <c r="F305" s="326" t="s">
        <v>3401</v>
      </c>
      <c r="G305" s="323"/>
      <c r="H305" s="328"/>
    </row>
    <row r="306" customFormat="false" ht="39" hidden="false" customHeight="true" outlineLevel="0" collapsed="false">
      <c r="A306" s="323"/>
      <c r="B306" s="323"/>
      <c r="C306" s="323" t="s">
        <v>712</v>
      </c>
      <c r="D306" s="324"/>
      <c r="E306" s="329" t="s">
        <v>4411</v>
      </c>
      <c r="F306" s="323" t="s">
        <v>4542</v>
      </c>
      <c r="G306" s="323"/>
      <c r="H306" s="328"/>
    </row>
    <row r="307" customFormat="false" ht="39" hidden="false" customHeight="true" outlineLevel="0" collapsed="false">
      <c r="A307" s="323"/>
      <c r="B307" s="323"/>
      <c r="C307" s="323" t="s">
        <v>2635</v>
      </c>
      <c r="D307" s="330" t="s">
        <v>4543</v>
      </c>
      <c r="E307" s="331" t="s">
        <v>4440</v>
      </c>
      <c r="F307" s="326" t="s">
        <v>3404</v>
      </c>
      <c r="G307" s="323"/>
      <c r="H307" s="328"/>
    </row>
    <row r="308" customFormat="false" ht="25.5" hidden="false" customHeight="true" outlineLevel="0" collapsed="false">
      <c r="A308" s="323"/>
      <c r="B308" s="323"/>
      <c r="C308" s="323" t="s">
        <v>2635</v>
      </c>
      <c r="D308" s="330" t="s">
        <v>4544</v>
      </c>
      <c r="E308" s="331" t="s">
        <v>4440</v>
      </c>
      <c r="F308" s="326" t="s">
        <v>3406</v>
      </c>
      <c r="G308" s="323"/>
      <c r="H308" s="328" t="s">
        <v>3408</v>
      </c>
    </row>
    <row r="309" customFormat="false" ht="25.5" hidden="false" customHeight="true" outlineLevel="0" collapsed="false">
      <c r="A309" s="323"/>
      <c r="B309" s="323"/>
      <c r="C309" s="323" t="s">
        <v>2635</v>
      </c>
      <c r="D309" s="323" t="s">
        <v>4545</v>
      </c>
      <c r="E309" s="332" t="s">
        <v>4431</v>
      </c>
      <c r="F309" s="323" t="s">
        <v>4432</v>
      </c>
      <c r="G309" s="323"/>
      <c r="H309" s="328"/>
    </row>
    <row r="310" customFormat="false" ht="78" hidden="false" customHeight="true" outlineLevel="0" collapsed="false">
      <c r="A310" s="323"/>
      <c r="B310" s="323"/>
      <c r="C310" s="323" t="s">
        <v>2635</v>
      </c>
      <c r="D310" s="324"/>
      <c r="E310" s="325" t="s">
        <v>4409</v>
      </c>
      <c r="F310" s="326" t="s">
        <v>3411</v>
      </c>
      <c r="G310" s="327" t="s">
        <v>3412</v>
      </c>
      <c r="H310" s="328" t="s">
        <v>3413</v>
      </c>
    </row>
    <row r="311" customFormat="false" ht="39" hidden="false" customHeight="true" outlineLevel="0" collapsed="false">
      <c r="A311" s="323"/>
      <c r="B311" s="323"/>
      <c r="C311" s="323" t="s">
        <v>2642</v>
      </c>
      <c r="D311" s="323" t="s">
        <v>1087</v>
      </c>
      <c r="E311" s="332" t="s">
        <v>4431</v>
      </c>
      <c r="F311" s="323" t="s">
        <v>4432</v>
      </c>
      <c r="G311" s="323"/>
      <c r="H311" s="328" t="s">
        <v>3414</v>
      </c>
    </row>
    <row r="312" customFormat="false" ht="25.5" hidden="false" customHeight="true" outlineLevel="0" collapsed="false">
      <c r="A312" s="323"/>
      <c r="B312" s="323"/>
      <c r="C312" s="323" t="s">
        <v>2642</v>
      </c>
      <c r="D312" s="324"/>
      <c r="E312" s="329" t="s">
        <v>4411</v>
      </c>
      <c r="F312" s="323" t="s">
        <v>4546</v>
      </c>
      <c r="G312" s="323"/>
      <c r="H312" s="328"/>
    </row>
    <row r="313" customFormat="false" ht="78" hidden="false" customHeight="true" outlineLevel="0" collapsed="false">
      <c r="A313" s="321" t="n">
        <v>27</v>
      </c>
      <c r="B313" s="321" t="s">
        <v>3417</v>
      </c>
      <c r="C313" s="321" t="s">
        <v>4547</v>
      </c>
      <c r="D313" s="321"/>
      <c r="E313" s="321"/>
      <c r="F313" s="321" t="s">
        <v>3450</v>
      </c>
      <c r="G313" s="321"/>
      <c r="H313" s="322" t="s">
        <v>4423</v>
      </c>
    </row>
    <row r="314" customFormat="false" ht="25.5" hidden="false" customHeight="true" outlineLevel="0" collapsed="false">
      <c r="A314" s="323"/>
      <c r="B314" s="323"/>
      <c r="C314" s="323" t="s">
        <v>711</v>
      </c>
      <c r="D314" s="323" t="s">
        <v>4548</v>
      </c>
      <c r="E314" s="332" t="s">
        <v>4431</v>
      </c>
      <c r="F314" s="323" t="s">
        <v>4432</v>
      </c>
      <c r="G314" s="323"/>
      <c r="H314" s="328"/>
    </row>
    <row r="315" customFormat="false" ht="25.5" hidden="false" customHeight="true" outlineLevel="0" collapsed="false">
      <c r="A315" s="323"/>
      <c r="B315" s="323"/>
      <c r="C315" s="323" t="s">
        <v>711</v>
      </c>
      <c r="D315" s="323" t="s">
        <v>4549</v>
      </c>
      <c r="E315" s="332" t="s">
        <v>4431</v>
      </c>
      <c r="F315" s="323" t="s">
        <v>4432</v>
      </c>
      <c r="G315" s="323"/>
      <c r="H315" s="328"/>
    </row>
    <row r="316" customFormat="false" ht="25.5" hidden="false" customHeight="true" outlineLevel="0" collapsed="false">
      <c r="A316" s="323"/>
      <c r="B316" s="323"/>
      <c r="C316" s="323" t="s">
        <v>711</v>
      </c>
      <c r="D316" s="323" t="s">
        <v>4550</v>
      </c>
      <c r="E316" s="332" t="s">
        <v>4431</v>
      </c>
      <c r="F316" s="323" t="s">
        <v>4432</v>
      </c>
      <c r="G316" s="323"/>
      <c r="H316" s="328"/>
    </row>
    <row r="317" customFormat="false" ht="64.5" hidden="false" customHeight="true" outlineLevel="0" collapsed="false">
      <c r="A317" s="323"/>
      <c r="B317" s="323"/>
      <c r="C317" s="323" t="s">
        <v>711</v>
      </c>
      <c r="D317" s="324"/>
      <c r="E317" s="325" t="s">
        <v>4409</v>
      </c>
      <c r="F317" s="326" t="s">
        <v>3424</v>
      </c>
      <c r="G317" s="327" t="s">
        <v>3419</v>
      </c>
      <c r="H317" s="328" t="s">
        <v>3425</v>
      </c>
    </row>
    <row r="318" customFormat="false" ht="78" hidden="false" customHeight="true" outlineLevel="0" collapsed="false">
      <c r="A318" s="323"/>
      <c r="B318" s="323"/>
      <c r="C318" s="323" t="s">
        <v>711</v>
      </c>
      <c r="D318" s="324"/>
      <c r="E318" s="325" t="s">
        <v>4409</v>
      </c>
      <c r="F318" s="326" t="s">
        <v>3426</v>
      </c>
      <c r="G318" s="327" t="s">
        <v>3427</v>
      </c>
      <c r="H318" s="328" t="s">
        <v>3428</v>
      </c>
    </row>
    <row r="319" customFormat="false" ht="25.5" hidden="false" customHeight="true" outlineLevel="0" collapsed="false">
      <c r="A319" s="323"/>
      <c r="B319" s="323"/>
      <c r="C319" s="323" t="s">
        <v>712</v>
      </c>
      <c r="D319" s="330" t="s">
        <v>4551</v>
      </c>
      <c r="E319" s="331" t="s">
        <v>4445</v>
      </c>
      <c r="F319" s="326" t="s">
        <v>3430</v>
      </c>
      <c r="G319" s="323"/>
      <c r="H319" s="328"/>
    </row>
    <row r="320" customFormat="false" ht="103.5" hidden="false" customHeight="true" outlineLevel="0" collapsed="false">
      <c r="A320" s="323"/>
      <c r="B320" s="323"/>
      <c r="C320" s="323" t="s">
        <v>712</v>
      </c>
      <c r="D320" s="323" t="s">
        <v>4552</v>
      </c>
      <c r="E320" s="332" t="s">
        <v>4431</v>
      </c>
      <c r="F320" s="323" t="s">
        <v>4432</v>
      </c>
      <c r="G320" s="323"/>
      <c r="H320" s="328" t="s">
        <v>3433</v>
      </c>
    </row>
    <row r="321" customFormat="false" ht="78" hidden="false" customHeight="true" outlineLevel="0" collapsed="false">
      <c r="A321" s="323"/>
      <c r="B321" s="323"/>
      <c r="C321" s="323" t="s">
        <v>712</v>
      </c>
      <c r="D321" s="324"/>
      <c r="E321" s="325" t="s">
        <v>4409</v>
      </c>
      <c r="F321" s="326" t="s">
        <v>3434</v>
      </c>
      <c r="G321" s="327" t="s">
        <v>3435</v>
      </c>
      <c r="H321" s="328" t="s">
        <v>3436</v>
      </c>
    </row>
    <row r="322" customFormat="false" ht="25.5" hidden="false" customHeight="true" outlineLevel="0" collapsed="false">
      <c r="A322" s="323"/>
      <c r="B322" s="323"/>
      <c r="C322" s="323" t="s">
        <v>2635</v>
      </c>
      <c r="D322" s="323" t="s">
        <v>4553</v>
      </c>
      <c r="E322" s="332" t="s">
        <v>4431</v>
      </c>
      <c r="F322" s="323" t="s">
        <v>4432</v>
      </c>
      <c r="G322" s="323"/>
      <c r="H322" s="328"/>
    </row>
    <row r="323" customFormat="false" ht="25.5" hidden="false" customHeight="true" outlineLevel="0" collapsed="false">
      <c r="A323" s="323"/>
      <c r="B323" s="323"/>
      <c r="C323" s="323" t="s">
        <v>2635</v>
      </c>
      <c r="D323" s="323" t="s">
        <v>4554</v>
      </c>
      <c r="E323" s="332" t="s">
        <v>4431</v>
      </c>
      <c r="F323" s="323" t="s">
        <v>4432</v>
      </c>
      <c r="G323" s="323"/>
      <c r="H323" s="328"/>
    </row>
    <row r="324" customFormat="false" ht="64.5" hidden="false" customHeight="true" outlineLevel="0" collapsed="false">
      <c r="A324" s="323"/>
      <c r="B324" s="323"/>
      <c r="C324" s="323" t="s">
        <v>2635</v>
      </c>
      <c r="D324" s="324"/>
      <c r="E324" s="325" t="s">
        <v>4409</v>
      </c>
      <c r="F324" s="326" t="s">
        <v>3439</v>
      </c>
      <c r="G324" s="327" t="s">
        <v>3440</v>
      </c>
      <c r="H324" s="328" t="s">
        <v>3441</v>
      </c>
    </row>
    <row r="325" customFormat="false" ht="78" hidden="false" customHeight="true" outlineLevel="0" collapsed="false">
      <c r="A325" s="323"/>
      <c r="B325" s="323"/>
      <c r="C325" s="323" t="s">
        <v>2635</v>
      </c>
      <c r="D325" s="324"/>
      <c r="E325" s="325" t="s">
        <v>4409</v>
      </c>
      <c r="F325" s="326" t="s">
        <v>3442</v>
      </c>
      <c r="G325" s="327" t="s">
        <v>3443</v>
      </c>
      <c r="H325" s="328" t="s">
        <v>3444</v>
      </c>
    </row>
    <row r="326" customFormat="false" ht="39" hidden="false" customHeight="true" outlineLevel="0" collapsed="false">
      <c r="A326" s="323"/>
      <c r="B326" s="323"/>
      <c r="C326" s="323" t="s">
        <v>2642</v>
      </c>
      <c r="D326" s="330" t="s">
        <v>4555</v>
      </c>
      <c r="E326" s="331" t="s">
        <v>4481</v>
      </c>
      <c r="F326" s="326" t="s">
        <v>3446</v>
      </c>
      <c r="G326" s="323"/>
      <c r="H326" s="328" t="s">
        <v>3447</v>
      </c>
    </row>
    <row r="327" customFormat="false" ht="51.75" hidden="false" customHeight="true" outlineLevel="0" collapsed="false">
      <c r="A327" s="323"/>
      <c r="B327" s="323"/>
      <c r="C327" s="323" t="s">
        <v>2642</v>
      </c>
      <c r="D327" s="323" t="s">
        <v>4556</v>
      </c>
      <c r="E327" s="332" t="s">
        <v>4431</v>
      </c>
      <c r="F327" s="323" t="s">
        <v>4432</v>
      </c>
      <c r="G327" s="323"/>
      <c r="H327" s="328" t="s">
        <v>3449</v>
      </c>
    </row>
    <row r="328" customFormat="false" ht="51.75" hidden="false" customHeight="true" outlineLevel="0" collapsed="false">
      <c r="A328" s="323"/>
      <c r="B328" s="323"/>
      <c r="C328" s="323" t="s">
        <v>2642</v>
      </c>
      <c r="D328" s="324"/>
      <c r="E328" s="329" t="s">
        <v>4411</v>
      </c>
      <c r="F328" s="323" t="s">
        <v>4557</v>
      </c>
      <c r="G328" s="323"/>
      <c r="H328" s="328"/>
    </row>
    <row r="329" customFormat="false" ht="78" hidden="false" customHeight="true" outlineLevel="0" collapsed="false">
      <c r="A329" s="321" t="n">
        <v>28</v>
      </c>
      <c r="B329" s="321" t="s">
        <v>3452</v>
      </c>
      <c r="C329" s="321" t="s">
        <v>4558</v>
      </c>
      <c r="D329" s="321"/>
      <c r="E329" s="321"/>
      <c r="F329" s="321" t="s">
        <v>3482</v>
      </c>
      <c r="G329" s="321"/>
      <c r="H329" s="322" t="s">
        <v>4419</v>
      </c>
    </row>
    <row r="330" customFormat="false" ht="25.5" hidden="false" customHeight="true" outlineLevel="0" collapsed="false">
      <c r="A330" s="323"/>
      <c r="B330" s="323"/>
      <c r="C330" s="323" t="s">
        <v>711</v>
      </c>
      <c r="D330" s="323" t="s">
        <v>4559</v>
      </c>
      <c r="E330" s="332" t="s">
        <v>4431</v>
      </c>
      <c r="F330" s="323" t="s">
        <v>4432</v>
      </c>
      <c r="G330" s="323"/>
      <c r="H330" s="328"/>
    </row>
    <row r="331" customFormat="false" ht="51.75" hidden="false" customHeight="true" outlineLevel="0" collapsed="false">
      <c r="A331" s="323"/>
      <c r="B331" s="323"/>
      <c r="C331" s="323" t="s">
        <v>711</v>
      </c>
      <c r="D331" s="330" t="s">
        <v>4560</v>
      </c>
      <c r="E331" s="331" t="s">
        <v>4440</v>
      </c>
      <c r="F331" s="326" t="s">
        <v>3456</v>
      </c>
      <c r="G331" s="323"/>
      <c r="H331" s="328" t="s">
        <v>3458</v>
      </c>
    </row>
    <row r="332" customFormat="false" ht="78" hidden="false" customHeight="true" outlineLevel="0" collapsed="false">
      <c r="A332" s="323"/>
      <c r="B332" s="323"/>
      <c r="C332" s="323" t="s">
        <v>711</v>
      </c>
      <c r="D332" s="324"/>
      <c r="E332" s="325" t="s">
        <v>4409</v>
      </c>
      <c r="F332" s="326" t="s">
        <v>3459</v>
      </c>
      <c r="G332" s="327" t="s">
        <v>3460</v>
      </c>
      <c r="H332" s="328" t="s">
        <v>3461</v>
      </c>
    </row>
    <row r="333" customFormat="false" ht="39" hidden="false" customHeight="true" outlineLevel="0" collapsed="false">
      <c r="A333" s="323"/>
      <c r="B333" s="323"/>
      <c r="C333" s="323" t="s">
        <v>711</v>
      </c>
      <c r="D333" s="324"/>
      <c r="E333" s="325" t="s">
        <v>4409</v>
      </c>
      <c r="F333" s="326" t="s">
        <v>3462</v>
      </c>
      <c r="G333" s="327" t="s">
        <v>3463</v>
      </c>
      <c r="H333" s="328" t="s">
        <v>3464</v>
      </c>
    </row>
    <row r="334" customFormat="false" ht="51.75" hidden="false" customHeight="true" outlineLevel="0" collapsed="false">
      <c r="A334" s="323"/>
      <c r="B334" s="323"/>
      <c r="C334" s="323" t="s">
        <v>711</v>
      </c>
      <c r="D334" s="324"/>
      <c r="E334" s="325" t="s">
        <v>4409</v>
      </c>
      <c r="F334" s="326" t="s">
        <v>3465</v>
      </c>
      <c r="G334" s="327" t="s">
        <v>3466</v>
      </c>
      <c r="H334" s="328" t="s">
        <v>3467</v>
      </c>
    </row>
    <row r="335" customFormat="false" ht="15" hidden="false" customHeight="true" outlineLevel="0" collapsed="false">
      <c r="A335" s="323"/>
      <c r="B335" s="323"/>
      <c r="C335" s="323" t="s">
        <v>712</v>
      </c>
      <c r="D335" s="330" t="s">
        <v>4561</v>
      </c>
      <c r="E335" s="331" t="s">
        <v>4445</v>
      </c>
      <c r="F335" s="326" t="s">
        <v>3398</v>
      </c>
      <c r="G335" s="323"/>
      <c r="H335" s="328"/>
    </row>
    <row r="336" customFormat="false" ht="25.5" hidden="false" customHeight="true" outlineLevel="0" collapsed="false">
      <c r="A336" s="323"/>
      <c r="B336" s="323"/>
      <c r="C336" s="323" t="s">
        <v>712</v>
      </c>
      <c r="D336" s="330" t="s">
        <v>4562</v>
      </c>
      <c r="E336" s="331" t="s">
        <v>4445</v>
      </c>
      <c r="F336" s="326" t="s">
        <v>3470</v>
      </c>
      <c r="G336" s="323"/>
      <c r="H336" s="328"/>
    </row>
    <row r="337" customFormat="false" ht="39" hidden="false" customHeight="true" outlineLevel="0" collapsed="false">
      <c r="A337" s="323"/>
      <c r="B337" s="323"/>
      <c r="C337" s="323" t="s">
        <v>712</v>
      </c>
      <c r="D337" s="324"/>
      <c r="E337" s="325" t="s">
        <v>4409</v>
      </c>
      <c r="F337" s="326" t="s">
        <v>3472</v>
      </c>
      <c r="G337" s="327" t="s">
        <v>3466</v>
      </c>
      <c r="H337" s="328" t="s">
        <v>3473</v>
      </c>
    </row>
    <row r="338" customFormat="false" ht="39" hidden="false" customHeight="true" outlineLevel="0" collapsed="false">
      <c r="A338" s="323"/>
      <c r="B338" s="323"/>
      <c r="C338" s="323" t="s">
        <v>2635</v>
      </c>
      <c r="D338" s="330" t="s">
        <v>4563</v>
      </c>
      <c r="E338" s="331" t="s">
        <v>4440</v>
      </c>
      <c r="F338" s="326" t="s">
        <v>3475</v>
      </c>
      <c r="G338" s="323"/>
      <c r="H338" s="328" t="s">
        <v>3476</v>
      </c>
    </row>
    <row r="339" customFormat="false" ht="39" hidden="false" customHeight="true" outlineLevel="0" collapsed="false">
      <c r="A339" s="323"/>
      <c r="B339" s="323"/>
      <c r="C339" s="323" t="s">
        <v>2635</v>
      </c>
      <c r="D339" s="324"/>
      <c r="E339" s="325" t="s">
        <v>4409</v>
      </c>
      <c r="F339" s="326" t="s">
        <v>3477</v>
      </c>
      <c r="G339" s="327" t="s">
        <v>3460</v>
      </c>
      <c r="H339" s="328" t="s">
        <v>3478</v>
      </c>
    </row>
    <row r="340" customFormat="false" ht="78" hidden="false" customHeight="true" outlineLevel="0" collapsed="false">
      <c r="A340" s="323"/>
      <c r="B340" s="323"/>
      <c r="C340" s="323" t="s">
        <v>2642</v>
      </c>
      <c r="D340" s="323" t="s">
        <v>1087</v>
      </c>
      <c r="E340" s="332" t="s">
        <v>4431</v>
      </c>
      <c r="F340" s="323" t="s">
        <v>4432</v>
      </c>
      <c r="G340" s="323"/>
      <c r="H340" s="328" t="s">
        <v>3479</v>
      </c>
    </row>
    <row r="341" customFormat="false" ht="39" hidden="false" customHeight="true" outlineLevel="0" collapsed="false">
      <c r="A341" s="323"/>
      <c r="B341" s="323"/>
      <c r="C341" s="323" t="s">
        <v>2642</v>
      </c>
      <c r="D341" s="324"/>
      <c r="E341" s="325" t="s">
        <v>4409</v>
      </c>
      <c r="F341" s="326" t="s">
        <v>3480</v>
      </c>
      <c r="G341" s="327" t="s">
        <v>3466</v>
      </c>
      <c r="H341" s="328" t="s">
        <v>3481</v>
      </c>
    </row>
    <row r="342" customFormat="false" ht="64.5" hidden="false" customHeight="true" outlineLevel="0" collapsed="false">
      <c r="A342" s="321" t="n">
        <v>29</v>
      </c>
      <c r="B342" s="321" t="s">
        <v>1168</v>
      </c>
      <c r="C342" s="321" t="s">
        <v>4564</v>
      </c>
      <c r="D342" s="321"/>
      <c r="E342" s="321"/>
      <c r="F342" s="321" t="s">
        <v>3510</v>
      </c>
      <c r="G342" s="321"/>
      <c r="H342" s="322" t="s">
        <v>4408</v>
      </c>
    </row>
    <row r="343" customFormat="false" ht="51.75" hidden="false" customHeight="true" outlineLevel="0" collapsed="false">
      <c r="A343" s="323"/>
      <c r="B343" s="323"/>
      <c r="C343" s="323" t="s">
        <v>711</v>
      </c>
      <c r="D343" s="323" t="s">
        <v>4565</v>
      </c>
      <c r="E343" s="332" t="s">
        <v>4431</v>
      </c>
      <c r="F343" s="323" t="s">
        <v>4432</v>
      </c>
      <c r="G343" s="323"/>
      <c r="H343" s="328" t="s">
        <v>3486</v>
      </c>
    </row>
    <row r="344" customFormat="false" ht="51.75" hidden="false" customHeight="true" outlineLevel="0" collapsed="false">
      <c r="A344" s="323"/>
      <c r="B344" s="323"/>
      <c r="C344" s="323" t="s">
        <v>711</v>
      </c>
      <c r="D344" s="323" t="s">
        <v>4566</v>
      </c>
      <c r="E344" s="332" t="s">
        <v>4431</v>
      </c>
      <c r="F344" s="323" t="s">
        <v>4432</v>
      </c>
      <c r="G344" s="323"/>
      <c r="H344" s="328" t="s">
        <v>3489</v>
      </c>
    </row>
    <row r="345" customFormat="false" ht="51.75" hidden="false" customHeight="true" outlineLevel="0" collapsed="false">
      <c r="A345" s="323"/>
      <c r="B345" s="323"/>
      <c r="C345" s="323" t="s">
        <v>711</v>
      </c>
      <c r="D345" s="324"/>
      <c r="E345" s="325" t="s">
        <v>4409</v>
      </c>
      <c r="F345" s="326" t="s">
        <v>3490</v>
      </c>
      <c r="G345" s="327" t="s">
        <v>3488</v>
      </c>
      <c r="H345" s="328" t="s">
        <v>3491</v>
      </c>
    </row>
    <row r="346" customFormat="false" ht="39" hidden="false" customHeight="true" outlineLevel="0" collapsed="false">
      <c r="A346" s="323"/>
      <c r="B346" s="323"/>
      <c r="C346" s="323" t="s">
        <v>711</v>
      </c>
      <c r="D346" s="324"/>
      <c r="E346" s="325" t="s">
        <v>4409</v>
      </c>
      <c r="F346" s="326" t="s">
        <v>3492</v>
      </c>
      <c r="G346" s="327" t="s">
        <v>3493</v>
      </c>
      <c r="H346" s="328" t="s">
        <v>3494</v>
      </c>
    </row>
    <row r="347" customFormat="false" ht="51.75" hidden="false" customHeight="true" outlineLevel="0" collapsed="false">
      <c r="A347" s="323"/>
      <c r="B347" s="323"/>
      <c r="C347" s="323" t="s">
        <v>712</v>
      </c>
      <c r="D347" s="330" t="s">
        <v>4567</v>
      </c>
      <c r="E347" s="331" t="s">
        <v>4445</v>
      </c>
      <c r="F347" s="326" t="s">
        <v>3496</v>
      </c>
      <c r="G347" s="323"/>
      <c r="H347" s="328" t="s">
        <v>3498</v>
      </c>
    </row>
    <row r="348" customFormat="false" ht="39" hidden="false" customHeight="true" outlineLevel="0" collapsed="false">
      <c r="A348" s="323"/>
      <c r="B348" s="323"/>
      <c r="C348" s="323" t="s">
        <v>712</v>
      </c>
      <c r="D348" s="330" t="s">
        <v>4568</v>
      </c>
      <c r="E348" s="331" t="s">
        <v>4445</v>
      </c>
      <c r="F348" s="326" t="s">
        <v>3500</v>
      </c>
      <c r="G348" s="323"/>
      <c r="H348" s="328" t="s">
        <v>3501</v>
      </c>
    </row>
    <row r="349" customFormat="false" ht="51.75" hidden="false" customHeight="true" outlineLevel="0" collapsed="false">
      <c r="A349" s="323"/>
      <c r="B349" s="323"/>
      <c r="C349" s="323" t="s">
        <v>712</v>
      </c>
      <c r="D349" s="324"/>
      <c r="E349" s="329" t="s">
        <v>4411</v>
      </c>
      <c r="F349" s="323" t="s">
        <v>4569</v>
      </c>
      <c r="G349" s="323"/>
      <c r="H349" s="328"/>
    </row>
    <row r="350" customFormat="false" ht="25.5" hidden="false" customHeight="true" outlineLevel="0" collapsed="false">
      <c r="A350" s="323"/>
      <c r="B350" s="323"/>
      <c r="C350" s="323" t="s">
        <v>2635</v>
      </c>
      <c r="D350" s="323" t="s">
        <v>4570</v>
      </c>
      <c r="E350" s="332" t="s">
        <v>4431</v>
      </c>
      <c r="F350" s="323" t="s">
        <v>4432</v>
      </c>
      <c r="G350" s="323"/>
      <c r="H350" s="328"/>
    </row>
    <row r="351" customFormat="false" ht="39" hidden="false" customHeight="true" outlineLevel="0" collapsed="false">
      <c r="A351" s="323"/>
      <c r="B351" s="323"/>
      <c r="C351" s="323" t="s">
        <v>2635</v>
      </c>
      <c r="D351" s="330" t="s">
        <v>4571</v>
      </c>
      <c r="E351" s="331" t="s">
        <v>4440</v>
      </c>
      <c r="F351" s="326" t="s">
        <v>3504</v>
      </c>
      <c r="G351" s="323"/>
      <c r="H351" s="328" t="s">
        <v>3506</v>
      </c>
    </row>
    <row r="352" customFormat="false" ht="39" hidden="false" customHeight="true" outlineLevel="0" collapsed="false">
      <c r="A352" s="323"/>
      <c r="B352" s="323"/>
      <c r="C352" s="323" t="s">
        <v>2635</v>
      </c>
      <c r="D352" s="324"/>
      <c r="E352" s="325" t="s">
        <v>4409</v>
      </c>
      <c r="F352" s="326" t="s">
        <v>3507</v>
      </c>
      <c r="G352" s="327" t="s">
        <v>3488</v>
      </c>
      <c r="H352" s="328" t="s">
        <v>3508</v>
      </c>
    </row>
    <row r="353" customFormat="false" ht="15" hidden="false" customHeight="true" outlineLevel="0" collapsed="false">
      <c r="A353" s="323"/>
      <c r="B353" s="323"/>
      <c r="C353" s="323" t="s">
        <v>2642</v>
      </c>
      <c r="D353" s="323" t="s">
        <v>1087</v>
      </c>
      <c r="E353" s="332" t="s">
        <v>4431</v>
      </c>
      <c r="F353" s="323" t="s">
        <v>4432</v>
      </c>
      <c r="G353" s="323"/>
      <c r="H353" s="328" t="s">
        <v>3509</v>
      </c>
    </row>
    <row r="354" customFormat="false" ht="25.5" hidden="false" customHeight="true" outlineLevel="0" collapsed="false">
      <c r="A354" s="323"/>
      <c r="B354" s="323"/>
      <c r="C354" s="323" t="s">
        <v>2642</v>
      </c>
      <c r="D354" s="324"/>
      <c r="E354" s="329" t="s">
        <v>4411</v>
      </c>
      <c r="F354" s="323" t="s">
        <v>4572</v>
      </c>
      <c r="G354" s="323"/>
      <c r="H354" s="328"/>
    </row>
    <row r="355" customFormat="false" ht="78" hidden="false" customHeight="true" outlineLevel="0" collapsed="false">
      <c r="A355" s="321" t="n">
        <v>30</v>
      </c>
      <c r="B355" s="321" t="s">
        <v>1182</v>
      </c>
      <c r="C355" s="321" t="s">
        <v>4573</v>
      </c>
      <c r="D355" s="321"/>
      <c r="E355" s="321"/>
      <c r="F355" s="321" t="s">
        <v>3541</v>
      </c>
      <c r="G355" s="321"/>
      <c r="H355" s="322" t="s">
        <v>4408</v>
      </c>
    </row>
    <row r="356" customFormat="false" ht="25.5" hidden="false" customHeight="true" outlineLevel="0" collapsed="false">
      <c r="A356" s="323"/>
      <c r="B356" s="323"/>
      <c r="C356" s="323" t="s">
        <v>711</v>
      </c>
      <c r="D356" s="323" t="s">
        <v>4574</v>
      </c>
      <c r="E356" s="332" t="s">
        <v>4431</v>
      </c>
      <c r="F356" s="323" t="s">
        <v>4432</v>
      </c>
      <c r="G356" s="323"/>
      <c r="H356" s="328"/>
    </row>
    <row r="357" customFormat="false" ht="78" hidden="false" customHeight="true" outlineLevel="0" collapsed="false">
      <c r="A357" s="323"/>
      <c r="B357" s="323"/>
      <c r="C357" s="323" t="s">
        <v>711</v>
      </c>
      <c r="D357" s="330" t="s">
        <v>4575</v>
      </c>
      <c r="E357" s="331" t="s">
        <v>4440</v>
      </c>
      <c r="F357" s="326" t="s">
        <v>3515</v>
      </c>
      <c r="G357" s="323"/>
      <c r="H357" s="328" t="s">
        <v>3517</v>
      </c>
    </row>
    <row r="358" customFormat="false" ht="51.75" hidden="false" customHeight="true" outlineLevel="0" collapsed="false">
      <c r="A358" s="323"/>
      <c r="B358" s="323"/>
      <c r="C358" s="323" t="s">
        <v>711</v>
      </c>
      <c r="D358" s="324"/>
      <c r="E358" s="325" t="s">
        <v>4409</v>
      </c>
      <c r="F358" s="326" t="s">
        <v>3518</v>
      </c>
      <c r="G358" s="327" t="s">
        <v>3513</v>
      </c>
      <c r="H358" s="328" t="s">
        <v>3519</v>
      </c>
    </row>
    <row r="359" customFormat="false" ht="25.5" hidden="false" customHeight="true" outlineLevel="0" collapsed="false">
      <c r="A359" s="323"/>
      <c r="B359" s="323"/>
      <c r="C359" s="323" t="s">
        <v>711</v>
      </c>
      <c r="D359" s="324"/>
      <c r="E359" s="325" t="s">
        <v>4409</v>
      </c>
      <c r="F359" s="326" t="s">
        <v>3520</v>
      </c>
      <c r="G359" s="327" t="s">
        <v>3521</v>
      </c>
      <c r="H359" s="328" t="s">
        <v>3522</v>
      </c>
    </row>
    <row r="360" customFormat="false" ht="78" hidden="false" customHeight="true" outlineLevel="0" collapsed="false">
      <c r="A360" s="323"/>
      <c r="B360" s="323"/>
      <c r="C360" s="323" t="s">
        <v>711</v>
      </c>
      <c r="D360" s="324"/>
      <c r="E360" s="325" t="s">
        <v>4409</v>
      </c>
      <c r="F360" s="326" t="s">
        <v>3523</v>
      </c>
      <c r="G360" s="327" t="s">
        <v>3524</v>
      </c>
      <c r="H360" s="328" t="s">
        <v>3525</v>
      </c>
    </row>
    <row r="361" customFormat="false" ht="25.5" hidden="false" customHeight="true" outlineLevel="0" collapsed="false">
      <c r="A361" s="323"/>
      <c r="B361" s="323"/>
      <c r="C361" s="323" t="s">
        <v>712</v>
      </c>
      <c r="D361" s="330" t="s">
        <v>4576</v>
      </c>
      <c r="E361" s="331" t="s">
        <v>4445</v>
      </c>
      <c r="F361" s="326" t="s">
        <v>3527</v>
      </c>
      <c r="G361" s="323"/>
      <c r="H361" s="328" t="s">
        <v>3529</v>
      </c>
    </row>
    <row r="362" customFormat="false" ht="39" hidden="false" customHeight="true" outlineLevel="0" collapsed="false">
      <c r="A362" s="323"/>
      <c r="B362" s="323"/>
      <c r="C362" s="323" t="s">
        <v>712</v>
      </c>
      <c r="D362" s="330" t="s">
        <v>4577</v>
      </c>
      <c r="E362" s="331" t="s">
        <v>4445</v>
      </c>
      <c r="F362" s="326" t="s">
        <v>3531</v>
      </c>
      <c r="G362" s="323"/>
      <c r="H362" s="328" t="s">
        <v>3369</v>
      </c>
    </row>
    <row r="363" customFormat="false" ht="64.5" hidden="false" customHeight="true" outlineLevel="0" collapsed="false">
      <c r="A363" s="323"/>
      <c r="B363" s="323"/>
      <c r="C363" s="323" t="s">
        <v>712</v>
      </c>
      <c r="D363" s="324"/>
      <c r="E363" s="329" t="s">
        <v>4411</v>
      </c>
      <c r="F363" s="323" t="s">
        <v>4578</v>
      </c>
      <c r="G363" s="323"/>
      <c r="H363" s="328"/>
    </row>
    <row r="364" customFormat="false" ht="25.5" hidden="false" customHeight="true" outlineLevel="0" collapsed="false">
      <c r="A364" s="323"/>
      <c r="B364" s="323"/>
      <c r="C364" s="323" t="s">
        <v>2635</v>
      </c>
      <c r="D364" s="330" t="s">
        <v>4579</v>
      </c>
      <c r="E364" s="331" t="s">
        <v>4481</v>
      </c>
      <c r="F364" s="326" t="s">
        <v>3534</v>
      </c>
      <c r="G364" s="323"/>
      <c r="H364" s="328"/>
    </row>
    <row r="365" customFormat="false" ht="25.5" hidden="false" customHeight="true" outlineLevel="0" collapsed="false">
      <c r="A365" s="323"/>
      <c r="B365" s="323"/>
      <c r="C365" s="323" t="s">
        <v>2635</v>
      </c>
      <c r="D365" s="330" t="s">
        <v>4580</v>
      </c>
      <c r="E365" s="331" t="s">
        <v>4481</v>
      </c>
      <c r="F365" s="326" t="s">
        <v>3537</v>
      </c>
      <c r="G365" s="323"/>
      <c r="H365" s="328"/>
    </row>
    <row r="366" customFormat="false" ht="39" hidden="false" customHeight="true" outlineLevel="0" collapsed="false">
      <c r="A366" s="323"/>
      <c r="B366" s="323"/>
      <c r="C366" s="323" t="s">
        <v>2635</v>
      </c>
      <c r="D366" s="330" t="s">
        <v>4581</v>
      </c>
      <c r="E366" s="331" t="s">
        <v>4440</v>
      </c>
      <c r="F366" s="326" t="s">
        <v>3540</v>
      </c>
      <c r="G366" s="323"/>
      <c r="H366" s="328"/>
    </row>
    <row r="367" customFormat="false" ht="39" hidden="false" customHeight="true" outlineLevel="0" collapsed="false">
      <c r="A367" s="323"/>
      <c r="B367" s="323"/>
      <c r="C367" s="323" t="s">
        <v>2635</v>
      </c>
      <c r="D367" s="324"/>
      <c r="E367" s="329" t="s">
        <v>4411</v>
      </c>
      <c r="F367" s="323" t="s">
        <v>4582</v>
      </c>
      <c r="G367" s="323"/>
      <c r="H367" s="328"/>
    </row>
    <row r="368" customFormat="false" ht="15" hidden="false" customHeight="true" outlineLevel="0" collapsed="false">
      <c r="A368" s="323"/>
      <c r="B368" s="323"/>
      <c r="C368" s="323" t="s">
        <v>2642</v>
      </c>
      <c r="D368" s="323" t="s">
        <v>1087</v>
      </c>
      <c r="E368" s="332" t="s">
        <v>4431</v>
      </c>
      <c r="F368" s="323" t="s">
        <v>4432</v>
      </c>
      <c r="G368" s="323"/>
      <c r="H368" s="328"/>
    </row>
    <row r="369" customFormat="false" ht="15" hidden="false" customHeight="true" outlineLevel="0" collapsed="false">
      <c r="A369" s="323"/>
      <c r="B369" s="323"/>
      <c r="C369" s="323" t="s">
        <v>2642</v>
      </c>
      <c r="D369" s="324"/>
      <c r="E369" s="329" t="s">
        <v>4411</v>
      </c>
      <c r="F369" s="323" t="s">
        <v>4304</v>
      </c>
      <c r="G369" s="323"/>
      <c r="H369" s="328"/>
    </row>
    <row r="370" customFormat="false" ht="90.75" hidden="false" customHeight="true" outlineLevel="0" collapsed="false">
      <c r="A370" s="321" t="n">
        <v>31</v>
      </c>
      <c r="B370" s="321" t="s">
        <v>1196</v>
      </c>
      <c r="C370" s="321" t="s">
        <v>4583</v>
      </c>
      <c r="D370" s="321"/>
      <c r="E370" s="321"/>
      <c r="F370" s="321" t="s">
        <v>3574</v>
      </c>
      <c r="G370" s="321"/>
      <c r="H370" s="322" t="s">
        <v>4423</v>
      </c>
    </row>
    <row r="371" customFormat="false" ht="78" hidden="false" customHeight="true" outlineLevel="0" collapsed="false">
      <c r="A371" s="323"/>
      <c r="B371" s="323"/>
      <c r="C371" s="323" t="s">
        <v>711</v>
      </c>
      <c r="D371" s="323" t="s">
        <v>4584</v>
      </c>
      <c r="E371" s="332" t="s">
        <v>4431</v>
      </c>
      <c r="F371" s="323" t="s">
        <v>4432</v>
      </c>
      <c r="G371" s="323"/>
      <c r="H371" s="328" t="s">
        <v>3545</v>
      </c>
    </row>
    <row r="372" customFormat="false" ht="39" hidden="false" customHeight="true" outlineLevel="0" collapsed="false">
      <c r="A372" s="323"/>
      <c r="B372" s="323"/>
      <c r="C372" s="323" t="s">
        <v>711</v>
      </c>
      <c r="D372" s="330" t="s">
        <v>4585</v>
      </c>
      <c r="E372" s="331" t="s">
        <v>4445</v>
      </c>
      <c r="F372" s="326" t="s">
        <v>3547</v>
      </c>
      <c r="G372" s="323"/>
      <c r="H372" s="328" t="s">
        <v>3549</v>
      </c>
    </row>
    <row r="373" customFormat="false" ht="78" hidden="false" customHeight="true" outlineLevel="0" collapsed="false">
      <c r="A373" s="323"/>
      <c r="B373" s="323"/>
      <c r="C373" s="323" t="s">
        <v>711</v>
      </c>
      <c r="D373" s="324"/>
      <c r="E373" s="325" t="s">
        <v>4409</v>
      </c>
      <c r="F373" s="326" t="s">
        <v>3550</v>
      </c>
      <c r="G373" s="327" t="s">
        <v>3551</v>
      </c>
      <c r="H373" s="328" t="s">
        <v>3552</v>
      </c>
    </row>
    <row r="374" customFormat="false" ht="78" hidden="false" customHeight="true" outlineLevel="0" collapsed="false">
      <c r="A374" s="323"/>
      <c r="B374" s="323"/>
      <c r="C374" s="323" t="s">
        <v>711</v>
      </c>
      <c r="D374" s="324"/>
      <c r="E374" s="325" t="s">
        <v>4409</v>
      </c>
      <c r="F374" s="326" t="s">
        <v>3553</v>
      </c>
      <c r="G374" s="327" t="s">
        <v>3554</v>
      </c>
      <c r="H374" s="328" t="s">
        <v>3555</v>
      </c>
    </row>
    <row r="375" customFormat="false" ht="51.75" hidden="false" customHeight="true" outlineLevel="0" collapsed="false">
      <c r="A375" s="323"/>
      <c r="B375" s="323"/>
      <c r="C375" s="323" t="s">
        <v>711</v>
      </c>
      <c r="D375" s="324"/>
      <c r="E375" s="325" t="s">
        <v>4409</v>
      </c>
      <c r="F375" s="326" t="s">
        <v>3556</v>
      </c>
      <c r="G375" s="327" t="s">
        <v>3557</v>
      </c>
      <c r="H375" s="328" t="s">
        <v>3558</v>
      </c>
    </row>
    <row r="376" customFormat="false" ht="25.5" hidden="false" customHeight="true" outlineLevel="0" collapsed="false">
      <c r="A376" s="323"/>
      <c r="B376" s="323"/>
      <c r="C376" s="323" t="s">
        <v>712</v>
      </c>
      <c r="D376" s="330" t="s">
        <v>4586</v>
      </c>
      <c r="E376" s="331" t="s">
        <v>4445</v>
      </c>
      <c r="F376" s="326" t="s">
        <v>3560</v>
      </c>
      <c r="G376" s="323"/>
      <c r="H376" s="328" t="s">
        <v>3369</v>
      </c>
    </row>
    <row r="377" customFormat="false" ht="39" hidden="false" customHeight="true" outlineLevel="0" collapsed="false">
      <c r="A377" s="323"/>
      <c r="B377" s="323"/>
      <c r="C377" s="323" t="s">
        <v>712</v>
      </c>
      <c r="D377" s="330" t="s">
        <v>4587</v>
      </c>
      <c r="E377" s="331" t="s">
        <v>4445</v>
      </c>
      <c r="F377" s="326" t="s">
        <v>3563</v>
      </c>
      <c r="G377" s="323"/>
      <c r="H377" s="328"/>
    </row>
    <row r="378" customFormat="false" ht="25.5" hidden="false" customHeight="true" outlineLevel="0" collapsed="false">
      <c r="A378" s="323"/>
      <c r="B378" s="323"/>
      <c r="C378" s="323" t="s">
        <v>712</v>
      </c>
      <c r="D378" s="330" t="s">
        <v>4588</v>
      </c>
      <c r="E378" s="331" t="s">
        <v>4445</v>
      </c>
      <c r="F378" s="326" t="s">
        <v>3565</v>
      </c>
      <c r="G378" s="323"/>
      <c r="H378" s="328"/>
    </row>
    <row r="379" customFormat="false" ht="64.5" hidden="false" customHeight="true" outlineLevel="0" collapsed="false">
      <c r="A379" s="323"/>
      <c r="B379" s="323"/>
      <c r="C379" s="323" t="s">
        <v>712</v>
      </c>
      <c r="D379" s="324"/>
      <c r="E379" s="329" t="s">
        <v>4411</v>
      </c>
      <c r="F379" s="323" t="s">
        <v>4589</v>
      </c>
      <c r="G379" s="323"/>
      <c r="H379" s="328"/>
    </row>
    <row r="380" customFormat="false" ht="25.5" hidden="false" customHeight="true" outlineLevel="0" collapsed="false">
      <c r="A380" s="323"/>
      <c r="B380" s="323"/>
      <c r="C380" s="323" t="s">
        <v>2635</v>
      </c>
      <c r="D380" s="330" t="s">
        <v>4590</v>
      </c>
      <c r="E380" s="331" t="s">
        <v>4445</v>
      </c>
      <c r="F380" s="326" t="s">
        <v>3567</v>
      </c>
      <c r="G380" s="323"/>
      <c r="H380" s="328" t="s">
        <v>3569</v>
      </c>
    </row>
    <row r="381" customFormat="false" ht="64.5" hidden="false" customHeight="true" outlineLevel="0" collapsed="false">
      <c r="A381" s="323"/>
      <c r="B381" s="323"/>
      <c r="C381" s="323" t="s">
        <v>2635</v>
      </c>
      <c r="D381" s="324"/>
      <c r="E381" s="325" t="s">
        <v>4409</v>
      </c>
      <c r="F381" s="326" t="s">
        <v>3570</v>
      </c>
      <c r="G381" s="327" t="s">
        <v>3571</v>
      </c>
      <c r="H381" s="328" t="s">
        <v>3572</v>
      </c>
    </row>
    <row r="382" customFormat="false" ht="25.5" hidden="false" customHeight="true" outlineLevel="0" collapsed="false">
      <c r="A382" s="323"/>
      <c r="B382" s="323"/>
      <c r="C382" s="323" t="s">
        <v>2642</v>
      </c>
      <c r="D382" s="323" t="s">
        <v>1207</v>
      </c>
      <c r="E382" s="332" t="s">
        <v>4431</v>
      </c>
      <c r="F382" s="323" t="s">
        <v>4432</v>
      </c>
      <c r="G382" s="323"/>
      <c r="H382" s="328" t="s">
        <v>3573</v>
      </c>
    </row>
    <row r="383" customFormat="false" ht="15" hidden="false" customHeight="true" outlineLevel="0" collapsed="false">
      <c r="A383" s="323"/>
      <c r="B383" s="323"/>
      <c r="C383" s="323" t="s">
        <v>2642</v>
      </c>
      <c r="D383" s="324"/>
      <c r="E383" s="329" t="s">
        <v>4411</v>
      </c>
      <c r="F383" s="323" t="s">
        <v>4304</v>
      </c>
      <c r="G383" s="323"/>
      <c r="H383" s="328"/>
    </row>
    <row r="384" customFormat="false" ht="78" hidden="false" customHeight="true" outlineLevel="0" collapsed="false">
      <c r="A384" s="321" t="n">
        <v>32</v>
      </c>
      <c r="B384" s="321" t="s">
        <v>1212</v>
      </c>
      <c r="C384" s="321" t="s">
        <v>4591</v>
      </c>
      <c r="D384" s="321"/>
      <c r="E384" s="321"/>
      <c r="F384" s="321" t="s">
        <v>3601</v>
      </c>
      <c r="G384" s="321"/>
      <c r="H384" s="322" t="s">
        <v>4423</v>
      </c>
    </row>
    <row r="385" customFormat="false" ht="39" hidden="false" customHeight="true" outlineLevel="0" collapsed="false">
      <c r="A385" s="323"/>
      <c r="B385" s="323"/>
      <c r="C385" s="323" t="s">
        <v>711</v>
      </c>
      <c r="D385" s="330" t="s">
        <v>4592</v>
      </c>
      <c r="E385" s="331" t="s">
        <v>4445</v>
      </c>
      <c r="F385" s="326" t="s">
        <v>3577</v>
      </c>
      <c r="G385" s="323"/>
      <c r="H385" s="328" t="s">
        <v>3579</v>
      </c>
    </row>
    <row r="386" customFormat="false" ht="90.75" hidden="false" customHeight="true" outlineLevel="0" collapsed="false">
      <c r="A386" s="323"/>
      <c r="B386" s="323"/>
      <c r="C386" s="323" t="s">
        <v>711</v>
      </c>
      <c r="D386" s="324"/>
      <c r="E386" s="325" t="s">
        <v>4409</v>
      </c>
      <c r="F386" s="326" t="s">
        <v>3580</v>
      </c>
      <c r="G386" s="327" t="s">
        <v>3581</v>
      </c>
      <c r="H386" s="328" t="s">
        <v>3582</v>
      </c>
    </row>
    <row r="387" customFormat="false" ht="51.75" hidden="false" customHeight="true" outlineLevel="0" collapsed="false">
      <c r="A387" s="323"/>
      <c r="B387" s="323"/>
      <c r="C387" s="323" t="s">
        <v>711</v>
      </c>
      <c r="D387" s="324"/>
      <c r="E387" s="325" t="s">
        <v>4409</v>
      </c>
      <c r="F387" s="326" t="s">
        <v>3583</v>
      </c>
      <c r="G387" s="327" t="s">
        <v>3584</v>
      </c>
      <c r="H387" s="328" t="s">
        <v>3585</v>
      </c>
    </row>
    <row r="388" customFormat="false" ht="25.5" hidden="false" customHeight="true" outlineLevel="0" collapsed="false">
      <c r="A388" s="323"/>
      <c r="B388" s="323"/>
      <c r="C388" s="323" t="s">
        <v>712</v>
      </c>
      <c r="D388" s="330" t="s">
        <v>4593</v>
      </c>
      <c r="E388" s="331" t="s">
        <v>4445</v>
      </c>
      <c r="F388" s="326" t="s">
        <v>3587</v>
      </c>
      <c r="G388" s="323"/>
      <c r="H388" s="328" t="s">
        <v>3369</v>
      </c>
    </row>
    <row r="389" customFormat="false" ht="78" hidden="false" customHeight="true" outlineLevel="0" collapsed="false">
      <c r="A389" s="323"/>
      <c r="B389" s="323"/>
      <c r="C389" s="323" t="s">
        <v>712</v>
      </c>
      <c r="D389" s="324"/>
      <c r="E389" s="325" t="s">
        <v>4409</v>
      </c>
      <c r="F389" s="326" t="s">
        <v>3589</v>
      </c>
      <c r="G389" s="327" t="s">
        <v>3590</v>
      </c>
      <c r="H389" s="328" t="s">
        <v>3591</v>
      </c>
    </row>
    <row r="390" customFormat="false" ht="25.5" hidden="false" customHeight="true" outlineLevel="0" collapsed="false">
      <c r="A390" s="323"/>
      <c r="B390" s="323"/>
      <c r="C390" s="323" t="s">
        <v>2635</v>
      </c>
      <c r="D390" s="330" t="s">
        <v>4594</v>
      </c>
      <c r="E390" s="331" t="s">
        <v>4445</v>
      </c>
      <c r="F390" s="326" t="s">
        <v>4595</v>
      </c>
      <c r="G390" s="323"/>
      <c r="H390" s="328" t="s">
        <v>3569</v>
      </c>
    </row>
    <row r="391" customFormat="false" ht="25.5" hidden="false" customHeight="true" outlineLevel="0" collapsed="false">
      <c r="A391" s="323"/>
      <c r="B391" s="323"/>
      <c r="C391" s="323" t="s">
        <v>2635</v>
      </c>
      <c r="D391" s="330" t="s">
        <v>4596</v>
      </c>
      <c r="E391" s="331" t="s">
        <v>4445</v>
      </c>
      <c r="F391" s="326" t="s">
        <v>3596</v>
      </c>
      <c r="G391" s="323"/>
      <c r="H391" s="328"/>
    </row>
    <row r="392" customFormat="false" ht="51.75" hidden="false" customHeight="true" outlineLevel="0" collapsed="false">
      <c r="A392" s="323"/>
      <c r="B392" s="323"/>
      <c r="C392" s="323" t="s">
        <v>2635</v>
      </c>
      <c r="D392" s="324"/>
      <c r="E392" s="325" t="s">
        <v>4409</v>
      </c>
      <c r="F392" s="326" t="s">
        <v>3598</v>
      </c>
      <c r="G392" s="327" t="s">
        <v>3599</v>
      </c>
      <c r="H392" s="328" t="s">
        <v>3600</v>
      </c>
    </row>
    <row r="393" customFormat="false" ht="15" hidden="false" customHeight="true" outlineLevel="0" collapsed="false">
      <c r="A393" s="323"/>
      <c r="B393" s="323"/>
      <c r="C393" s="323" t="s">
        <v>2642</v>
      </c>
      <c r="D393" s="323" t="s">
        <v>1207</v>
      </c>
      <c r="E393" s="332" t="s">
        <v>4431</v>
      </c>
      <c r="F393" s="323" t="s">
        <v>4432</v>
      </c>
      <c r="G393" s="323"/>
      <c r="H393" s="328"/>
    </row>
    <row r="394" customFormat="false" ht="51.75" hidden="false" customHeight="true" outlineLevel="0" collapsed="false">
      <c r="A394" s="323"/>
      <c r="B394" s="323"/>
      <c r="C394" s="323" t="s">
        <v>2642</v>
      </c>
      <c r="D394" s="324"/>
      <c r="E394" s="329" t="s">
        <v>4411</v>
      </c>
      <c r="F394" s="323" t="s">
        <v>4597</v>
      </c>
      <c r="G394" s="323"/>
      <c r="H394" s="328"/>
    </row>
    <row r="395" customFormat="false" ht="78" hidden="false" customHeight="true" outlineLevel="0" collapsed="false">
      <c r="A395" s="321" t="n">
        <v>33</v>
      </c>
      <c r="B395" s="321" t="s">
        <v>3603</v>
      </c>
      <c r="C395" s="321" t="s">
        <v>4598</v>
      </c>
      <c r="D395" s="321"/>
      <c r="E395" s="321"/>
      <c r="F395" s="321" t="s">
        <v>3624</v>
      </c>
      <c r="G395" s="321"/>
      <c r="H395" s="322" t="s">
        <v>4408</v>
      </c>
    </row>
    <row r="396" customFormat="false" ht="39" hidden="false" customHeight="true" outlineLevel="0" collapsed="false">
      <c r="A396" s="323"/>
      <c r="B396" s="323"/>
      <c r="C396" s="323" t="s">
        <v>711</v>
      </c>
      <c r="D396" s="330" t="s">
        <v>4599</v>
      </c>
      <c r="E396" s="331" t="s">
        <v>4440</v>
      </c>
      <c r="F396" s="326" t="s">
        <v>3605</v>
      </c>
      <c r="G396" s="323"/>
      <c r="H396" s="328" t="s">
        <v>3606</v>
      </c>
    </row>
    <row r="397" customFormat="false" ht="78" hidden="false" customHeight="true" outlineLevel="0" collapsed="false">
      <c r="A397" s="323"/>
      <c r="B397" s="323"/>
      <c r="C397" s="323" t="s">
        <v>711</v>
      </c>
      <c r="D397" s="324"/>
      <c r="E397" s="325" t="s">
        <v>4409</v>
      </c>
      <c r="F397" s="326" t="s">
        <v>3607</v>
      </c>
      <c r="G397" s="327" t="s">
        <v>3608</v>
      </c>
      <c r="H397" s="328" t="s">
        <v>3609</v>
      </c>
    </row>
    <row r="398" customFormat="false" ht="64.5" hidden="false" customHeight="true" outlineLevel="0" collapsed="false">
      <c r="A398" s="323"/>
      <c r="B398" s="323"/>
      <c r="C398" s="323" t="s">
        <v>711</v>
      </c>
      <c r="D398" s="324"/>
      <c r="E398" s="325" t="s">
        <v>4409</v>
      </c>
      <c r="F398" s="326" t="s">
        <v>3610</v>
      </c>
      <c r="G398" s="327" t="s">
        <v>3611</v>
      </c>
      <c r="H398" s="328" t="s">
        <v>3612</v>
      </c>
    </row>
    <row r="399" customFormat="false" ht="39" hidden="false" customHeight="true" outlineLevel="0" collapsed="false">
      <c r="A399" s="323"/>
      <c r="B399" s="323"/>
      <c r="C399" s="323" t="s">
        <v>711</v>
      </c>
      <c r="D399" s="324"/>
      <c r="E399" s="325" t="s">
        <v>4409</v>
      </c>
      <c r="F399" s="326" t="s">
        <v>3613</v>
      </c>
      <c r="G399" s="327" t="s">
        <v>3614</v>
      </c>
      <c r="H399" s="328" t="s">
        <v>3615</v>
      </c>
    </row>
    <row r="400" customFormat="false" ht="15" hidden="false" customHeight="true" outlineLevel="0" collapsed="false">
      <c r="A400" s="323"/>
      <c r="B400" s="323"/>
      <c r="C400" s="323" t="s">
        <v>712</v>
      </c>
      <c r="D400" s="323" t="s">
        <v>1232</v>
      </c>
      <c r="E400" s="332" t="s">
        <v>4431</v>
      </c>
      <c r="F400" s="323" t="s">
        <v>4432</v>
      </c>
      <c r="G400" s="323"/>
      <c r="H400" s="328"/>
    </row>
    <row r="401" customFormat="false" ht="51.75" hidden="false" customHeight="true" outlineLevel="0" collapsed="false">
      <c r="A401" s="323"/>
      <c r="B401" s="323"/>
      <c r="C401" s="323" t="s">
        <v>712</v>
      </c>
      <c r="D401" s="324"/>
      <c r="E401" s="329" t="s">
        <v>4411</v>
      </c>
      <c r="F401" s="323" t="s">
        <v>4600</v>
      </c>
      <c r="G401" s="323"/>
      <c r="H401" s="328"/>
    </row>
    <row r="402" customFormat="false" ht="39" hidden="false" customHeight="true" outlineLevel="0" collapsed="false">
      <c r="A402" s="323"/>
      <c r="B402" s="323"/>
      <c r="C402" s="323" t="s">
        <v>2635</v>
      </c>
      <c r="D402" s="330" t="s">
        <v>4601</v>
      </c>
      <c r="E402" s="331" t="s">
        <v>4440</v>
      </c>
      <c r="F402" s="326" t="s">
        <v>3617</v>
      </c>
      <c r="G402" s="323"/>
      <c r="H402" s="328" t="s">
        <v>3619</v>
      </c>
    </row>
    <row r="403" customFormat="false" ht="39" hidden="false" customHeight="true" outlineLevel="0" collapsed="false">
      <c r="A403" s="323"/>
      <c r="B403" s="323"/>
      <c r="C403" s="323" t="s">
        <v>2635</v>
      </c>
      <c r="D403" s="330" t="s">
        <v>4602</v>
      </c>
      <c r="E403" s="331" t="s">
        <v>4440</v>
      </c>
      <c r="F403" s="326" t="s">
        <v>4603</v>
      </c>
      <c r="G403" s="323"/>
      <c r="H403" s="328" t="s">
        <v>4604</v>
      </c>
    </row>
    <row r="404" customFormat="false" ht="51.75" hidden="false" customHeight="true" outlineLevel="0" collapsed="false">
      <c r="A404" s="323"/>
      <c r="B404" s="323"/>
      <c r="C404" s="323" t="s">
        <v>2635</v>
      </c>
      <c r="D404" s="330" t="s">
        <v>4605</v>
      </c>
      <c r="E404" s="331" t="s">
        <v>4481</v>
      </c>
      <c r="F404" s="326" t="s">
        <v>4606</v>
      </c>
      <c r="G404" s="323"/>
      <c r="H404" s="328"/>
    </row>
    <row r="405" customFormat="false" ht="78" hidden="false" customHeight="true" outlineLevel="0" collapsed="false">
      <c r="A405" s="323"/>
      <c r="B405" s="323"/>
      <c r="C405" s="323" t="s">
        <v>2635</v>
      </c>
      <c r="D405" s="324"/>
      <c r="E405" s="325" t="s">
        <v>4409</v>
      </c>
      <c r="F405" s="326" t="s">
        <v>3620</v>
      </c>
      <c r="G405" s="327" t="s">
        <v>3621</v>
      </c>
      <c r="H405" s="328" t="s">
        <v>3622</v>
      </c>
    </row>
    <row r="406" customFormat="false" ht="15" hidden="false" customHeight="true" outlineLevel="0" collapsed="false">
      <c r="A406" s="323"/>
      <c r="B406" s="323"/>
      <c r="C406" s="323" t="s">
        <v>2642</v>
      </c>
      <c r="D406" s="323" t="s">
        <v>1207</v>
      </c>
      <c r="E406" s="332" t="s">
        <v>4431</v>
      </c>
      <c r="F406" s="323" t="s">
        <v>4432</v>
      </c>
      <c r="G406" s="323"/>
      <c r="H406" s="328" t="s">
        <v>3623</v>
      </c>
    </row>
    <row r="407" customFormat="false" ht="39" hidden="false" customHeight="true" outlineLevel="0" collapsed="false">
      <c r="A407" s="323"/>
      <c r="B407" s="323"/>
      <c r="C407" s="323" t="s">
        <v>2642</v>
      </c>
      <c r="D407" s="324"/>
      <c r="E407" s="329" t="s">
        <v>4411</v>
      </c>
      <c r="F407" s="323" t="s">
        <v>4607</v>
      </c>
      <c r="G407" s="323"/>
      <c r="H407" s="328"/>
    </row>
    <row r="408" customFormat="false" ht="90.75" hidden="false" customHeight="true" outlineLevel="0" collapsed="false">
      <c r="A408" s="321" t="n">
        <v>34</v>
      </c>
      <c r="B408" s="321" t="s">
        <v>3626</v>
      </c>
      <c r="C408" s="321" t="s">
        <v>4608</v>
      </c>
      <c r="D408" s="321"/>
      <c r="E408" s="321"/>
      <c r="F408" s="321" t="s">
        <v>3651</v>
      </c>
      <c r="G408" s="321"/>
      <c r="H408" s="322" t="s">
        <v>4408</v>
      </c>
    </row>
    <row r="409" customFormat="false" ht="39" hidden="false" customHeight="true" outlineLevel="0" collapsed="false">
      <c r="A409" s="323"/>
      <c r="B409" s="323"/>
      <c r="C409" s="323" t="s">
        <v>711</v>
      </c>
      <c r="D409" s="330" t="s">
        <v>4609</v>
      </c>
      <c r="E409" s="331" t="s">
        <v>4445</v>
      </c>
      <c r="F409" s="326" t="s">
        <v>3628</v>
      </c>
      <c r="G409" s="323"/>
      <c r="H409" s="328" t="s">
        <v>3630</v>
      </c>
    </row>
    <row r="410" customFormat="false" ht="64.5" hidden="false" customHeight="true" outlineLevel="0" collapsed="false">
      <c r="A410" s="323"/>
      <c r="B410" s="323"/>
      <c r="C410" s="323" t="s">
        <v>711</v>
      </c>
      <c r="D410" s="324"/>
      <c r="E410" s="325" t="s">
        <v>4409</v>
      </c>
      <c r="F410" s="326" t="s">
        <v>3631</v>
      </c>
      <c r="G410" s="327" t="s">
        <v>3632</v>
      </c>
      <c r="H410" s="328" t="s">
        <v>3633</v>
      </c>
    </row>
    <row r="411" customFormat="false" ht="39" hidden="false" customHeight="true" outlineLevel="0" collapsed="false">
      <c r="A411" s="323"/>
      <c r="B411" s="323"/>
      <c r="C411" s="323" t="s">
        <v>712</v>
      </c>
      <c r="D411" s="323" t="s">
        <v>4610</v>
      </c>
      <c r="E411" s="332" t="s">
        <v>4431</v>
      </c>
      <c r="F411" s="323" t="s">
        <v>4432</v>
      </c>
      <c r="G411" s="323"/>
      <c r="H411" s="328"/>
    </row>
    <row r="412" customFormat="false" ht="117" hidden="false" customHeight="true" outlineLevel="0" collapsed="false">
      <c r="A412" s="323"/>
      <c r="B412" s="323"/>
      <c r="C412" s="323" t="s">
        <v>712</v>
      </c>
      <c r="D412" s="324"/>
      <c r="E412" s="325" t="s">
        <v>4409</v>
      </c>
      <c r="F412" s="326" t="s">
        <v>3636</v>
      </c>
      <c r="G412" s="327" t="s">
        <v>3637</v>
      </c>
      <c r="H412" s="328" t="s">
        <v>3638</v>
      </c>
    </row>
    <row r="413" customFormat="false" ht="39" hidden="false" customHeight="true" outlineLevel="0" collapsed="false">
      <c r="A413" s="323"/>
      <c r="B413" s="323"/>
      <c r="C413" s="323" t="s">
        <v>2635</v>
      </c>
      <c r="D413" s="330" t="s">
        <v>4611</v>
      </c>
      <c r="E413" s="331" t="s">
        <v>4445</v>
      </c>
      <c r="F413" s="326" t="s">
        <v>3640</v>
      </c>
      <c r="G413" s="323"/>
      <c r="H413" s="328" t="s">
        <v>3569</v>
      </c>
    </row>
    <row r="414" customFormat="false" ht="51.75" hidden="false" customHeight="true" outlineLevel="0" collapsed="false">
      <c r="A414" s="323"/>
      <c r="B414" s="323"/>
      <c r="C414" s="323" t="s">
        <v>2635</v>
      </c>
      <c r="D414" s="330" t="s">
        <v>4612</v>
      </c>
      <c r="E414" s="331" t="s">
        <v>4481</v>
      </c>
      <c r="F414" s="326" t="s">
        <v>3642</v>
      </c>
      <c r="G414" s="323"/>
      <c r="H414" s="328" t="s">
        <v>3644</v>
      </c>
    </row>
    <row r="415" customFormat="false" ht="64.5" hidden="false" customHeight="true" outlineLevel="0" collapsed="false">
      <c r="A415" s="323"/>
      <c r="B415" s="323"/>
      <c r="C415" s="323" t="s">
        <v>2635</v>
      </c>
      <c r="D415" s="324"/>
      <c r="E415" s="325" t="s">
        <v>4409</v>
      </c>
      <c r="F415" s="326" t="s">
        <v>3645</v>
      </c>
      <c r="G415" s="327" t="s">
        <v>3632</v>
      </c>
      <c r="H415" s="328" t="s">
        <v>3646</v>
      </c>
    </row>
    <row r="416" customFormat="false" ht="90.75" hidden="false" customHeight="true" outlineLevel="0" collapsed="false">
      <c r="A416" s="323"/>
      <c r="B416" s="323"/>
      <c r="C416" s="323" t="s">
        <v>2635</v>
      </c>
      <c r="D416" s="324"/>
      <c r="E416" s="325" t="s">
        <v>4409</v>
      </c>
      <c r="F416" s="326" t="s">
        <v>3647</v>
      </c>
      <c r="G416" s="327" t="s">
        <v>3648</v>
      </c>
      <c r="H416" s="328" t="s">
        <v>3649</v>
      </c>
    </row>
    <row r="417" customFormat="false" ht="39" hidden="false" customHeight="true" outlineLevel="0" collapsed="false">
      <c r="A417" s="323"/>
      <c r="B417" s="323"/>
      <c r="C417" s="323" t="s">
        <v>2642</v>
      </c>
      <c r="D417" s="323" t="s">
        <v>1207</v>
      </c>
      <c r="E417" s="332" t="s">
        <v>4431</v>
      </c>
      <c r="F417" s="323" t="s">
        <v>4432</v>
      </c>
      <c r="G417" s="323"/>
      <c r="H417" s="328" t="s">
        <v>3650</v>
      </c>
    </row>
    <row r="418" customFormat="false" ht="64.5" hidden="false" customHeight="true" outlineLevel="0" collapsed="false">
      <c r="A418" s="323"/>
      <c r="B418" s="323"/>
      <c r="C418" s="323" t="s">
        <v>2642</v>
      </c>
      <c r="D418" s="324"/>
      <c r="E418" s="329" t="s">
        <v>4411</v>
      </c>
      <c r="F418" s="323" t="s">
        <v>4613</v>
      </c>
      <c r="G418" s="323"/>
      <c r="H418" s="328"/>
    </row>
    <row r="419" customFormat="false" ht="78" hidden="false" customHeight="true" outlineLevel="0" collapsed="false">
      <c r="A419" s="321" t="n">
        <v>35</v>
      </c>
      <c r="B419" s="321" t="s">
        <v>3653</v>
      </c>
      <c r="C419" s="321" t="s">
        <v>4614</v>
      </c>
      <c r="D419" s="321"/>
      <c r="E419" s="321"/>
      <c r="F419" s="321" t="s">
        <v>3677</v>
      </c>
      <c r="G419" s="321"/>
      <c r="H419" s="322" t="s">
        <v>4408</v>
      </c>
    </row>
    <row r="420" customFormat="false" ht="78" hidden="false" customHeight="true" outlineLevel="0" collapsed="false">
      <c r="A420" s="323"/>
      <c r="B420" s="323"/>
      <c r="C420" s="323" t="s">
        <v>711</v>
      </c>
      <c r="D420" s="323" t="s">
        <v>4615</v>
      </c>
      <c r="E420" s="332" t="s">
        <v>4431</v>
      </c>
      <c r="F420" s="323" t="s">
        <v>4432</v>
      </c>
      <c r="G420" s="323"/>
      <c r="H420" s="328" t="s">
        <v>3655</v>
      </c>
    </row>
    <row r="421" customFormat="false" ht="78" hidden="false" customHeight="true" outlineLevel="0" collapsed="false">
      <c r="A421" s="323"/>
      <c r="B421" s="323"/>
      <c r="C421" s="323" t="s">
        <v>711</v>
      </c>
      <c r="D421" s="330" t="s">
        <v>4616</v>
      </c>
      <c r="E421" s="331" t="s">
        <v>4440</v>
      </c>
      <c r="F421" s="326" t="s">
        <v>3658</v>
      </c>
      <c r="G421" s="323"/>
      <c r="H421" s="328" t="s">
        <v>3659</v>
      </c>
    </row>
    <row r="422" customFormat="false" ht="78" hidden="false" customHeight="true" outlineLevel="0" collapsed="false">
      <c r="A422" s="323"/>
      <c r="B422" s="323"/>
      <c r="C422" s="323" t="s">
        <v>711</v>
      </c>
      <c r="D422" s="330" t="s">
        <v>4617</v>
      </c>
      <c r="E422" s="331" t="s">
        <v>4440</v>
      </c>
      <c r="F422" s="326" t="s">
        <v>4618</v>
      </c>
      <c r="G422" s="323"/>
      <c r="H422" s="328" t="s">
        <v>4619</v>
      </c>
    </row>
    <row r="423" customFormat="false" ht="64.5" hidden="false" customHeight="true" outlineLevel="0" collapsed="false">
      <c r="A423" s="323"/>
      <c r="B423" s="323"/>
      <c r="C423" s="323" t="s">
        <v>711</v>
      </c>
      <c r="D423" s="324"/>
      <c r="E423" s="325" t="s">
        <v>4409</v>
      </c>
      <c r="F423" s="326" t="s">
        <v>3660</v>
      </c>
      <c r="G423" s="327" t="s">
        <v>3661</v>
      </c>
      <c r="H423" s="328" t="s">
        <v>3662</v>
      </c>
    </row>
    <row r="424" customFormat="false" ht="51.75" hidden="false" customHeight="true" outlineLevel="0" collapsed="false">
      <c r="A424" s="323"/>
      <c r="B424" s="323"/>
      <c r="C424" s="323" t="s">
        <v>711</v>
      </c>
      <c r="D424" s="324"/>
      <c r="E424" s="325" t="s">
        <v>4409</v>
      </c>
      <c r="F424" s="326" t="s">
        <v>3663</v>
      </c>
      <c r="G424" s="327" t="s">
        <v>3664</v>
      </c>
      <c r="H424" s="328" t="s">
        <v>3665</v>
      </c>
    </row>
    <row r="425" customFormat="false" ht="25.5" hidden="false" customHeight="true" outlineLevel="0" collapsed="false">
      <c r="A425" s="323"/>
      <c r="B425" s="323"/>
      <c r="C425" s="323" t="s">
        <v>712</v>
      </c>
      <c r="D425" s="330" t="s">
        <v>4620</v>
      </c>
      <c r="E425" s="331" t="s">
        <v>4445</v>
      </c>
      <c r="F425" s="326" t="s">
        <v>3667</v>
      </c>
      <c r="G425" s="323"/>
      <c r="H425" s="328" t="s">
        <v>3668</v>
      </c>
    </row>
    <row r="426" customFormat="false" ht="103.5" hidden="false" customHeight="true" outlineLevel="0" collapsed="false">
      <c r="A426" s="323"/>
      <c r="B426" s="323"/>
      <c r="C426" s="323" t="s">
        <v>712</v>
      </c>
      <c r="D426" s="330" t="s">
        <v>3669</v>
      </c>
      <c r="E426" s="331" t="s">
        <v>4440</v>
      </c>
      <c r="F426" s="326" t="s">
        <v>3670</v>
      </c>
      <c r="G426" s="323"/>
      <c r="H426" s="328" t="s">
        <v>3672</v>
      </c>
    </row>
    <row r="427" customFormat="false" ht="39" hidden="false" customHeight="true" outlineLevel="0" collapsed="false">
      <c r="A427" s="323"/>
      <c r="B427" s="323"/>
      <c r="C427" s="323" t="s">
        <v>712</v>
      </c>
      <c r="D427" s="324"/>
      <c r="E427" s="329" t="s">
        <v>4411</v>
      </c>
      <c r="F427" s="323" t="s">
        <v>4621</v>
      </c>
      <c r="G427" s="323"/>
      <c r="H427" s="328"/>
    </row>
    <row r="428" customFormat="false" ht="51.75" hidden="false" customHeight="true" outlineLevel="0" collapsed="false">
      <c r="A428" s="323"/>
      <c r="B428" s="323"/>
      <c r="C428" s="323" t="s">
        <v>2635</v>
      </c>
      <c r="D428" s="330" t="s">
        <v>4622</v>
      </c>
      <c r="E428" s="331" t="s">
        <v>4440</v>
      </c>
      <c r="F428" s="326" t="s">
        <v>3674</v>
      </c>
      <c r="G428" s="323"/>
      <c r="H428" s="328" t="s">
        <v>3675</v>
      </c>
    </row>
    <row r="429" customFormat="false" ht="51.75" hidden="false" customHeight="true" outlineLevel="0" collapsed="false">
      <c r="A429" s="323"/>
      <c r="B429" s="323"/>
      <c r="C429" s="323" t="s">
        <v>2635</v>
      </c>
      <c r="D429" s="324"/>
      <c r="E429" s="329" t="s">
        <v>4411</v>
      </c>
      <c r="F429" s="323" t="s">
        <v>4623</v>
      </c>
      <c r="G429" s="323"/>
      <c r="H429" s="328"/>
    </row>
    <row r="430" customFormat="false" ht="39" hidden="false" customHeight="true" outlineLevel="0" collapsed="false">
      <c r="A430" s="323"/>
      <c r="B430" s="323"/>
      <c r="C430" s="323" t="s">
        <v>2642</v>
      </c>
      <c r="D430" s="323" t="s">
        <v>1207</v>
      </c>
      <c r="E430" s="332" t="s">
        <v>4431</v>
      </c>
      <c r="F430" s="323" t="s">
        <v>4432</v>
      </c>
      <c r="G430" s="323"/>
      <c r="H430" s="328" t="s">
        <v>3676</v>
      </c>
    </row>
    <row r="431" customFormat="false" ht="25.5" hidden="false" customHeight="true" outlineLevel="0" collapsed="false">
      <c r="A431" s="323"/>
      <c r="B431" s="323"/>
      <c r="C431" s="323" t="s">
        <v>2642</v>
      </c>
      <c r="D431" s="324"/>
      <c r="E431" s="329" t="s">
        <v>4411</v>
      </c>
      <c r="F431" s="323" t="s">
        <v>4624</v>
      </c>
      <c r="G431" s="323"/>
      <c r="H431" s="328"/>
    </row>
    <row r="432" customFormat="false" ht="90.75" hidden="false" customHeight="true" outlineLevel="0" collapsed="false">
      <c r="A432" s="321" t="n">
        <v>36</v>
      </c>
      <c r="B432" s="321" t="s">
        <v>1265</v>
      </c>
      <c r="C432" s="321" t="s">
        <v>4625</v>
      </c>
      <c r="D432" s="321"/>
      <c r="E432" s="321"/>
      <c r="F432" s="321" t="s">
        <v>3719</v>
      </c>
      <c r="G432" s="321"/>
      <c r="H432" s="322" t="s">
        <v>4408</v>
      </c>
    </row>
    <row r="433" customFormat="false" ht="51.75" hidden="false" customHeight="true" outlineLevel="0" collapsed="false">
      <c r="A433" s="323"/>
      <c r="B433" s="323"/>
      <c r="C433" s="323" t="s">
        <v>711</v>
      </c>
      <c r="D433" s="330" t="s">
        <v>4626</v>
      </c>
      <c r="E433" s="331" t="s">
        <v>4440</v>
      </c>
      <c r="F433" s="326" t="s">
        <v>3680</v>
      </c>
      <c r="G433" s="323"/>
      <c r="H433" s="328" t="s">
        <v>3681</v>
      </c>
    </row>
    <row r="434" customFormat="false" ht="39" hidden="false" customHeight="true" outlineLevel="0" collapsed="false">
      <c r="A434" s="323"/>
      <c r="B434" s="323"/>
      <c r="C434" s="323" t="s">
        <v>711</v>
      </c>
      <c r="D434" s="330" t="s">
        <v>4627</v>
      </c>
      <c r="E434" s="331" t="s">
        <v>4445</v>
      </c>
      <c r="F434" s="326" t="s">
        <v>3683</v>
      </c>
      <c r="G434" s="323"/>
      <c r="H434" s="328" t="s">
        <v>3685</v>
      </c>
    </row>
    <row r="435" customFormat="false" ht="51.75" hidden="false" customHeight="true" outlineLevel="0" collapsed="false">
      <c r="A435" s="323"/>
      <c r="B435" s="323"/>
      <c r="C435" s="323" t="s">
        <v>711</v>
      </c>
      <c r="D435" s="324"/>
      <c r="E435" s="325" t="s">
        <v>4409</v>
      </c>
      <c r="F435" s="326" t="s">
        <v>3686</v>
      </c>
      <c r="G435" s="327" t="s">
        <v>3687</v>
      </c>
      <c r="H435" s="328" t="s">
        <v>3688</v>
      </c>
    </row>
    <row r="436" customFormat="false" ht="90.75" hidden="false" customHeight="true" outlineLevel="0" collapsed="false">
      <c r="A436" s="323"/>
      <c r="B436" s="323"/>
      <c r="C436" s="323" t="s">
        <v>711</v>
      </c>
      <c r="D436" s="324"/>
      <c r="E436" s="325" t="s">
        <v>4409</v>
      </c>
      <c r="F436" s="326" t="s">
        <v>3689</v>
      </c>
      <c r="G436" s="327" t="s">
        <v>3690</v>
      </c>
      <c r="H436" s="328" t="s">
        <v>3691</v>
      </c>
    </row>
    <row r="437" customFormat="false" ht="51.75" hidden="false" customHeight="true" outlineLevel="0" collapsed="false">
      <c r="A437" s="323"/>
      <c r="B437" s="323"/>
      <c r="C437" s="323" t="s">
        <v>711</v>
      </c>
      <c r="D437" s="324"/>
      <c r="E437" s="325" t="s">
        <v>4409</v>
      </c>
      <c r="F437" s="326" t="s">
        <v>3692</v>
      </c>
      <c r="G437" s="327" t="s">
        <v>3693</v>
      </c>
      <c r="H437" s="328" t="s">
        <v>3694</v>
      </c>
    </row>
    <row r="438" customFormat="false" ht="25.5" hidden="false" customHeight="true" outlineLevel="0" collapsed="false">
      <c r="A438" s="323"/>
      <c r="B438" s="323"/>
      <c r="C438" s="323" t="s">
        <v>712</v>
      </c>
      <c r="D438" s="330" t="s">
        <v>4628</v>
      </c>
      <c r="E438" s="331" t="s">
        <v>4445</v>
      </c>
      <c r="F438" s="326" t="s">
        <v>3696</v>
      </c>
      <c r="G438" s="323"/>
      <c r="H438" s="328" t="s">
        <v>3698</v>
      </c>
    </row>
    <row r="439" customFormat="false" ht="103.5" hidden="false" customHeight="true" outlineLevel="0" collapsed="false">
      <c r="A439" s="323"/>
      <c r="B439" s="323"/>
      <c r="C439" s="323" t="s">
        <v>712</v>
      </c>
      <c r="D439" s="324"/>
      <c r="E439" s="325" t="s">
        <v>4409</v>
      </c>
      <c r="F439" s="326" t="s">
        <v>3699</v>
      </c>
      <c r="G439" s="327" t="s">
        <v>3687</v>
      </c>
      <c r="H439" s="328" t="s">
        <v>3700</v>
      </c>
    </row>
    <row r="440" customFormat="false" ht="156" hidden="false" customHeight="true" outlineLevel="0" collapsed="false">
      <c r="A440" s="323"/>
      <c r="B440" s="323"/>
      <c r="C440" s="323" t="s">
        <v>2635</v>
      </c>
      <c r="D440" s="330" t="s">
        <v>4629</v>
      </c>
      <c r="E440" s="331" t="s">
        <v>4630</v>
      </c>
      <c r="F440" s="326" t="s">
        <v>3702</v>
      </c>
      <c r="G440" s="323"/>
      <c r="H440" s="328" t="s">
        <v>3704</v>
      </c>
    </row>
    <row r="441" customFormat="false" ht="39" hidden="false" customHeight="true" outlineLevel="0" collapsed="false">
      <c r="A441" s="323"/>
      <c r="B441" s="323"/>
      <c r="C441" s="323" t="s">
        <v>2635</v>
      </c>
      <c r="D441" s="330" t="s">
        <v>4631</v>
      </c>
      <c r="E441" s="331" t="s">
        <v>4440</v>
      </c>
      <c r="F441" s="326" t="s">
        <v>3706</v>
      </c>
      <c r="G441" s="323"/>
      <c r="H441" s="328" t="s">
        <v>3708</v>
      </c>
    </row>
    <row r="442" customFormat="false" ht="78" hidden="false" customHeight="true" outlineLevel="0" collapsed="false">
      <c r="A442" s="323"/>
      <c r="B442" s="323"/>
      <c r="C442" s="323" t="s">
        <v>2635</v>
      </c>
      <c r="D442" s="323" t="s">
        <v>4632</v>
      </c>
      <c r="E442" s="332" t="s">
        <v>4431</v>
      </c>
      <c r="F442" s="323" t="s">
        <v>4432</v>
      </c>
      <c r="G442" s="323"/>
      <c r="H442" s="328" t="s">
        <v>4633</v>
      </c>
    </row>
    <row r="443" customFormat="false" ht="39" hidden="false" customHeight="true" outlineLevel="0" collapsed="false">
      <c r="A443" s="323"/>
      <c r="B443" s="323"/>
      <c r="C443" s="323" t="s">
        <v>2635</v>
      </c>
      <c r="D443" s="324"/>
      <c r="E443" s="325" t="s">
        <v>4409</v>
      </c>
      <c r="F443" s="326" t="s">
        <v>3709</v>
      </c>
      <c r="G443" s="327" t="s">
        <v>3710</v>
      </c>
      <c r="H443" s="328" t="s">
        <v>3711</v>
      </c>
    </row>
    <row r="444" customFormat="false" ht="64.5" hidden="false" customHeight="true" outlineLevel="0" collapsed="false">
      <c r="A444" s="323"/>
      <c r="B444" s="323"/>
      <c r="C444" s="323" t="s">
        <v>2635</v>
      </c>
      <c r="D444" s="324"/>
      <c r="E444" s="325" t="s">
        <v>4409</v>
      </c>
      <c r="F444" s="326" t="s">
        <v>3712</v>
      </c>
      <c r="G444" s="327" t="s">
        <v>3713</v>
      </c>
      <c r="H444" s="328" t="s">
        <v>3714</v>
      </c>
    </row>
    <row r="445" customFormat="false" ht="25.5" hidden="false" customHeight="true" outlineLevel="0" collapsed="false">
      <c r="A445" s="323"/>
      <c r="B445" s="323"/>
      <c r="C445" s="323" t="s">
        <v>2642</v>
      </c>
      <c r="D445" s="323" t="s">
        <v>1207</v>
      </c>
      <c r="E445" s="332" t="s">
        <v>4431</v>
      </c>
      <c r="F445" s="323" t="s">
        <v>4432</v>
      </c>
      <c r="G445" s="323"/>
      <c r="H445" s="328" t="s">
        <v>3715</v>
      </c>
    </row>
    <row r="446" customFormat="false" ht="39" hidden="false" customHeight="true" outlineLevel="0" collapsed="false">
      <c r="A446" s="323"/>
      <c r="B446" s="323"/>
      <c r="C446" s="323" t="s">
        <v>2642</v>
      </c>
      <c r="D446" s="324"/>
      <c r="E446" s="329" t="s">
        <v>4411</v>
      </c>
      <c r="F446" s="323" t="s">
        <v>4634</v>
      </c>
      <c r="G446" s="323"/>
      <c r="H446" s="328"/>
    </row>
    <row r="447" customFormat="false" ht="64.5" hidden="false" customHeight="true" outlineLevel="0" collapsed="false">
      <c r="A447" s="321" t="n">
        <v>37</v>
      </c>
      <c r="B447" s="321" t="s">
        <v>1277</v>
      </c>
      <c r="C447" s="321" t="s">
        <v>4635</v>
      </c>
      <c r="D447" s="321"/>
      <c r="E447" s="321"/>
      <c r="F447" s="321" t="s">
        <v>3766</v>
      </c>
      <c r="G447" s="321"/>
      <c r="H447" s="322" t="s">
        <v>4408</v>
      </c>
    </row>
    <row r="448" customFormat="false" ht="129.75" hidden="false" customHeight="true" outlineLevel="0" collapsed="false">
      <c r="A448" s="323"/>
      <c r="B448" s="323"/>
      <c r="C448" s="323" t="s">
        <v>711</v>
      </c>
      <c r="D448" s="330" t="s">
        <v>4636</v>
      </c>
      <c r="E448" s="331" t="s">
        <v>4630</v>
      </c>
      <c r="F448" s="326" t="s">
        <v>3722</v>
      </c>
      <c r="G448" s="323"/>
      <c r="H448" s="328" t="s">
        <v>3724</v>
      </c>
    </row>
    <row r="449" customFormat="false" ht="90.75" hidden="false" customHeight="true" outlineLevel="0" collapsed="false">
      <c r="A449" s="323"/>
      <c r="B449" s="323"/>
      <c r="C449" s="323" t="s">
        <v>711</v>
      </c>
      <c r="D449" s="330" t="s">
        <v>4637</v>
      </c>
      <c r="E449" s="331" t="s">
        <v>4630</v>
      </c>
      <c r="F449" s="326" t="s">
        <v>3726</v>
      </c>
      <c r="G449" s="323"/>
      <c r="H449" s="328" t="s">
        <v>3728</v>
      </c>
    </row>
    <row r="450" customFormat="false" ht="78" hidden="false" customHeight="true" outlineLevel="0" collapsed="false">
      <c r="A450" s="323"/>
      <c r="B450" s="323"/>
      <c r="C450" s="323" t="s">
        <v>711</v>
      </c>
      <c r="D450" s="323" t="s">
        <v>4638</v>
      </c>
      <c r="E450" s="332" t="s">
        <v>4431</v>
      </c>
      <c r="F450" s="323" t="s">
        <v>4432</v>
      </c>
      <c r="G450" s="323"/>
      <c r="H450" s="328" t="s">
        <v>4639</v>
      </c>
    </row>
    <row r="451" customFormat="false" ht="64.5" hidden="false" customHeight="true" outlineLevel="0" collapsed="false">
      <c r="A451" s="323"/>
      <c r="B451" s="323"/>
      <c r="C451" s="323" t="s">
        <v>711</v>
      </c>
      <c r="D451" s="324"/>
      <c r="E451" s="325" t="s">
        <v>4409</v>
      </c>
      <c r="F451" s="326" t="s">
        <v>3729</v>
      </c>
      <c r="G451" s="327" t="s">
        <v>3730</v>
      </c>
      <c r="H451" s="328" t="s">
        <v>3731</v>
      </c>
    </row>
    <row r="452" customFormat="false" ht="39" hidden="false" customHeight="true" outlineLevel="0" collapsed="false">
      <c r="A452" s="323"/>
      <c r="B452" s="323"/>
      <c r="C452" s="323" t="s">
        <v>711</v>
      </c>
      <c r="D452" s="324"/>
      <c r="E452" s="325" t="s">
        <v>4409</v>
      </c>
      <c r="F452" s="326" t="s">
        <v>3732</v>
      </c>
      <c r="G452" s="327" t="s">
        <v>3733</v>
      </c>
      <c r="H452" s="328" t="s">
        <v>3734</v>
      </c>
    </row>
    <row r="453" customFormat="false" ht="39" hidden="false" customHeight="true" outlineLevel="0" collapsed="false">
      <c r="A453" s="323"/>
      <c r="B453" s="323"/>
      <c r="C453" s="323" t="s">
        <v>711</v>
      </c>
      <c r="D453" s="324"/>
      <c r="E453" s="325" t="s">
        <v>4409</v>
      </c>
      <c r="F453" s="326" t="s">
        <v>3735</v>
      </c>
      <c r="G453" s="327" t="s">
        <v>3736</v>
      </c>
      <c r="H453" s="328" t="s">
        <v>3737</v>
      </c>
    </row>
    <row r="454" customFormat="false" ht="64.5" hidden="false" customHeight="true" outlineLevel="0" collapsed="false">
      <c r="A454" s="323"/>
      <c r="B454" s="323"/>
      <c r="C454" s="323" t="s">
        <v>711</v>
      </c>
      <c r="D454" s="324"/>
      <c r="E454" s="325" t="s">
        <v>4409</v>
      </c>
      <c r="F454" s="326" t="s">
        <v>3738</v>
      </c>
      <c r="G454" s="327" t="s">
        <v>3739</v>
      </c>
      <c r="H454" s="328" t="s">
        <v>3740</v>
      </c>
    </row>
    <row r="455" customFormat="false" ht="25.5" hidden="false" customHeight="true" outlineLevel="0" collapsed="false">
      <c r="A455" s="323"/>
      <c r="B455" s="323"/>
      <c r="C455" s="323" t="s">
        <v>712</v>
      </c>
      <c r="D455" s="330" t="s">
        <v>4640</v>
      </c>
      <c r="E455" s="331" t="s">
        <v>4445</v>
      </c>
      <c r="F455" s="326" t="s">
        <v>3742</v>
      </c>
      <c r="G455" s="323"/>
      <c r="H455" s="328" t="s">
        <v>3743</v>
      </c>
    </row>
    <row r="456" customFormat="false" ht="39" hidden="false" customHeight="true" outlineLevel="0" collapsed="false">
      <c r="A456" s="323"/>
      <c r="B456" s="323"/>
      <c r="C456" s="323" t="s">
        <v>712</v>
      </c>
      <c r="D456" s="330" t="s">
        <v>4641</v>
      </c>
      <c r="E456" s="331" t="s">
        <v>4481</v>
      </c>
      <c r="F456" s="326" t="s">
        <v>3745</v>
      </c>
      <c r="G456" s="323"/>
      <c r="H456" s="328" t="s">
        <v>3746</v>
      </c>
    </row>
    <row r="457" customFormat="false" ht="51.75" hidden="false" customHeight="true" outlineLevel="0" collapsed="false">
      <c r="A457" s="323"/>
      <c r="B457" s="323"/>
      <c r="C457" s="323" t="s">
        <v>712</v>
      </c>
      <c r="D457" s="324"/>
      <c r="E457" s="329" t="s">
        <v>4411</v>
      </c>
      <c r="F457" s="323" t="s">
        <v>4642</v>
      </c>
      <c r="G457" s="323"/>
      <c r="H457" s="328"/>
    </row>
    <row r="458" customFormat="false" ht="25.5" hidden="false" customHeight="true" outlineLevel="0" collapsed="false">
      <c r="A458" s="323"/>
      <c r="B458" s="323"/>
      <c r="C458" s="323" t="s">
        <v>2635</v>
      </c>
      <c r="D458" s="330" t="s">
        <v>4643</v>
      </c>
      <c r="E458" s="331" t="s">
        <v>4440</v>
      </c>
      <c r="F458" s="326" t="s">
        <v>3749</v>
      </c>
      <c r="G458" s="323"/>
      <c r="H458" s="328" t="s">
        <v>3751</v>
      </c>
    </row>
    <row r="459" customFormat="false" ht="117" hidden="false" customHeight="true" outlineLevel="0" collapsed="false">
      <c r="A459" s="323"/>
      <c r="B459" s="323"/>
      <c r="C459" s="323" t="s">
        <v>2635</v>
      </c>
      <c r="D459" s="330" t="s">
        <v>4644</v>
      </c>
      <c r="E459" s="331" t="s">
        <v>4630</v>
      </c>
      <c r="F459" s="326" t="s">
        <v>3753</v>
      </c>
      <c r="G459" s="323"/>
      <c r="H459" s="328" t="s">
        <v>3754</v>
      </c>
    </row>
    <row r="460" customFormat="false" ht="64.5" hidden="false" customHeight="true" outlineLevel="0" collapsed="false">
      <c r="A460" s="323"/>
      <c r="B460" s="323"/>
      <c r="C460" s="323" t="s">
        <v>2635</v>
      </c>
      <c r="D460" s="330" t="s">
        <v>4645</v>
      </c>
      <c r="E460" s="331" t="s">
        <v>4630</v>
      </c>
      <c r="F460" s="326" t="s">
        <v>3756</v>
      </c>
      <c r="G460" s="323"/>
      <c r="H460" s="328" t="s">
        <v>3757</v>
      </c>
    </row>
    <row r="461" customFormat="false" ht="64.5" hidden="false" customHeight="true" outlineLevel="0" collapsed="false">
      <c r="A461" s="323"/>
      <c r="B461" s="323"/>
      <c r="C461" s="323" t="s">
        <v>2635</v>
      </c>
      <c r="D461" s="330" t="s">
        <v>4646</v>
      </c>
      <c r="E461" s="331" t="s">
        <v>4440</v>
      </c>
      <c r="F461" s="326" t="s">
        <v>3759</v>
      </c>
      <c r="G461" s="323"/>
      <c r="H461" s="328" t="s">
        <v>3761</v>
      </c>
    </row>
    <row r="462" customFormat="false" ht="25.5" hidden="false" customHeight="true" outlineLevel="0" collapsed="false">
      <c r="A462" s="323"/>
      <c r="B462" s="323"/>
      <c r="C462" s="323" t="s">
        <v>2635</v>
      </c>
      <c r="D462" s="330" t="s">
        <v>4647</v>
      </c>
      <c r="E462" s="331" t="s">
        <v>4481</v>
      </c>
      <c r="F462" s="326" t="s">
        <v>3763</v>
      </c>
      <c r="G462" s="323"/>
      <c r="H462" s="328" t="s">
        <v>3764</v>
      </c>
    </row>
    <row r="463" customFormat="false" ht="39" hidden="false" customHeight="true" outlineLevel="0" collapsed="false">
      <c r="A463" s="323"/>
      <c r="B463" s="323"/>
      <c r="C463" s="323" t="s">
        <v>2635</v>
      </c>
      <c r="D463" s="324"/>
      <c r="E463" s="329" t="s">
        <v>4411</v>
      </c>
      <c r="F463" s="323" t="s">
        <v>4648</v>
      </c>
      <c r="G463" s="323"/>
      <c r="H463" s="328"/>
    </row>
    <row r="464" customFormat="false" ht="25.5" hidden="false" customHeight="true" outlineLevel="0" collapsed="false">
      <c r="A464" s="323"/>
      <c r="B464" s="323"/>
      <c r="C464" s="323" t="s">
        <v>2642</v>
      </c>
      <c r="D464" s="323" t="s">
        <v>1207</v>
      </c>
      <c r="E464" s="332" t="s">
        <v>4431</v>
      </c>
      <c r="F464" s="323" t="s">
        <v>4432</v>
      </c>
      <c r="G464" s="323"/>
      <c r="H464" s="328" t="s">
        <v>3765</v>
      </c>
    </row>
    <row r="465" customFormat="false" ht="15" hidden="false" customHeight="true" outlineLevel="0" collapsed="false">
      <c r="A465" s="323"/>
      <c r="B465" s="323"/>
      <c r="C465" s="323" t="s">
        <v>2642</v>
      </c>
      <c r="D465" s="324"/>
      <c r="E465" s="329" t="s">
        <v>4411</v>
      </c>
      <c r="F465" s="323" t="s">
        <v>4649</v>
      </c>
      <c r="G465" s="323"/>
      <c r="H465" s="328"/>
    </row>
    <row r="466" customFormat="false" ht="64.5" hidden="false" customHeight="true" outlineLevel="0" collapsed="false">
      <c r="A466" s="321" t="n">
        <v>38</v>
      </c>
      <c r="B466" s="321" t="s">
        <v>1291</v>
      </c>
      <c r="C466" s="321" t="s">
        <v>4650</v>
      </c>
      <c r="D466" s="321"/>
      <c r="E466" s="321"/>
      <c r="F466" s="321" t="s">
        <v>3782</v>
      </c>
      <c r="G466" s="321"/>
      <c r="H466" s="322" t="s">
        <v>4419</v>
      </c>
    </row>
    <row r="467" customFormat="false" ht="78" hidden="false" customHeight="true" outlineLevel="0" collapsed="false">
      <c r="A467" s="323"/>
      <c r="B467" s="323"/>
      <c r="C467" s="323" t="s">
        <v>711</v>
      </c>
      <c r="D467" s="330" t="s">
        <v>4651</v>
      </c>
      <c r="E467" s="331" t="s">
        <v>4440</v>
      </c>
      <c r="F467" s="326" t="s">
        <v>3769</v>
      </c>
      <c r="G467" s="323"/>
      <c r="H467" s="328" t="s">
        <v>3770</v>
      </c>
    </row>
    <row r="468" customFormat="false" ht="64.5" hidden="false" customHeight="true" outlineLevel="0" collapsed="false">
      <c r="A468" s="323"/>
      <c r="B468" s="323"/>
      <c r="C468" s="323" t="s">
        <v>711</v>
      </c>
      <c r="D468" s="324"/>
      <c r="E468" s="329" t="s">
        <v>4411</v>
      </c>
      <c r="F468" s="323" t="s">
        <v>4652</v>
      </c>
      <c r="G468" s="323"/>
      <c r="H468" s="328"/>
    </row>
    <row r="469" customFormat="false" ht="39" hidden="false" customHeight="true" outlineLevel="0" collapsed="false">
      <c r="A469" s="323"/>
      <c r="B469" s="323"/>
      <c r="C469" s="323" t="s">
        <v>712</v>
      </c>
      <c r="D469" s="330" t="s">
        <v>4653</v>
      </c>
      <c r="E469" s="331" t="s">
        <v>4445</v>
      </c>
      <c r="F469" s="326" t="s">
        <v>3772</v>
      </c>
      <c r="G469" s="323"/>
      <c r="H469" s="328" t="s">
        <v>3369</v>
      </c>
    </row>
    <row r="470" customFormat="false" ht="103.5" hidden="false" customHeight="true" outlineLevel="0" collapsed="false">
      <c r="A470" s="323"/>
      <c r="B470" s="323"/>
      <c r="C470" s="323" t="s">
        <v>712</v>
      </c>
      <c r="D470" s="324"/>
      <c r="E470" s="325" t="s">
        <v>4409</v>
      </c>
      <c r="F470" s="326" t="s">
        <v>3773</v>
      </c>
      <c r="G470" s="327" t="s">
        <v>3774</v>
      </c>
      <c r="H470" s="328" t="s">
        <v>3775</v>
      </c>
    </row>
    <row r="471" customFormat="false" ht="51.75" hidden="false" customHeight="true" outlineLevel="0" collapsed="false">
      <c r="A471" s="323"/>
      <c r="B471" s="323"/>
      <c r="C471" s="323" t="s">
        <v>2635</v>
      </c>
      <c r="D471" s="330" t="s">
        <v>4654</v>
      </c>
      <c r="E471" s="331" t="s">
        <v>4440</v>
      </c>
      <c r="F471" s="326" t="s">
        <v>3777</v>
      </c>
      <c r="G471" s="323"/>
      <c r="H471" s="328" t="s">
        <v>3778</v>
      </c>
    </row>
    <row r="472" customFormat="false" ht="39" hidden="false" customHeight="true" outlineLevel="0" collapsed="false">
      <c r="A472" s="323"/>
      <c r="B472" s="323"/>
      <c r="C472" s="323" t="s">
        <v>2635</v>
      </c>
      <c r="D472" s="324"/>
      <c r="E472" s="329" t="s">
        <v>4411</v>
      </c>
      <c r="F472" s="323" t="s">
        <v>4655</v>
      </c>
      <c r="G472" s="323"/>
      <c r="H472" s="328"/>
    </row>
    <row r="473" customFormat="false" ht="64.5" hidden="false" customHeight="true" outlineLevel="0" collapsed="false">
      <c r="A473" s="323"/>
      <c r="B473" s="323"/>
      <c r="C473" s="323" t="s">
        <v>2642</v>
      </c>
      <c r="D473" s="330" t="s">
        <v>4656</v>
      </c>
      <c r="E473" s="331" t="s">
        <v>4440</v>
      </c>
      <c r="F473" s="326" t="s">
        <v>3780</v>
      </c>
      <c r="G473" s="323"/>
      <c r="H473" s="328" t="s">
        <v>3781</v>
      </c>
    </row>
    <row r="474" customFormat="false" ht="25.5" hidden="false" customHeight="true" outlineLevel="0" collapsed="false">
      <c r="A474" s="323"/>
      <c r="B474" s="323"/>
      <c r="C474" s="323" t="s">
        <v>2642</v>
      </c>
      <c r="D474" s="324"/>
      <c r="E474" s="329" t="s">
        <v>4411</v>
      </c>
      <c r="F474" s="323" t="s">
        <v>4657</v>
      </c>
      <c r="G474" s="323"/>
      <c r="H474" s="328"/>
    </row>
    <row r="475" customFormat="false" ht="78" hidden="false" customHeight="true" outlineLevel="0" collapsed="false">
      <c r="A475" s="321" t="n">
        <v>39</v>
      </c>
      <c r="B475" s="321" t="s">
        <v>1308</v>
      </c>
      <c r="C475" s="321" t="s">
        <v>4658</v>
      </c>
      <c r="D475" s="321"/>
      <c r="E475" s="321"/>
      <c r="F475" s="321" t="s">
        <v>3822</v>
      </c>
      <c r="G475" s="321"/>
      <c r="H475" s="322" t="s">
        <v>4408</v>
      </c>
    </row>
    <row r="476" customFormat="false" ht="90.75" hidden="false" customHeight="true" outlineLevel="0" collapsed="false">
      <c r="A476" s="323"/>
      <c r="B476" s="323"/>
      <c r="C476" s="323" t="s">
        <v>711</v>
      </c>
      <c r="D476" s="323" t="s">
        <v>4659</v>
      </c>
      <c r="E476" s="332" t="s">
        <v>4431</v>
      </c>
      <c r="F476" s="323" t="s">
        <v>4432</v>
      </c>
      <c r="G476" s="323"/>
      <c r="H476" s="328" t="s">
        <v>3786</v>
      </c>
    </row>
    <row r="477" customFormat="false" ht="39" hidden="false" customHeight="true" outlineLevel="0" collapsed="false">
      <c r="A477" s="323"/>
      <c r="B477" s="323"/>
      <c r="C477" s="323" t="s">
        <v>711</v>
      </c>
      <c r="D477" s="330" t="s">
        <v>4660</v>
      </c>
      <c r="E477" s="331" t="s">
        <v>4440</v>
      </c>
      <c r="F477" s="326" t="s">
        <v>3788</v>
      </c>
      <c r="G477" s="323"/>
      <c r="H477" s="328" t="s">
        <v>3790</v>
      </c>
    </row>
    <row r="478" customFormat="false" ht="25.5" hidden="false" customHeight="true" outlineLevel="0" collapsed="false">
      <c r="A478" s="323"/>
      <c r="B478" s="323"/>
      <c r="C478" s="323" t="s">
        <v>711</v>
      </c>
      <c r="D478" s="330" t="s">
        <v>4661</v>
      </c>
      <c r="E478" s="331" t="s">
        <v>4440</v>
      </c>
      <c r="F478" s="326" t="s">
        <v>3792</v>
      </c>
      <c r="G478" s="323"/>
      <c r="H478" s="328" t="s">
        <v>3794</v>
      </c>
    </row>
    <row r="479" customFormat="false" ht="64.5" hidden="false" customHeight="true" outlineLevel="0" collapsed="false">
      <c r="A479" s="323"/>
      <c r="B479" s="323"/>
      <c r="C479" s="323" t="s">
        <v>711</v>
      </c>
      <c r="D479" s="324"/>
      <c r="E479" s="325" t="s">
        <v>4409</v>
      </c>
      <c r="F479" s="326" t="s">
        <v>3795</v>
      </c>
      <c r="G479" s="327" t="s">
        <v>3796</v>
      </c>
      <c r="H479" s="328" t="s">
        <v>3797</v>
      </c>
    </row>
    <row r="480" customFormat="false" ht="51.75" hidden="false" customHeight="true" outlineLevel="0" collapsed="false">
      <c r="A480" s="323"/>
      <c r="B480" s="323"/>
      <c r="C480" s="323" t="s">
        <v>711</v>
      </c>
      <c r="D480" s="324"/>
      <c r="E480" s="325" t="s">
        <v>4409</v>
      </c>
      <c r="F480" s="326" t="s">
        <v>3798</v>
      </c>
      <c r="G480" s="327" t="s">
        <v>3799</v>
      </c>
      <c r="H480" s="328" t="s">
        <v>3800</v>
      </c>
    </row>
    <row r="481" customFormat="false" ht="103.5" hidden="false" customHeight="true" outlineLevel="0" collapsed="false">
      <c r="A481" s="323"/>
      <c r="B481" s="323"/>
      <c r="C481" s="323" t="s">
        <v>711</v>
      </c>
      <c r="D481" s="324"/>
      <c r="E481" s="325" t="s">
        <v>4409</v>
      </c>
      <c r="F481" s="326" t="s">
        <v>3801</v>
      </c>
      <c r="G481" s="327" t="s">
        <v>3802</v>
      </c>
      <c r="H481" s="328" t="s">
        <v>3803</v>
      </c>
    </row>
    <row r="482" customFormat="false" ht="39" hidden="false" customHeight="true" outlineLevel="0" collapsed="false">
      <c r="A482" s="323"/>
      <c r="B482" s="323"/>
      <c r="C482" s="323" t="s">
        <v>712</v>
      </c>
      <c r="D482" s="330" t="s">
        <v>4662</v>
      </c>
      <c r="E482" s="331" t="s">
        <v>4445</v>
      </c>
      <c r="F482" s="326" t="s">
        <v>3805</v>
      </c>
      <c r="G482" s="323"/>
      <c r="H482" s="328" t="s">
        <v>3807</v>
      </c>
    </row>
    <row r="483" customFormat="false" ht="51.75" hidden="false" customHeight="true" outlineLevel="0" collapsed="false">
      <c r="A483" s="323"/>
      <c r="B483" s="323"/>
      <c r="C483" s="323" t="s">
        <v>712</v>
      </c>
      <c r="D483" s="324"/>
      <c r="E483" s="325" t="s">
        <v>4409</v>
      </c>
      <c r="F483" s="326" t="s">
        <v>3808</v>
      </c>
      <c r="G483" s="327" t="s">
        <v>3809</v>
      </c>
      <c r="H483" s="328" t="s">
        <v>3810</v>
      </c>
    </row>
    <row r="484" customFormat="false" ht="25.5" hidden="false" customHeight="true" outlineLevel="0" collapsed="false">
      <c r="A484" s="323"/>
      <c r="B484" s="323"/>
      <c r="C484" s="323" t="s">
        <v>2635</v>
      </c>
      <c r="D484" s="330" t="s">
        <v>4663</v>
      </c>
      <c r="E484" s="331" t="s">
        <v>4440</v>
      </c>
      <c r="F484" s="326" t="s">
        <v>3812</v>
      </c>
      <c r="G484" s="323"/>
      <c r="H484" s="328" t="s">
        <v>3794</v>
      </c>
    </row>
    <row r="485" customFormat="false" ht="64.5" hidden="false" customHeight="true" outlineLevel="0" collapsed="false">
      <c r="A485" s="323"/>
      <c r="B485" s="323"/>
      <c r="C485" s="323" t="s">
        <v>2635</v>
      </c>
      <c r="D485" s="324"/>
      <c r="E485" s="325" t="s">
        <v>4409</v>
      </c>
      <c r="F485" s="326" t="s">
        <v>3813</v>
      </c>
      <c r="G485" s="327" t="s">
        <v>3802</v>
      </c>
      <c r="H485" s="328" t="s">
        <v>3814</v>
      </c>
    </row>
    <row r="486" customFormat="false" ht="78" hidden="false" customHeight="true" outlineLevel="0" collapsed="false">
      <c r="A486" s="323"/>
      <c r="B486" s="323"/>
      <c r="C486" s="323" t="s">
        <v>2642</v>
      </c>
      <c r="D486" s="330" t="s">
        <v>1207</v>
      </c>
      <c r="E486" s="331" t="s">
        <v>4445</v>
      </c>
      <c r="F486" s="326" t="s">
        <v>3815</v>
      </c>
      <c r="G486" s="323"/>
      <c r="H486" s="328" t="s">
        <v>3816</v>
      </c>
    </row>
    <row r="487" customFormat="false" ht="78" hidden="false" customHeight="true" outlineLevel="0" collapsed="false">
      <c r="A487" s="323"/>
      <c r="B487" s="323"/>
      <c r="C487" s="323" t="s">
        <v>2642</v>
      </c>
      <c r="D487" s="324"/>
      <c r="E487" s="325" t="s">
        <v>4409</v>
      </c>
      <c r="F487" s="326" t="s">
        <v>3817</v>
      </c>
      <c r="G487" s="327" t="s">
        <v>3818</v>
      </c>
      <c r="H487" s="328" t="s">
        <v>3819</v>
      </c>
    </row>
    <row r="488" customFormat="false" ht="25.5" hidden="false" customHeight="true" outlineLevel="0" collapsed="false">
      <c r="A488" s="323"/>
      <c r="B488" s="323"/>
      <c r="C488" s="323" t="s">
        <v>2642</v>
      </c>
      <c r="D488" s="324"/>
      <c r="E488" s="325" t="s">
        <v>4409</v>
      </c>
      <c r="F488" s="326" t="s">
        <v>3820</v>
      </c>
      <c r="G488" s="327" t="s">
        <v>3809</v>
      </c>
      <c r="H488" s="328" t="s">
        <v>3821</v>
      </c>
    </row>
    <row r="489" customFormat="false" ht="78" hidden="false" customHeight="true" outlineLevel="0" collapsed="false">
      <c r="A489" s="321" t="n">
        <v>40</v>
      </c>
      <c r="B489" s="321" t="s">
        <v>3824</v>
      </c>
      <c r="C489" s="321" t="s">
        <v>4664</v>
      </c>
      <c r="D489" s="321"/>
      <c r="E489" s="321"/>
      <c r="F489" s="321" t="s">
        <v>3848</v>
      </c>
      <c r="G489" s="321"/>
      <c r="H489" s="322" t="s">
        <v>4408</v>
      </c>
    </row>
    <row r="490" customFormat="false" ht="39" hidden="false" customHeight="true" outlineLevel="0" collapsed="false">
      <c r="A490" s="323"/>
      <c r="B490" s="323"/>
      <c r="C490" s="323" t="s">
        <v>711</v>
      </c>
      <c r="D490" s="330" t="s">
        <v>4665</v>
      </c>
      <c r="E490" s="331" t="s">
        <v>4440</v>
      </c>
      <c r="F490" s="326" t="s">
        <v>3826</v>
      </c>
      <c r="G490" s="323"/>
      <c r="H490" s="328" t="s">
        <v>3827</v>
      </c>
    </row>
    <row r="491" customFormat="false" ht="39" hidden="false" customHeight="true" outlineLevel="0" collapsed="false">
      <c r="A491" s="323"/>
      <c r="B491" s="323"/>
      <c r="C491" s="323" t="s">
        <v>711</v>
      </c>
      <c r="D491" s="330" t="s">
        <v>4666</v>
      </c>
      <c r="E491" s="331" t="s">
        <v>4440</v>
      </c>
      <c r="F491" s="326" t="s">
        <v>3829</v>
      </c>
      <c r="G491" s="323"/>
      <c r="H491" s="328" t="s">
        <v>3794</v>
      </c>
    </row>
    <row r="492" customFormat="false" ht="64.5" hidden="false" customHeight="true" outlineLevel="0" collapsed="false">
      <c r="A492" s="323"/>
      <c r="B492" s="323"/>
      <c r="C492" s="323" t="s">
        <v>711</v>
      </c>
      <c r="D492" s="324"/>
      <c r="E492" s="325" t="s">
        <v>4409</v>
      </c>
      <c r="F492" s="326" t="s">
        <v>3830</v>
      </c>
      <c r="G492" s="327" t="s">
        <v>3831</v>
      </c>
      <c r="H492" s="328" t="s">
        <v>3832</v>
      </c>
    </row>
    <row r="493" customFormat="false" ht="25.5" hidden="false" customHeight="true" outlineLevel="0" collapsed="false">
      <c r="A493" s="323"/>
      <c r="B493" s="323"/>
      <c r="C493" s="323" t="s">
        <v>712</v>
      </c>
      <c r="D493" s="330" t="s">
        <v>4667</v>
      </c>
      <c r="E493" s="331" t="s">
        <v>4445</v>
      </c>
      <c r="F493" s="326" t="s">
        <v>3834</v>
      </c>
      <c r="G493" s="323"/>
      <c r="H493" s="328" t="s">
        <v>3369</v>
      </c>
    </row>
    <row r="494" customFormat="false" ht="39" hidden="false" customHeight="true" outlineLevel="0" collapsed="false">
      <c r="A494" s="323"/>
      <c r="B494" s="323"/>
      <c r="C494" s="323" t="s">
        <v>712</v>
      </c>
      <c r="D494" s="324"/>
      <c r="E494" s="329" t="s">
        <v>4411</v>
      </c>
      <c r="F494" s="323" t="s">
        <v>4668</v>
      </c>
      <c r="G494" s="323"/>
      <c r="H494" s="328"/>
    </row>
    <row r="495" customFormat="false" ht="25.5" hidden="false" customHeight="true" outlineLevel="0" collapsed="false">
      <c r="A495" s="323"/>
      <c r="B495" s="323"/>
      <c r="C495" s="323" t="s">
        <v>2635</v>
      </c>
      <c r="D495" s="330" t="s">
        <v>4669</v>
      </c>
      <c r="E495" s="331" t="s">
        <v>4445</v>
      </c>
      <c r="F495" s="326" t="s">
        <v>3836</v>
      </c>
      <c r="G495" s="323"/>
      <c r="H495" s="328" t="s">
        <v>3838</v>
      </c>
    </row>
    <row r="496" customFormat="false" ht="25.5" hidden="false" customHeight="true" outlineLevel="0" collapsed="false">
      <c r="A496" s="323"/>
      <c r="B496" s="323"/>
      <c r="C496" s="323" t="s">
        <v>2635</v>
      </c>
      <c r="D496" s="330" t="s">
        <v>4670</v>
      </c>
      <c r="E496" s="331" t="s">
        <v>4440</v>
      </c>
      <c r="F496" s="326" t="s">
        <v>4671</v>
      </c>
      <c r="G496" s="323"/>
      <c r="H496" s="328" t="s">
        <v>3794</v>
      </c>
    </row>
    <row r="497" customFormat="false" ht="90.75" hidden="false" customHeight="true" outlineLevel="0" collapsed="false">
      <c r="A497" s="323"/>
      <c r="B497" s="323"/>
      <c r="C497" s="323" t="s">
        <v>2635</v>
      </c>
      <c r="D497" s="324"/>
      <c r="E497" s="325" t="s">
        <v>4409</v>
      </c>
      <c r="F497" s="326" t="s">
        <v>3839</v>
      </c>
      <c r="G497" s="327" t="s">
        <v>3840</v>
      </c>
      <c r="H497" s="328" t="s">
        <v>3841</v>
      </c>
    </row>
    <row r="498" customFormat="false" ht="51.75" hidden="false" customHeight="true" outlineLevel="0" collapsed="false">
      <c r="A498" s="323"/>
      <c r="B498" s="323"/>
      <c r="C498" s="323" t="s">
        <v>2635</v>
      </c>
      <c r="D498" s="324"/>
      <c r="E498" s="325" t="s">
        <v>4409</v>
      </c>
      <c r="F498" s="326" t="s">
        <v>3842</v>
      </c>
      <c r="G498" s="327" t="s">
        <v>3831</v>
      </c>
      <c r="H498" s="328" t="s">
        <v>3843</v>
      </c>
    </row>
    <row r="499" customFormat="false" ht="39" hidden="false" customHeight="true" outlineLevel="0" collapsed="false">
      <c r="A499" s="323"/>
      <c r="B499" s="323"/>
      <c r="C499" s="323" t="s">
        <v>2635</v>
      </c>
      <c r="D499" s="324"/>
      <c r="E499" s="325" t="s">
        <v>4409</v>
      </c>
      <c r="F499" s="326" t="s">
        <v>3844</v>
      </c>
      <c r="G499" s="327" t="s">
        <v>3845</v>
      </c>
      <c r="H499" s="328" t="s">
        <v>3846</v>
      </c>
    </row>
    <row r="500" customFormat="false" ht="64.5" hidden="false" customHeight="true" outlineLevel="0" collapsed="false">
      <c r="A500" s="323"/>
      <c r="B500" s="323"/>
      <c r="C500" s="323" t="s">
        <v>2642</v>
      </c>
      <c r="D500" s="323" t="s">
        <v>1207</v>
      </c>
      <c r="E500" s="332" t="s">
        <v>4431</v>
      </c>
      <c r="F500" s="323" t="s">
        <v>4432</v>
      </c>
      <c r="G500" s="323"/>
      <c r="H500" s="328" t="s">
        <v>3847</v>
      </c>
    </row>
    <row r="501" customFormat="false" ht="39" hidden="false" customHeight="true" outlineLevel="0" collapsed="false">
      <c r="A501" s="323"/>
      <c r="B501" s="323"/>
      <c r="C501" s="323" t="s">
        <v>2642</v>
      </c>
      <c r="D501" s="324"/>
      <c r="E501" s="329" t="s">
        <v>4411</v>
      </c>
      <c r="F501" s="323" t="s">
        <v>4672</v>
      </c>
      <c r="G501" s="323"/>
      <c r="H501" s="328"/>
    </row>
    <row r="502" customFormat="false" ht="51.75" hidden="false" customHeight="true" outlineLevel="0" collapsed="false">
      <c r="A502" s="321" t="n">
        <v>1</v>
      </c>
      <c r="B502" s="321" t="s">
        <v>2515</v>
      </c>
      <c r="C502" s="321" t="s">
        <v>4673</v>
      </c>
      <c r="D502" s="321"/>
      <c r="E502" s="321"/>
      <c r="F502" s="321" t="s">
        <v>3861</v>
      </c>
      <c r="G502" s="321"/>
      <c r="H502" s="322" t="s">
        <v>4423</v>
      </c>
    </row>
    <row r="503" customFormat="false" ht="64.5" hidden="false" customHeight="true" outlineLevel="0" collapsed="false">
      <c r="A503" s="323"/>
      <c r="B503" s="323"/>
      <c r="C503" s="323" t="s">
        <v>711</v>
      </c>
      <c r="D503" s="324"/>
      <c r="E503" s="329" t="s">
        <v>4411</v>
      </c>
      <c r="F503" s="323" t="s">
        <v>3850</v>
      </c>
      <c r="G503" s="323"/>
      <c r="H503" s="328"/>
    </row>
    <row r="504" customFormat="false" ht="51.75" hidden="false" customHeight="true" outlineLevel="0" collapsed="false">
      <c r="A504" s="323"/>
      <c r="B504" s="323"/>
      <c r="C504" s="323" t="s">
        <v>712</v>
      </c>
      <c r="D504" s="324"/>
      <c r="E504" s="329" t="s">
        <v>4411</v>
      </c>
      <c r="F504" s="323" t="s">
        <v>3851</v>
      </c>
      <c r="G504" s="323"/>
      <c r="H504" s="328"/>
    </row>
    <row r="505" customFormat="false" ht="78" hidden="false" customHeight="true" outlineLevel="0" collapsed="false">
      <c r="A505" s="323"/>
      <c r="B505" s="323"/>
      <c r="C505" s="323" t="s">
        <v>2635</v>
      </c>
      <c r="D505" s="324"/>
      <c r="E505" s="325" t="s">
        <v>4409</v>
      </c>
      <c r="F505" s="326" t="s">
        <v>3852</v>
      </c>
      <c r="G505" s="327" t="s">
        <v>3853</v>
      </c>
      <c r="H505" s="328" t="s">
        <v>3854</v>
      </c>
    </row>
    <row r="506" customFormat="false" ht="90.75" hidden="false" customHeight="true" outlineLevel="0" collapsed="false">
      <c r="A506" s="323"/>
      <c r="B506" s="323"/>
      <c r="C506" s="323" t="s">
        <v>2635</v>
      </c>
      <c r="D506" s="324"/>
      <c r="E506" s="325" t="s">
        <v>4409</v>
      </c>
      <c r="F506" s="326" t="s">
        <v>3855</v>
      </c>
      <c r="G506" s="327" t="s">
        <v>1339</v>
      </c>
      <c r="H506" s="328" t="s">
        <v>3856</v>
      </c>
    </row>
    <row r="507" customFormat="false" ht="78" hidden="false" customHeight="true" outlineLevel="0" collapsed="false">
      <c r="A507" s="323"/>
      <c r="B507" s="323"/>
      <c r="C507" s="323" t="s">
        <v>2635</v>
      </c>
      <c r="D507" s="324"/>
      <c r="E507" s="325" t="s">
        <v>4409</v>
      </c>
      <c r="F507" s="326" t="s">
        <v>3857</v>
      </c>
      <c r="G507" s="327" t="s">
        <v>3858</v>
      </c>
      <c r="H507" s="328" t="s">
        <v>3859</v>
      </c>
    </row>
    <row r="508" customFormat="false" ht="39" hidden="false" customHeight="true" outlineLevel="0" collapsed="false">
      <c r="A508" s="323"/>
      <c r="B508" s="323"/>
      <c r="C508" s="323" t="s">
        <v>2642</v>
      </c>
      <c r="D508" s="324"/>
      <c r="E508" s="329" t="s">
        <v>4411</v>
      </c>
      <c r="F508" s="323" t="s">
        <v>3860</v>
      </c>
      <c r="G508" s="323"/>
      <c r="H508" s="328"/>
    </row>
    <row r="509" customFormat="false" ht="78" hidden="false" customHeight="true" outlineLevel="0" collapsed="false">
      <c r="A509" s="321" t="n">
        <v>2</v>
      </c>
      <c r="B509" s="321" t="s">
        <v>1344</v>
      </c>
      <c r="C509" s="321" t="s">
        <v>4674</v>
      </c>
      <c r="D509" s="321"/>
      <c r="E509" s="321"/>
      <c r="F509" s="321" t="s">
        <v>3876</v>
      </c>
      <c r="G509" s="321"/>
      <c r="H509" s="322" t="s">
        <v>4408</v>
      </c>
    </row>
    <row r="510" customFormat="false" ht="117" hidden="false" customHeight="true" outlineLevel="0" collapsed="false">
      <c r="A510" s="323"/>
      <c r="B510" s="323"/>
      <c r="C510" s="323" t="s">
        <v>711</v>
      </c>
      <c r="D510" s="324"/>
      <c r="E510" s="325" t="s">
        <v>4409</v>
      </c>
      <c r="F510" s="326" t="s">
        <v>3863</v>
      </c>
      <c r="G510" s="327" t="s">
        <v>3864</v>
      </c>
      <c r="H510" s="328" t="s">
        <v>3865</v>
      </c>
    </row>
    <row r="511" customFormat="false" ht="103.5" hidden="false" customHeight="true" outlineLevel="0" collapsed="false">
      <c r="A511" s="323"/>
      <c r="B511" s="323"/>
      <c r="C511" s="323" t="s">
        <v>712</v>
      </c>
      <c r="D511" s="324"/>
      <c r="E511" s="325" t="s">
        <v>4409</v>
      </c>
      <c r="F511" s="326" t="s">
        <v>3866</v>
      </c>
      <c r="G511" s="327" t="s">
        <v>3864</v>
      </c>
      <c r="H511" s="328" t="s">
        <v>3868</v>
      </c>
    </row>
    <row r="512" customFormat="false" ht="168.75" hidden="false" customHeight="true" outlineLevel="0" collapsed="false">
      <c r="A512" s="323"/>
      <c r="B512" s="323"/>
      <c r="C512" s="323" t="s">
        <v>2635</v>
      </c>
      <c r="D512" s="324"/>
      <c r="E512" s="325" t="s">
        <v>4409</v>
      </c>
      <c r="F512" s="326" t="s">
        <v>3869</v>
      </c>
      <c r="G512" s="327" t="s">
        <v>3870</v>
      </c>
      <c r="H512" s="328" t="s">
        <v>3871</v>
      </c>
    </row>
    <row r="513" customFormat="false" ht="78" hidden="false" customHeight="true" outlineLevel="0" collapsed="false">
      <c r="A513" s="323"/>
      <c r="B513" s="323"/>
      <c r="C513" s="323" t="s">
        <v>2635</v>
      </c>
      <c r="D513" s="324"/>
      <c r="E513" s="325" t="s">
        <v>4409</v>
      </c>
      <c r="F513" s="326" t="s">
        <v>3872</v>
      </c>
      <c r="G513" s="327" t="s">
        <v>3873</v>
      </c>
      <c r="H513" s="328" t="s">
        <v>3874</v>
      </c>
    </row>
    <row r="514" customFormat="false" ht="51.75" hidden="false" customHeight="true" outlineLevel="0" collapsed="false">
      <c r="A514" s="323"/>
      <c r="B514" s="323"/>
      <c r="C514" s="323" t="s">
        <v>2642</v>
      </c>
      <c r="D514" s="324"/>
      <c r="E514" s="329" t="s">
        <v>4411</v>
      </c>
      <c r="F514" s="323" t="s">
        <v>3875</v>
      </c>
      <c r="G514" s="323"/>
      <c r="H514" s="328"/>
    </row>
    <row r="515" customFormat="false" ht="64.5" hidden="false" customHeight="true" outlineLevel="0" collapsed="false">
      <c r="A515" s="321" t="n">
        <v>3</v>
      </c>
      <c r="B515" s="321" t="s">
        <v>1358</v>
      </c>
      <c r="C515" s="321" t="s">
        <v>4675</v>
      </c>
      <c r="D515" s="321"/>
      <c r="E515" s="321"/>
      <c r="F515" s="321" t="s">
        <v>3887</v>
      </c>
      <c r="G515" s="321"/>
      <c r="H515" s="322" t="s">
        <v>4419</v>
      </c>
    </row>
    <row r="516" customFormat="false" ht="51.75" hidden="false" customHeight="true" outlineLevel="0" collapsed="false">
      <c r="A516" s="323"/>
      <c r="B516" s="323"/>
      <c r="C516" s="323" t="s">
        <v>711</v>
      </c>
      <c r="D516" s="324"/>
      <c r="E516" s="329" t="s">
        <v>4411</v>
      </c>
      <c r="F516" s="323" t="s">
        <v>3878</v>
      </c>
      <c r="G516" s="323"/>
      <c r="H516" s="328"/>
    </row>
    <row r="517" customFormat="false" ht="39" hidden="false" customHeight="true" outlineLevel="0" collapsed="false">
      <c r="A517" s="323"/>
      <c r="B517" s="323"/>
      <c r="C517" s="323" t="s">
        <v>712</v>
      </c>
      <c r="D517" s="324"/>
      <c r="E517" s="329" t="s">
        <v>4411</v>
      </c>
      <c r="F517" s="323" t="s">
        <v>3879</v>
      </c>
      <c r="G517" s="323"/>
      <c r="H517" s="328"/>
    </row>
    <row r="518" customFormat="false" ht="90.75" hidden="false" customHeight="true" outlineLevel="0" collapsed="false">
      <c r="A518" s="323"/>
      <c r="B518" s="323"/>
      <c r="C518" s="323" t="s">
        <v>2635</v>
      </c>
      <c r="D518" s="324"/>
      <c r="E518" s="325" t="s">
        <v>4409</v>
      </c>
      <c r="F518" s="326" t="s">
        <v>3880</v>
      </c>
      <c r="G518" s="327" t="s">
        <v>3881</v>
      </c>
      <c r="H518" s="328" t="s">
        <v>3882</v>
      </c>
    </row>
    <row r="519" customFormat="false" ht="64.5" hidden="false" customHeight="true" outlineLevel="0" collapsed="false">
      <c r="A519" s="323"/>
      <c r="B519" s="323"/>
      <c r="C519" s="323" t="s">
        <v>2635</v>
      </c>
      <c r="D519" s="324"/>
      <c r="E519" s="325" t="s">
        <v>4409</v>
      </c>
      <c r="F519" s="326" t="s">
        <v>3883</v>
      </c>
      <c r="G519" s="327" t="s">
        <v>3884</v>
      </c>
      <c r="H519" s="328" t="s">
        <v>3885</v>
      </c>
    </row>
    <row r="520" customFormat="false" ht="51.75" hidden="false" customHeight="true" outlineLevel="0" collapsed="false">
      <c r="A520" s="323"/>
      <c r="B520" s="323"/>
      <c r="C520" s="323" t="s">
        <v>2642</v>
      </c>
      <c r="D520" s="324"/>
      <c r="E520" s="329" t="s">
        <v>4411</v>
      </c>
      <c r="F520" s="323" t="s">
        <v>3886</v>
      </c>
      <c r="G520" s="323"/>
      <c r="H520" s="328"/>
    </row>
    <row r="521" customFormat="false" ht="51.75" hidden="false" customHeight="true" outlineLevel="0" collapsed="false">
      <c r="A521" s="321" t="n">
        <v>4</v>
      </c>
      <c r="B521" s="321" t="s">
        <v>129</v>
      </c>
      <c r="C521" s="321" t="s">
        <v>4676</v>
      </c>
      <c r="D521" s="321"/>
      <c r="E521" s="321"/>
      <c r="F521" s="321" t="s">
        <v>3904</v>
      </c>
      <c r="G521" s="321"/>
      <c r="H521" s="322" t="s">
        <v>4423</v>
      </c>
    </row>
    <row r="522" customFormat="false" ht="51.75" hidden="false" customHeight="true" outlineLevel="0" collapsed="false">
      <c r="A522" s="323"/>
      <c r="B522" s="323"/>
      <c r="C522" s="323" t="s">
        <v>711</v>
      </c>
      <c r="D522" s="324"/>
      <c r="E522" s="329" t="s">
        <v>4411</v>
      </c>
      <c r="F522" s="323" t="s">
        <v>3889</v>
      </c>
      <c r="G522" s="323"/>
      <c r="H522" s="328"/>
    </row>
    <row r="523" customFormat="false" ht="25.5" hidden="false" customHeight="true" outlineLevel="0" collapsed="false">
      <c r="A523" s="323"/>
      <c r="B523" s="323"/>
      <c r="C523" s="323" t="s">
        <v>712</v>
      </c>
      <c r="D523" s="324"/>
      <c r="E523" s="329" t="s">
        <v>4411</v>
      </c>
      <c r="F523" s="323" t="s">
        <v>3890</v>
      </c>
      <c r="G523" s="323"/>
      <c r="H523" s="328"/>
    </row>
    <row r="524" customFormat="false" ht="90.75" hidden="false" customHeight="true" outlineLevel="0" collapsed="false">
      <c r="A524" s="323"/>
      <c r="B524" s="323"/>
      <c r="C524" s="323" t="s">
        <v>2635</v>
      </c>
      <c r="D524" s="324"/>
      <c r="E524" s="325" t="s">
        <v>4409</v>
      </c>
      <c r="F524" s="326" t="s">
        <v>3891</v>
      </c>
      <c r="G524" s="327" t="s">
        <v>3892</v>
      </c>
      <c r="H524" s="328" t="s">
        <v>3893</v>
      </c>
    </row>
    <row r="525" customFormat="false" ht="78" hidden="false" customHeight="true" outlineLevel="0" collapsed="false">
      <c r="A525" s="323"/>
      <c r="B525" s="323"/>
      <c r="C525" s="323" t="s">
        <v>2635</v>
      </c>
      <c r="D525" s="324"/>
      <c r="E525" s="325" t="s">
        <v>4409</v>
      </c>
      <c r="F525" s="326" t="s">
        <v>3894</v>
      </c>
      <c r="G525" s="327" t="s">
        <v>3895</v>
      </c>
      <c r="H525" s="328" t="s">
        <v>3896</v>
      </c>
    </row>
    <row r="526" customFormat="false" ht="78" hidden="false" customHeight="true" outlineLevel="0" collapsed="false">
      <c r="A526" s="323"/>
      <c r="B526" s="323"/>
      <c r="C526" s="323" t="s">
        <v>2635</v>
      </c>
      <c r="D526" s="324"/>
      <c r="E526" s="325" t="s">
        <v>4409</v>
      </c>
      <c r="F526" s="326" t="s">
        <v>3897</v>
      </c>
      <c r="G526" s="327" t="s">
        <v>3898</v>
      </c>
      <c r="H526" s="328" t="s">
        <v>3899</v>
      </c>
    </row>
    <row r="527" customFormat="false" ht="51.75" hidden="false" customHeight="true" outlineLevel="0" collapsed="false">
      <c r="A527" s="323"/>
      <c r="B527" s="323"/>
      <c r="C527" s="323" t="s">
        <v>2635</v>
      </c>
      <c r="D527" s="324"/>
      <c r="E527" s="325" t="s">
        <v>4409</v>
      </c>
      <c r="F527" s="326" t="s">
        <v>3900</v>
      </c>
      <c r="G527" s="327" t="s">
        <v>3901</v>
      </c>
      <c r="H527" s="328" t="s">
        <v>3902</v>
      </c>
    </row>
    <row r="528" customFormat="false" ht="25.5" hidden="false" customHeight="true" outlineLevel="0" collapsed="false">
      <c r="A528" s="323"/>
      <c r="B528" s="323"/>
      <c r="C528" s="323" t="s">
        <v>2642</v>
      </c>
      <c r="D528" s="324"/>
      <c r="E528" s="329" t="s">
        <v>4411</v>
      </c>
      <c r="F528" s="323" t="s">
        <v>3903</v>
      </c>
      <c r="G528" s="323"/>
      <c r="H528" s="328"/>
    </row>
    <row r="529" customFormat="false" ht="64.5" hidden="false" customHeight="true" outlineLevel="0" collapsed="false">
      <c r="A529" s="321" t="n">
        <v>5</v>
      </c>
      <c r="B529" s="321" t="s">
        <v>1384</v>
      </c>
      <c r="C529" s="321" t="s">
        <v>4677</v>
      </c>
      <c r="D529" s="321"/>
      <c r="E529" s="321"/>
      <c r="F529" s="321" t="s">
        <v>3918</v>
      </c>
      <c r="G529" s="321"/>
      <c r="H529" s="322" t="s">
        <v>4408</v>
      </c>
    </row>
    <row r="530" customFormat="false" ht="64.5" hidden="false" customHeight="true" outlineLevel="0" collapsed="false">
      <c r="A530" s="323"/>
      <c r="B530" s="323"/>
      <c r="C530" s="323" t="s">
        <v>711</v>
      </c>
      <c r="D530" s="324"/>
      <c r="E530" s="329" t="s">
        <v>4411</v>
      </c>
      <c r="F530" s="323" t="s">
        <v>3906</v>
      </c>
      <c r="G530" s="323"/>
      <c r="H530" s="328"/>
    </row>
    <row r="531" customFormat="false" ht="25.5" hidden="false" customHeight="true" outlineLevel="0" collapsed="false">
      <c r="A531" s="323"/>
      <c r="B531" s="323"/>
      <c r="C531" s="323" t="s">
        <v>712</v>
      </c>
      <c r="D531" s="324"/>
      <c r="E531" s="329" t="s">
        <v>4411</v>
      </c>
      <c r="F531" s="323" t="s">
        <v>3907</v>
      </c>
      <c r="G531" s="323"/>
      <c r="H531" s="328"/>
    </row>
    <row r="532" customFormat="false" ht="78" hidden="false" customHeight="true" outlineLevel="0" collapsed="false">
      <c r="A532" s="323"/>
      <c r="B532" s="323"/>
      <c r="C532" s="323" t="s">
        <v>2635</v>
      </c>
      <c r="D532" s="324"/>
      <c r="E532" s="325" t="s">
        <v>4409</v>
      </c>
      <c r="F532" s="326" t="s">
        <v>3908</v>
      </c>
      <c r="G532" s="327" t="s">
        <v>3909</v>
      </c>
      <c r="H532" s="328" t="s">
        <v>3910</v>
      </c>
    </row>
    <row r="533" customFormat="false" ht="142.5" hidden="false" customHeight="true" outlineLevel="0" collapsed="false">
      <c r="A533" s="323"/>
      <c r="B533" s="323"/>
      <c r="C533" s="323" t="s">
        <v>2635</v>
      </c>
      <c r="D533" s="324"/>
      <c r="E533" s="325" t="s">
        <v>4409</v>
      </c>
      <c r="F533" s="326" t="s">
        <v>3911</v>
      </c>
      <c r="G533" s="327" t="s">
        <v>3912</v>
      </c>
      <c r="H533" s="328" t="s">
        <v>3913</v>
      </c>
    </row>
    <row r="534" customFormat="false" ht="156" hidden="false" customHeight="true" outlineLevel="0" collapsed="false">
      <c r="A534" s="323"/>
      <c r="B534" s="323"/>
      <c r="C534" s="323" t="s">
        <v>2635</v>
      </c>
      <c r="D534" s="324"/>
      <c r="E534" s="325" t="s">
        <v>4409</v>
      </c>
      <c r="F534" s="326" t="s">
        <v>3914</v>
      </c>
      <c r="G534" s="327" t="s">
        <v>3915</v>
      </c>
      <c r="H534" s="328" t="s">
        <v>3916</v>
      </c>
    </row>
    <row r="535" customFormat="false" ht="25.5" hidden="false" customHeight="true" outlineLevel="0" collapsed="false">
      <c r="A535" s="323"/>
      <c r="B535" s="323"/>
      <c r="C535" s="323" t="s">
        <v>2642</v>
      </c>
      <c r="D535" s="324"/>
      <c r="E535" s="329" t="s">
        <v>4411</v>
      </c>
      <c r="F535" s="323" t="s">
        <v>3917</v>
      </c>
      <c r="G535" s="323"/>
      <c r="H535" s="328"/>
    </row>
    <row r="536" customFormat="false" ht="78" hidden="false" customHeight="true" outlineLevel="0" collapsed="false">
      <c r="A536" s="321" t="n">
        <v>6</v>
      </c>
      <c r="B536" s="321" t="s">
        <v>1397</v>
      </c>
      <c r="C536" s="321" t="s">
        <v>4678</v>
      </c>
      <c r="D536" s="321"/>
      <c r="E536" s="321"/>
      <c r="F536" s="321" t="s">
        <v>3941</v>
      </c>
      <c r="G536" s="321"/>
      <c r="H536" s="322" t="s">
        <v>4408</v>
      </c>
    </row>
    <row r="537" customFormat="false" ht="64.5" hidden="false" customHeight="true" outlineLevel="0" collapsed="false">
      <c r="A537" s="323"/>
      <c r="B537" s="323"/>
      <c r="C537" s="323" t="s">
        <v>711</v>
      </c>
      <c r="D537" s="323" t="s">
        <v>4679</v>
      </c>
      <c r="E537" s="332" t="s">
        <v>4431</v>
      </c>
      <c r="F537" s="323" t="s">
        <v>4432</v>
      </c>
      <c r="G537" s="323"/>
      <c r="H537" s="328" t="s">
        <v>3922</v>
      </c>
    </row>
    <row r="538" customFormat="false" ht="90.75" hidden="false" customHeight="true" outlineLevel="0" collapsed="false">
      <c r="A538" s="323"/>
      <c r="B538" s="323"/>
      <c r="C538" s="323" t="s">
        <v>711</v>
      </c>
      <c r="D538" s="324"/>
      <c r="E538" s="329" t="s">
        <v>4411</v>
      </c>
      <c r="F538" s="323" t="s">
        <v>4680</v>
      </c>
      <c r="G538" s="323"/>
      <c r="H538" s="328"/>
    </row>
    <row r="539" customFormat="false" ht="51.75" hidden="false" customHeight="true" outlineLevel="0" collapsed="false">
      <c r="A539" s="323"/>
      <c r="B539" s="323"/>
      <c r="C539" s="323" t="s">
        <v>712</v>
      </c>
      <c r="D539" s="330" t="s">
        <v>4681</v>
      </c>
      <c r="E539" s="331" t="s">
        <v>4440</v>
      </c>
      <c r="F539" s="326" t="s">
        <v>3924</v>
      </c>
      <c r="G539" s="323"/>
      <c r="H539" s="328" t="s">
        <v>3926</v>
      </c>
    </row>
    <row r="540" customFormat="false" ht="25.5" hidden="false" customHeight="true" outlineLevel="0" collapsed="false">
      <c r="A540" s="323"/>
      <c r="B540" s="323"/>
      <c r="C540" s="323" t="s">
        <v>712</v>
      </c>
      <c r="D540" s="324"/>
      <c r="E540" s="329" t="s">
        <v>4411</v>
      </c>
      <c r="F540" s="323" t="s">
        <v>4682</v>
      </c>
      <c r="G540" s="323"/>
      <c r="H540" s="328"/>
    </row>
    <row r="541" customFormat="false" ht="25.5" hidden="false" customHeight="true" outlineLevel="0" collapsed="false">
      <c r="A541" s="323"/>
      <c r="B541" s="323"/>
      <c r="C541" s="323" t="s">
        <v>2635</v>
      </c>
      <c r="D541" s="323" t="s">
        <v>3927</v>
      </c>
      <c r="E541" s="332" t="s">
        <v>4431</v>
      </c>
      <c r="F541" s="323" t="s">
        <v>4432</v>
      </c>
      <c r="G541" s="323"/>
      <c r="H541" s="328" t="s">
        <v>3928</v>
      </c>
    </row>
    <row r="542" customFormat="false" ht="39" hidden="false" customHeight="true" outlineLevel="0" collapsed="false">
      <c r="A542" s="323"/>
      <c r="B542" s="323"/>
      <c r="C542" s="323" t="s">
        <v>2635</v>
      </c>
      <c r="D542" s="323" t="s">
        <v>4683</v>
      </c>
      <c r="E542" s="332" t="s">
        <v>4431</v>
      </c>
      <c r="F542" s="323" t="s">
        <v>4432</v>
      </c>
      <c r="G542" s="323"/>
      <c r="H542" s="328" t="s">
        <v>3930</v>
      </c>
    </row>
    <row r="543" customFormat="false" ht="117" hidden="false" customHeight="true" outlineLevel="0" collapsed="false">
      <c r="A543" s="323"/>
      <c r="B543" s="323"/>
      <c r="C543" s="323" t="s">
        <v>2635</v>
      </c>
      <c r="D543" s="324"/>
      <c r="E543" s="325" t="s">
        <v>4409</v>
      </c>
      <c r="F543" s="326" t="s">
        <v>3931</v>
      </c>
      <c r="G543" s="327" t="s">
        <v>3932</v>
      </c>
      <c r="H543" s="328" t="s">
        <v>3933</v>
      </c>
    </row>
    <row r="544" customFormat="false" ht="51.75" hidden="false" customHeight="true" outlineLevel="0" collapsed="false">
      <c r="A544" s="323"/>
      <c r="B544" s="323"/>
      <c r="C544" s="323" t="s">
        <v>2635</v>
      </c>
      <c r="D544" s="324"/>
      <c r="E544" s="325" t="s">
        <v>4409</v>
      </c>
      <c r="F544" s="326" t="s">
        <v>3934</v>
      </c>
      <c r="G544" s="327" t="s">
        <v>3921</v>
      </c>
      <c r="H544" s="328" t="s">
        <v>3935</v>
      </c>
    </row>
    <row r="545" customFormat="false" ht="51.75" hidden="false" customHeight="true" outlineLevel="0" collapsed="false">
      <c r="A545" s="323"/>
      <c r="B545" s="323"/>
      <c r="C545" s="323" t="s">
        <v>2642</v>
      </c>
      <c r="D545" s="330" t="s">
        <v>3936</v>
      </c>
      <c r="E545" s="331" t="s">
        <v>4440</v>
      </c>
      <c r="F545" s="326" t="s">
        <v>3937</v>
      </c>
      <c r="G545" s="323"/>
      <c r="H545" s="328" t="s">
        <v>3938</v>
      </c>
    </row>
    <row r="546" customFormat="false" ht="25.5" hidden="false" customHeight="true" outlineLevel="0" collapsed="false">
      <c r="A546" s="323"/>
      <c r="B546" s="323"/>
      <c r="C546" s="323" t="s">
        <v>2642</v>
      </c>
      <c r="D546" s="323" t="s">
        <v>3939</v>
      </c>
      <c r="E546" s="332" t="s">
        <v>4431</v>
      </c>
      <c r="F546" s="323" t="s">
        <v>4432</v>
      </c>
      <c r="G546" s="323"/>
      <c r="H546" s="328" t="s">
        <v>3940</v>
      </c>
    </row>
    <row r="547" customFormat="false" ht="25.5" hidden="false" customHeight="true" outlineLevel="0" collapsed="false">
      <c r="A547" s="323"/>
      <c r="B547" s="323"/>
      <c r="C547" s="323" t="s">
        <v>2642</v>
      </c>
      <c r="D547" s="324"/>
      <c r="E547" s="329" t="s">
        <v>4411</v>
      </c>
      <c r="F547" s="323" t="s">
        <v>4684</v>
      </c>
      <c r="G547" s="323"/>
      <c r="H547" s="328"/>
    </row>
    <row r="548" customFormat="false" ht="64.5" hidden="false" customHeight="true" outlineLevel="0" collapsed="false">
      <c r="A548" s="321" t="n">
        <v>7</v>
      </c>
      <c r="B548" s="321" t="s">
        <v>122</v>
      </c>
      <c r="C548" s="321" t="s">
        <v>4685</v>
      </c>
      <c r="D548" s="321"/>
      <c r="E548" s="321"/>
      <c r="F548" s="321" t="s">
        <v>3964</v>
      </c>
      <c r="G548" s="321"/>
      <c r="H548" s="322" t="s">
        <v>4408</v>
      </c>
    </row>
    <row r="549" customFormat="false" ht="39" hidden="false" customHeight="true" outlineLevel="0" collapsed="false">
      <c r="A549" s="323"/>
      <c r="B549" s="323"/>
      <c r="C549" s="323" t="s">
        <v>711</v>
      </c>
      <c r="D549" s="330" t="s">
        <v>4686</v>
      </c>
      <c r="E549" s="331" t="s">
        <v>4440</v>
      </c>
      <c r="F549" s="326" t="s">
        <v>3944</v>
      </c>
      <c r="G549" s="323"/>
      <c r="H549" s="328" t="s">
        <v>3945</v>
      </c>
    </row>
    <row r="550" customFormat="false" ht="51.75" hidden="false" customHeight="true" outlineLevel="0" collapsed="false">
      <c r="A550" s="323"/>
      <c r="B550" s="323"/>
      <c r="C550" s="323" t="s">
        <v>711</v>
      </c>
      <c r="D550" s="324"/>
      <c r="E550" s="329" t="s">
        <v>4411</v>
      </c>
      <c r="F550" s="323" t="s">
        <v>4687</v>
      </c>
      <c r="G550" s="323"/>
      <c r="H550" s="328"/>
    </row>
    <row r="551" customFormat="false" ht="78" hidden="false" customHeight="true" outlineLevel="0" collapsed="false">
      <c r="A551" s="323"/>
      <c r="B551" s="323"/>
      <c r="C551" s="323" t="s">
        <v>712</v>
      </c>
      <c r="D551" s="323" t="s">
        <v>4688</v>
      </c>
      <c r="E551" s="332" t="s">
        <v>4431</v>
      </c>
      <c r="F551" s="323" t="s">
        <v>4432</v>
      </c>
      <c r="G551" s="323"/>
      <c r="H551" s="328" t="s">
        <v>3950</v>
      </c>
    </row>
    <row r="552" customFormat="false" ht="25.5" hidden="false" customHeight="true" outlineLevel="0" collapsed="false">
      <c r="A552" s="323"/>
      <c r="B552" s="323"/>
      <c r="C552" s="323" t="s">
        <v>712</v>
      </c>
      <c r="D552" s="324"/>
      <c r="E552" s="329" t="s">
        <v>4411</v>
      </c>
      <c r="F552" s="323" t="s">
        <v>4689</v>
      </c>
      <c r="G552" s="323"/>
      <c r="H552" s="328"/>
    </row>
    <row r="553" customFormat="false" ht="39" hidden="false" customHeight="true" outlineLevel="0" collapsed="false">
      <c r="A553" s="323"/>
      <c r="B553" s="323"/>
      <c r="C553" s="323" t="s">
        <v>2635</v>
      </c>
      <c r="D553" s="323" t="s">
        <v>4690</v>
      </c>
      <c r="E553" s="332" t="s">
        <v>4431</v>
      </c>
      <c r="F553" s="323" t="s">
        <v>4432</v>
      </c>
      <c r="G553" s="323"/>
      <c r="H553" s="328" t="s">
        <v>3952</v>
      </c>
    </row>
    <row r="554" customFormat="false" ht="39" hidden="false" customHeight="true" outlineLevel="0" collapsed="false">
      <c r="A554" s="323"/>
      <c r="B554" s="323"/>
      <c r="C554" s="323" t="s">
        <v>2635</v>
      </c>
      <c r="D554" s="323" t="s">
        <v>3953</v>
      </c>
      <c r="E554" s="332" t="s">
        <v>4431</v>
      </c>
      <c r="F554" s="323" t="s">
        <v>4432</v>
      </c>
      <c r="G554" s="323"/>
      <c r="H554" s="328" t="s">
        <v>3955</v>
      </c>
    </row>
    <row r="555" customFormat="false" ht="90.75" hidden="false" customHeight="true" outlineLevel="0" collapsed="false">
      <c r="A555" s="323"/>
      <c r="B555" s="323"/>
      <c r="C555" s="323" t="s">
        <v>2635</v>
      </c>
      <c r="D555" s="324"/>
      <c r="E555" s="325" t="s">
        <v>4409</v>
      </c>
      <c r="F555" s="326" t="s">
        <v>3956</v>
      </c>
      <c r="G555" s="327" t="s">
        <v>3954</v>
      </c>
      <c r="H555" s="328" t="s">
        <v>3957</v>
      </c>
    </row>
    <row r="556" customFormat="false" ht="51.75" hidden="false" customHeight="true" outlineLevel="0" collapsed="false">
      <c r="A556" s="323"/>
      <c r="B556" s="323"/>
      <c r="C556" s="323" t="s">
        <v>2635</v>
      </c>
      <c r="D556" s="324"/>
      <c r="E556" s="325" t="s">
        <v>4409</v>
      </c>
      <c r="F556" s="326" t="s">
        <v>3958</v>
      </c>
      <c r="G556" s="327" t="s">
        <v>3959</v>
      </c>
      <c r="H556" s="328" t="s">
        <v>3960</v>
      </c>
    </row>
    <row r="557" customFormat="false" ht="78" hidden="false" customHeight="true" outlineLevel="0" collapsed="false">
      <c r="A557" s="323"/>
      <c r="B557" s="323"/>
      <c r="C557" s="323" t="s">
        <v>2642</v>
      </c>
      <c r="D557" s="323" t="s">
        <v>4691</v>
      </c>
      <c r="E557" s="332" t="s">
        <v>4431</v>
      </c>
      <c r="F557" s="323" t="s">
        <v>4432</v>
      </c>
      <c r="G557" s="323"/>
      <c r="H557" s="328" t="s">
        <v>3962</v>
      </c>
    </row>
    <row r="558" customFormat="false" ht="25.5" hidden="false" customHeight="true" outlineLevel="0" collapsed="false">
      <c r="A558" s="323"/>
      <c r="B558" s="323"/>
      <c r="C558" s="323" t="s">
        <v>2642</v>
      </c>
      <c r="D558" s="324"/>
      <c r="E558" s="329" t="s">
        <v>4411</v>
      </c>
      <c r="F558" s="323" t="s">
        <v>4684</v>
      </c>
      <c r="G558" s="323"/>
      <c r="H558" s="328"/>
    </row>
    <row r="559" customFormat="false" ht="90.75" hidden="false" customHeight="true" outlineLevel="0" collapsed="false">
      <c r="A559" s="321" t="n">
        <v>8</v>
      </c>
      <c r="B559" s="321" t="s">
        <v>121</v>
      </c>
      <c r="C559" s="321" t="s">
        <v>4692</v>
      </c>
      <c r="D559" s="321"/>
      <c r="E559" s="321"/>
      <c r="F559" s="321" t="s">
        <v>3990</v>
      </c>
      <c r="G559" s="321"/>
      <c r="H559" s="322" t="s">
        <v>4408</v>
      </c>
    </row>
    <row r="560" customFormat="false" ht="90.75" hidden="false" customHeight="true" outlineLevel="0" collapsed="false">
      <c r="A560" s="323"/>
      <c r="B560" s="323"/>
      <c r="C560" s="323" t="s">
        <v>711</v>
      </c>
      <c r="D560" s="324"/>
      <c r="E560" s="325" t="s">
        <v>4409</v>
      </c>
      <c r="F560" s="326" t="s">
        <v>3966</v>
      </c>
      <c r="G560" s="327" t="s">
        <v>3967</v>
      </c>
      <c r="H560" s="328" t="s">
        <v>3968</v>
      </c>
    </row>
    <row r="561" customFormat="false" ht="64.5" hidden="false" customHeight="true" outlineLevel="0" collapsed="false">
      <c r="A561" s="323"/>
      <c r="B561" s="323"/>
      <c r="C561" s="323" t="s">
        <v>711</v>
      </c>
      <c r="D561" s="324"/>
      <c r="E561" s="325" t="s">
        <v>4409</v>
      </c>
      <c r="F561" s="326" t="s">
        <v>3969</v>
      </c>
      <c r="G561" s="327" t="s">
        <v>3970</v>
      </c>
      <c r="H561" s="328" t="s">
        <v>3971</v>
      </c>
    </row>
    <row r="562" customFormat="false" ht="64.5" hidden="false" customHeight="true" outlineLevel="0" collapsed="false">
      <c r="A562" s="323"/>
      <c r="B562" s="323"/>
      <c r="C562" s="323" t="s">
        <v>711</v>
      </c>
      <c r="D562" s="324"/>
      <c r="E562" s="325" t="s">
        <v>4409</v>
      </c>
      <c r="F562" s="326" t="s">
        <v>3972</v>
      </c>
      <c r="G562" s="327" t="s">
        <v>3973</v>
      </c>
      <c r="H562" s="328" t="s">
        <v>3974</v>
      </c>
    </row>
    <row r="563" customFormat="false" ht="64.5" hidden="false" customHeight="true" outlineLevel="0" collapsed="false">
      <c r="A563" s="323"/>
      <c r="B563" s="323"/>
      <c r="C563" s="323" t="s">
        <v>711</v>
      </c>
      <c r="D563" s="324"/>
      <c r="E563" s="325" t="s">
        <v>4409</v>
      </c>
      <c r="F563" s="326" t="s">
        <v>3975</v>
      </c>
      <c r="G563" s="327" t="s">
        <v>3141</v>
      </c>
      <c r="H563" s="328" t="s">
        <v>3976</v>
      </c>
    </row>
    <row r="564" customFormat="false" ht="103.5" hidden="false" customHeight="true" outlineLevel="0" collapsed="false">
      <c r="A564" s="323"/>
      <c r="B564" s="323"/>
      <c r="C564" s="323" t="s">
        <v>712</v>
      </c>
      <c r="D564" s="324"/>
      <c r="E564" s="325" t="s">
        <v>4409</v>
      </c>
      <c r="F564" s="326" t="s">
        <v>3977</v>
      </c>
      <c r="G564" s="327" t="s">
        <v>3978</v>
      </c>
      <c r="H564" s="328" t="s">
        <v>3979</v>
      </c>
    </row>
    <row r="565" customFormat="false" ht="78" hidden="false" customHeight="true" outlineLevel="0" collapsed="false">
      <c r="A565" s="323"/>
      <c r="B565" s="323"/>
      <c r="C565" s="323" t="s">
        <v>2635</v>
      </c>
      <c r="D565" s="324"/>
      <c r="E565" s="325" t="s">
        <v>4409</v>
      </c>
      <c r="F565" s="326" t="s">
        <v>3980</v>
      </c>
      <c r="G565" s="327" t="s">
        <v>3981</v>
      </c>
      <c r="H565" s="328" t="s">
        <v>3982</v>
      </c>
    </row>
    <row r="566" customFormat="false" ht="64.5" hidden="false" customHeight="true" outlineLevel="0" collapsed="false">
      <c r="A566" s="323"/>
      <c r="B566" s="323"/>
      <c r="C566" s="323" t="s">
        <v>2635</v>
      </c>
      <c r="D566" s="324"/>
      <c r="E566" s="325" t="s">
        <v>4409</v>
      </c>
      <c r="F566" s="326" t="s">
        <v>3983</v>
      </c>
      <c r="G566" s="327" t="s">
        <v>3984</v>
      </c>
      <c r="H566" s="328" t="s">
        <v>3985</v>
      </c>
    </row>
    <row r="567" customFormat="false" ht="64.5" hidden="false" customHeight="true" outlineLevel="0" collapsed="false">
      <c r="A567" s="323"/>
      <c r="B567" s="323"/>
      <c r="C567" s="323" t="s">
        <v>2642</v>
      </c>
      <c r="D567" s="324"/>
      <c r="E567" s="329" t="s">
        <v>4411</v>
      </c>
      <c r="F567" s="323" t="s">
        <v>3986</v>
      </c>
      <c r="G567" s="323"/>
      <c r="H567" s="328"/>
    </row>
    <row r="568" customFormat="false" ht="90.75" hidden="false" customHeight="true" outlineLevel="0" collapsed="false">
      <c r="A568" s="323"/>
      <c r="B568" s="323"/>
      <c r="C568" s="323" t="s">
        <v>3987</v>
      </c>
      <c r="D568" s="324"/>
      <c r="E568" s="329" t="s">
        <v>4693</v>
      </c>
      <c r="F568" s="323" t="s">
        <v>3989</v>
      </c>
      <c r="G568" s="323"/>
      <c r="H568" s="328"/>
    </row>
    <row r="569" customFormat="false" ht="51.75" hidden="false" customHeight="true" outlineLevel="0" collapsed="false">
      <c r="A569" s="321" t="n">
        <v>9</v>
      </c>
      <c r="B569" s="321" t="s">
        <v>131</v>
      </c>
      <c r="C569" s="321" t="s">
        <v>4694</v>
      </c>
      <c r="D569" s="321"/>
      <c r="E569" s="321"/>
      <c r="F569" s="321" t="s">
        <v>4018</v>
      </c>
      <c r="G569" s="321"/>
      <c r="H569" s="322" t="s">
        <v>4423</v>
      </c>
    </row>
    <row r="570" customFormat="false" ht="51.75" hidden="false" customHeight="true" outlineLevel="0" collapsed="false">
      <c r="A570" s="323"/>
      <c r="B570" s="323"/>
      <c r="C570" s="323" t="s">
        <v>711</v>
      </c>
      <c r="D570" s="330" t="s">
        <v>4695</v>
      </c>
      <c r="E570" s="331" t="s">
        <v>4468</v>
      </c>
      <c r="F570" s="326" t="s">
        <v>3993</v>
      </c>
      <c r="G570" s="323"/>
      <c r="H570" s="328" t="s">
        <v>3995</v>
      </c>
    </row>
    <row r="571" customFormat="false" ht="51.75" hidden="false" customHeight="true" outlineLevel="0" collapsed="false">
      <c r="A571" s="323"/>
      <c r="B571" s="323"/>
      <c r="C571" s="323" t="s">
        <v>711</v>
      </c>
      <c r="D571" s="324"/>
      <c r="E571" s="329" t="s">
        <v>4411</v>
      </c>
      <c r="F571" s="323" t="s">
        <v>4696</v>
      </c>
      <c r="G571" s="323"/>
      <c r="H571" s="328"/>
    </row>
    <row r="572" customFormat="false" ht="51.75" hidden="false" customHeight="true" outlineLevel="0" collapsed="false">
      <c r="A572" s="323"/>
      <c r="B572" s="323"/>
      <c r="C572" s="323" t="s">
        <v>712</v>
      </c>
      <c r="D572" s="330" t="s">
        <v>4697</v>
      </c>
      <c r="E572" s="331" t="s">
        <v>4450</v>
      </c>
      <c r="F572" s="326" t="s">
        <v>3997</v>
      </c>
      <c r="G572" s="323"/>
      <c r="H572" s="328" t="s">
        <v>3999</v>
      </c>
    </row>
    <row r="573" customFormat="false" ht="15" hidden="false" customHeight="true" outlineLevel="0" collapsed="false">
      <c r="A573" s="323"/>
      <c r="B573" s="323"/>
      <c r="C573" s="323" t="s">
        <v>712</v>
      </c>
      <c r="D573" s="324"/>
      <c r="E573" s="329" t="s">
        <v>4411</v>
      </c>
      <c r="F573" s="323" t="s">
        <v>4698</v>
      </c>
      <c r="G573" s="323"/>
      <c r="H573" s="328"/>
    </row>
    <row r="574" customFormat="false" ht="25.5" hidden="false" customHeight="true" outlineLevel="0" collapsed="false">
      <c r="A574" s="323"/>
      <c r="B574" s="323"/>
      <c r="C574" s="323" t="s">
        <v>2635</v>
      </c>
      <c r="D574" s="330" t="s">
        <v>4699</v>
      </c>
      <c r="E574" s="331" t="s">
        <v>4468</v>
      </c>
      <c r="F574" s="326" t="s">
        <v>4001</v>
      </c>
      <c r="G574" s="323"/>
      <c r="H574" s="328" t="s">
        <v>4002</v>
      </c>
    </row>
    <row r="575" customFormat="false" ht="64.5" hidden="false" customHeight="true" outlineLevel="0" collapsed="false">
      <c r="A575" s="323"/>
      <c r="B575" s="323"/>
      <c r="C575" s="323" t="s">
        <v>2635</v>
      </c>
      <c r="D575" s="330" t="s">
        <v>4700</v>
      </c>
      <c r="E575" s="331" t="s">
        <v>4468</v>
      </c>
      <c r="F575" s="326" t="s">
        <v>4004</v>
      </c>
      <c r="G575" s="323"/>
      <c r="H575" s="328" t="s">
        <v>4006</v>
      </c>
    </row>
    <row r="576" customFormat="false" ht="78" hidden="false" customHeight="true" outlineLevel="0" collapsed="false">
      <c r="A576" s="323"/>
      <c r="B576" s="323"/>
      <c r="C576" s="323" t="s">
        <v>2635</v>
      </c>
      <c r="D576" s="324"/>
      <c r="E576" s="325" t="s">
        <v>4409</v>
      </c>
      <c r="F576" s="326" t="s">
        <v>4007</v>
      </c>
      <c r="G576" s="327" t="s">
        <v>4008</v>
      </c>
      <c r="H576" s="328" t="s">
        <v>4009</v>
      </c>
    </row>
    <row r="577" customFormat="false" ht="64.5" hidden="false" customHeight="true" outlineLevel="0" collapsed="false">
      <c r="A577" s="323"/>
      <c r="B577" s="323"/>
      <c r="C577" s="323" t="s">
        <v>2635</v>
      </c>
      <c r="D577" s="324"/>
      <c r="E577" s="325" t="s">
        <v>4409</v>
      </c>
      <c r="F577" s="326" t="s">
        <v>4010</v>
      </c>
      <c r="G577" s="327" t="s">
        <v>4011</v>
      </c>
      <c r="H577" s="328" t="s">
        <v>4012</v>
      </c>
    </row>
    <row r="578" customFormat="false" ht="78" hidden="false" customHeight="true" outlineLevel="0" collapsed="false">
      <c r="A578" s="323"/>
      <c r="B578" s="323"/>
      <c r="C578" s="323" t="s">
        <v>2635</v>
      </c>
      <c r="D578" s="324"/>
      <c r="E578" s="325" t="s">
        <v>4409</v>
      </c>
      <c r="F578" s="326" t="s">
        <v>4013</v>
      </c>
      <c r="G578" s="327" t="s">
        <v>4014</v>
      </c>
      <c r="H578" s="328" t="s">
        <v>4015</v>
      </c>
    </row>
    <row r="579" customFormat="false" ht="15" hidden="false" customHeight="true" outlineLevel="0" collapsed="false">
      <c r="A579" s="323"/>
      <c r="B579" s="323"/>
      <c r="C579" s="323" t="s">
        <v>2642</v>
      </c>
      <c r="D579" s="323" t="s">
        <v>1087</v>
      </c>
      <c r="E579" s="332" t="s">
        <v>4431</v>
      </c>
      <c r="F579" s="323" t="s">
        <v>4432</v>
      </c>
      <c r="G579" s="323"/>
      <c r="H579" s="328" t="s">
        <v>4016</v>
      </c>
    </row>
    <row r="580" customFormat="false" ht="15" hidden="false" customHeight="true" outlineLevel="0" collapsed="false">
      <c r="A580" s="323"/>
      <c r="B580" s="323"/>
      <c r="C580" s="323" t="s">
        <v>2642</v>
      </c>
      <c r="D580" s="324"/>
      <c r="E580" s="329" t="s">
        <v>4411</v>
      </c>
      <c r="F580" s="323" t="s">
        <v>4701</v>
      </c>
      <c r="G580" s="323"/>
      <c r="H580" s="328"/>
    </row>
    <row r="581" customFormat="false" ht="78" hidden="false" customHeight="true" outlineLevel="0" collapsed="false">
      <c r="A581" s="323"/>
      <c r="B581" s="323"/>
      <c r="C581" s="323" t="s">
        <v>3987</v>
      </c>
      <c r="D581" s="324"/>
      <c r="E581" s="329" t="s">
        <v>4693</v>
      </c>
      <c r="F581" s="323" t="s">
        <v>4017</v>
      </c>
      <c r="G581" s="323"/>
      <c r="H581" s="328"/>
    </row>
    <row r="582" customFormat="false" ht="51.75" hidden="false" customHeight="true" outlineLevel="0" collapsed="false">
      <c r="A582" s="321" t="n">
        <v>10</v>
      </c>
      <c r="B582" s="321" t="s">
        <v>125</v>
      </c>
      <c r="C582" s="321" t="s">
        <v>4702</v>
      </c>
      <c r="D582" s="321"/>
      <c r="E582" s="321"/>
      <c r="F582" s="321" t="s">
        <v>4046</v>
      </c>
      <c r="G582" s="321"/>
      <c r="H582" s="322" t="s">
        <v>4423</v>
      </c>
    </row>
    <row r="583" customFormat="false" ht="51.75" hidden="false" customHeight="true" outlineLevel="0" collapsed="false">
      <c r="A583" s="323"/>
      <c r="B583" s="323"/>
      <c r="C583" s="323" t="s">
        <v>711</v>
      </c>
      <c r="D583" s="330" t="s">
        <v>4703</v>
      </c>
      <c r="E583" s="331" t="s">
        <v>4450</v>
      </c>
      <c r="F583" s="326" t="s">
        <v>4021</v>
      </c>
      <c r="G583" s="323"/>
      <c r="H583" s="328" t="s">
        <v>4022</v>
      </c>
    </row>
    <row r="584" customFormat="false" ht="51.75" hidden="false" customHeight="true" outlineLevel="0" collapsed="false">
      <c r="A584" s="323"/>
      <c r="B584" s="323"/>
      <c r="C584" s="323" t="s">
        <v>711</v>
      </c>
      <c r="D584" s="324"/>
      <c r="E584" s="329" t="s">
        <v>4411</v>
      </c>
      <c r="F584" s="323" t="s">
        <v>4704</v>
      </c>
      <c r="G584" s="323"/>
      <c r="H584" s="328"/>
    </row>
    <row r="585" customFormat="false" ht="51.75" hidden="false" customHeight="true" outlineLevel="0" collapsed="false">
      <c r="A585" s="323"/>
      <c r="B585" s="323"/>
      <c r="C585" s="323" t="s">
        <v>712</v>
      </c>
      <c r="D585" s="330" t="s">
        <v>4705</v>
      </c>
      <c r="E585" s="331" t="s">
        <v>4440</v>
      </c>
      <c r="F585" s="326" t="s">
        <v>4024</v>
      </c>
      <c r="G585" s="323"/>
      <c r="H585" s="328" t="s">
        <v>4026</v>
      </c>
    </row>
    <row r="586" customFormat="false" ht="39" hidden="false" customHeight="true" outlineLevel="0" collapsed="false">
      <c r="A586" s="323"/>
      <c r="B586" s="323"/>
      <c r="C586" s="323" t="s">
        <v>712</v>
      </c>
      <c r="D586" s="330" t="s">
        <v>4706</v>
      </c>
      <c r="E586" s="331" t="s">
        <v>4450</v>
      </c>
      <c r="F586" s="326" t="s">
        <v>4028</v>
      </c>
      <c r="G586" s="323"/>
      <c r="H586" s="328" t="s">
        <v>4029</v>
      </c>
    </row>
    <row r="587" customFormat="false" ht="25.5" hidden="false" customHeight="true" outlineLevel="0" collapsed="false">
      <c r="A587" s="323"/>
      <c r="B587" s="323"/>
      <c r="C587" s="323" t="s">
        <v>712</v>
      </c>
      <c r="D587" s="324"/>
      <c r="E587" s="329" t="s">
        <v>4411</v>
      </c>
      <c r="F587" s="323" t="s">
        <v>4707</v>
      </c>
      <c r="G587" s="323"/>
      <c r="H587" s="328"/>
    </row>
    <row r="588" customFormat="false" ht="39" hidden="false" customHeight="true" outlineLevel="0" collapsed="false">
      <c r="A588" s="323"/>
      <c r="B588" s="323"/>
      <c r="C588" s="323" t="s">
        <v>2635</v>
      </c>
      <c r="D588" s="323" t="s">
        <v>4708</v>
      </c>
      <c r="E588" s="332" t="s">
        <v>4431</v>
      </c>
      <c r="F588" s="323" t="s">
        <v>4432</v>
      </c>
      <c r="G588" s="323"/>
      <c r="H588" s="328" t="s">
        <v>4032</v>
      </c>
    </row>
    <row r="589" customFormat="false" ht="51.75" hidden="false" customHeight="true" outlineLevel="0" collapsed="false">
      <c r="A589" s="323"/>
      <c r="B589" s="323"/>
      <c r="C589" s="323" t="s">
        <v>2635</v>
      </c>
      <c r="D589" s="323" t="s">
        <v>4709</v>
      </c>
      <c r="E589" s="332" t="s">
        <v>4431</v>
      </c>
      <c r="F589" s="323" t="s">
        <v>4432</v>
      </c>
      <c r="G589" s="323"/>
      <c r="H589" s="328" t="s">
        <v>4034</v>
      </c>
    </row>
    <row r="590" customFormat="false" ht="39" hidden="false" customHeight="true" outlineLevel="0" collapsed="false">
      <c r="A590" s="323"/>
      <c r="B590" s="323"/>
      <c r="C590" s="323" t="s">
        <v>2635</v>
      </c>
      <c r="D590" s="330" t="s">
        <v>4710</v>
      </c>
      <c r="E590" s="331" t="s">
        <v>4440</v>
      </c>
      <c r="F590" s="326" t="s">
        <v>4036</v>
      </c>
      <c r="G590" s="323"/>
      <c r="H590" s="328" t="s">
        <v>4038</v>
      </c>
    </row>
    <row r="591" customFormat="false" ht="64.5" hidden="false" customHeight="true" outlineLevel="0" collapsed="false">
      <c r="A591" s="323"/>
      <c r="B591" s="323"/>
      <c r="C591" s="323" t="s">
        <v>2635</v>
      </c>
      <c r="D591" s="324"/>
      <c r="E591" s="325" t="s">
        <v>4409</v>
      </c>
      <c r="F591" s="326" t="s">
        <v>4039</v>
      </c>
      <c r="G591" s="327" t="s">
        <v>3853</v>
      </c>
      <c r="H591" s="328" t="s">
        <v>4040</v>
      </c>
    </row>
    <row r="592" customFormat="false" ht="78" hidden="false" customHeight="true" outlineLevel="0" collapsed="false">
      <c r="A592" s="323"/>
      <c r="B592" s="323"/>
      <c r="C592" s="323" t="s">
        <v>2635</v>
      </c>
      <c r="D592" s="324"/>
      <c r="E592" s="325" t="s">
        <v>4409</v>
      </c>
      <c r="F592" s="326" t="s">
        <v>4041</v>
      </c>
      <c r="G592" s="327" t="s">
        <v>1339</v>
      </c>
      <c r="H592" s="328" t="s">
        <v>4042</v>
      </c>
    </row>
    <row r="593" customFormat="false" ht="51.75" hidden="false" customHeight="true" outlineLevel="0" collapsed="false">
      <c r="A593" s="323"/>
      <c r="B593" s="323"/>
      <c r="C593" s="323" t="s">
        <v>2635</v>
      </c>
      <c r="D593" s="324"/>
      <c r="E593" s="325" t="s">
        <v>4409</v>
      </c>
      <c r="F593" s="326" t="s">
        <v>4043</v>
      </c>
      <c r="G593" s="327" t="s">
        <v>4037</v>
      </c>
      <c r="H593" s="328" t="s">
        <v>4044</v>
      </c>
    </row>
    <row r="594" customFormat="false" ht="15" hidden="false" customHeight="true" outlineLevel="0" collapsed="false">
      <c r="A594" s="323"/>
      <c r="B594" s="323"/>
      <c r="C594" s="323" t="s">
        <v>2642</v>
      </c>
      <c r="D594" s="323" t="s">
        <v>1087</v>
      </c>
      <c r="E594" s="332" t="s">
        <v>4431</v>
      </c>
      <c r="F594" s="323" t="s">
        <v>4432</v>
      </c>
      <c r="G594" s="323"/>
      <c r="H594" s="328" t="s">
        <v>4016</v>
      </c>
    </row>
    <row r="595" customFormat="false" ht="15" hidden="false" customHeight="true" outlineLevel="0" collapsed="false">
      <c r="A595" s="323"/>
      <c r="B595" s="323"/>
      <c r="C595" s="323" t="s">
        <v>2642</v>
      </c>
      <c r="D595" s="324"/>
      <c r="E595" s="329" t="s">
        <v>4411</v>
      </c>
      <c r="F595" s="323" t="s">
        <v>4701</v>
      </c>
      <c r="G595" s="323"/>
      <c r="H595" s="328"/>
    </row>
    <row r="596" customFormat="false" ht="64.5" hidden="false" customHeight="true" outlineLevel="0" collapsed="false">
      <c r="A596" s="323"/>
      <c r="B596" s="323"/>
      <c r="C596" s="323" t="s">
        <v>3987</v>
      </c>
      <c r="D596" s="324"/>
      <c r="E596" s="329" t="s">
        <v>4693</v>
      </c>
      <c r="F596" s="323" t="s">
        <v>4045</v>
      </c>
      <c r="G596" s="323"/>
      <c r="H596" s="328"/>
    </row>
    <row r="597" customFormat="false" ht="78" hidden="false" customHeight="true" outlineLevel="0" collapsed="false">
      <c r="A597" s="321" t="n">
        <v>11</v>
      </c>
      <c r="B597" s="321" t="s">
        <v>1457</v>
      </c>
      <c r="C597" s="321" t="s">
        <v>4711</v>
      </c>
      <c r="D597" s="321"/>
      <c r="E597" s="321"/>
      <c r="F597" s="321" t="s">
        <v>4094</v>
      </c>
      <c r="G597" s="321"/>
      <c r="H597" s="322" t="s">
        <v>4408</v>
      </c>
    </row>
    <row r="598" customFormat="false" ht="39" hidden="false" customHeight="true" outlineLevel="0" collapsed="false">
      <c r="A598" s="323"/>
      <c r="B598" s="323"/>
      <c r="C598" s="323" t="s">
        <v>711</v>
      </c>
      <c r="D598" s="330" t="s">
        <v>4712</v>
      </c>
      <c r="E598" s="331" t="s">
        <v>4450</v>
      </c>
      <c r="F598" s="326" t="s">
        <v>4049</v>
      </c>
      <c r="G598" s="323"/>
      <c r="H598" s="328" t="s">
        <v>4051</v>
      </c>
    </row>
    <row r="599" customFormat="false" ht="39" hidden="false" customHeight="true" outlineLevel="0" collapsed="false">
      <c r="A599" s="323"/>
      <c r="B599" s="323"/>
      <c r="C599" s="323" t="s">
        <v>711</v>
      </c>
      <c r="D599" s="323" t="s">
        <v>4713</v>
      </c>
      <c r="E599" s="332" t="s">
        <v>4431</v>
      </c>
      <c r="F599" s="323" t="s">
        <v>4432</v>
      </c>
      <c r="G599" s="323"/>
      <c r="H599" s="328" t="s">
        <v>4054</v>
      </c>
    </row>
    <row r="600" customFormat="false" ht="90.75" hidden="false" customHeight="true" outlineLevel="0" collapsed="false">
      <c r="A600" s="323"/>
      <c r="B600" s="323"/>
      <c r="C600" s="323" t="s">
        <v>711</v>
      </c>
      <c r="D600" s="324"/>
      <c r="E600" s="325" t="s">
        <v>4409</v>
      </c>
      <c r="F600" s="326" t="s">
        <v>4055</v>
      </c>
      <c r="G600" s="327" t="s">
        <v>4056</v>
      </c>
      <c r="H600" s="328" t="s">
        <v>4057</v>
      </c>
    </row>
    <row r="601" customFormat="false" ht="64.5" hidden="false" customHeight="true" outlineLevel="0" collapsed="false">
      <c r="A601" s="323"/>
      <c r="B601" s="323"/>
      <c r="C601" s="323" t="s">
        <v>711</v>
      </c>
      <c r="D601" s="324"/>
      <c r="E601" s="325" t="s">
        <v>4409</v>
      </c>
      <c r="F601" s="326" t="s">
        <v>4058</v>
      </c>
      <c r="G601" s="327" t="s">
        <v>4059</v>
      </c>
      <c r="H601" s="328" t="s">
        <v>4060</v>
      </c>
    </row>
    <row r="602" customFormat="false" ht="51.75" hidden="false" customHeight="true" outlineLevel="0" collapsed="false">
      <c r="A602" s="323"/>
      <c r="B602" s="323"/>
      <c r="C602" s="323" t="s">
        <v>712</v>
      </c>
      <c r="D602" s="330" t="s">
        <v>4714</v>
      </c>
      <c r="E602" s="331" t="s">
        <v>4445</v>
      </c>
      <c r="F602" s="326" t="s">
        <v>4062</v>
      </c>
      <c r="G602" s="323"/>
      <c r="H602" s="328" t="s">
        <v>4064</v>
      </c>
    </row>
    <row r="603" customFormat="false" ht="25.5" hidden="false" customHeight="true" outlineLevel="0" collapsed="false">
      <c r="A603" s="323"/>
      <c r="B603" s="323"/>
      <c r="C603" s="323" t="s">
        <v>712</v>
      </c>
      <c r="D603" s="330" t="s">
        <v>4715</v>
      </c>
      <c r="E603" s="331" t="s">
        <v>4445</v>
      </c>
      <c r="F603" s="326" t="s">
        <v>4066</v>
      </c>
      <c r="G603" s="323"/>
      <c r="H603" s="328" t="s">
        <v>4068</v>
      </c>
    </row>
    <row r="604" customFormat="false" ht="51.75" hidden="false" customHeight="true" outlineLevel="0" collapsed="false">
      <c r="A604" s="323"/>
      <c r="B604" s="323"/>
      <c r="C604" s="323" t="s">
        <v>712</v>
      </c>
      <c r="D604" s="324"/>
      <c r="E604" s="325" t="s">
        <v>4409</v>
      </c>
      <c r="F604" s="326" t="s">
        <v>4069</v>
      </c>
      <c r="G604" s="327" t="s">
        <v>4070</v>
      </c>
      <c r="H604" s="328" t="s">
        <v>4071</v>
      </c>
    </row>
    <row r="605" customFormat="false" ht="64.5" hidden="false" customHeight="true" outlineLevel="0" collapsed="false">
      <c r="A605" s="323"/>
      <c r="B605" s="323"/>
      <c r="C605" s="323" t="s">
        <v>2635</v>
      </c>
      <c r="D605" s="323" t="s">
        <v>4716</v>
      </c>
      <c r="E605" s="332" t="s">
        <v>4431</v>
      </c>
      <c r="F605" s="323" t="s">
        <v>4432</v>
      </c>
      <c r="G605" s="323"/>
      <c r="H605" s="328" t="s">
        <v>4073</v>
      </c>
    </row>
    <row r="606" customFormat="false" ht="51.75" hidden="false" customHeight="true" outlineLevel="0" collapsed="false">
      <c r="A606" s="323"/>
      <c r="B606" s="323"/>
      <c r="C606" s="323" t="s">
        <v>2635</v>
      </c>
      <c r="D606" s="330" t="s">
        <v>4717</v>
      </c>
      <c r="E606" s="331" t="s">
        <v>4440</v>
      </c>
      <c r="F606" s="326" t="s">
        <v>4075</v>
      </c>
      <c r="G606" s="323"/>
      <c r="H606" s="328" t="s">
        <v>4077</v>
      </c>
    </row>
    <row r="607" customFormat="false" ht="25.5" hidden="false" customHeight="true" outlineLevel="0" collapsed="false">
      <c r="A607" s="323"/>
      <c r="B607" s="323"/>
      <c r="C607" s="323" t="s">
        <v>2635</v>
      </c>
      <c r="D607" s="323" t="s">
        <v>4718</v>
      </c>
      <c r="E607" s="332" t="s">
        <v>4431</v>
      </c>
      <c r="F607" s="323" t="s">
        <v>4432</v>
      </c>
      <c r="G607" s="323"/>
      <c r="H607" s="328" t="s">
        <v>4079</v>
      </c>
    </row>
    <row r="608" customFormat="false" ht="51.75" hidden="false" customHeight="true" outlineLevel="0" collapsed="false">
      <c r="A608" s="323"/>
      <c r="B608" s="323"/>
      <c r="C608" s="323" t="s">
        <v>2635</v>
      </c>
      <c r="D608" s="324"/>
      <c r="E608" s="325" t="s">
        <v>4409</v>
      </c>
      <c r="F608" s="326" t="s">
        <v>4080</v>
      </c>
      <c r="G608" s="327" t="s">
        <v>4050</v>
      </c>
      <c r="H608" s="328" t="s">
        <v>4081</v>
      </c>
    </row>
    <row r="609" customFormat="false" ht="64.5" hidden="false" customHeight="true" outlineLevel="0" collapsed="false">
      <c r="A609" s="323"/>
      <c r="B609" s="323"/>
      <c r="C609" s="323" t="s">
        <v>2635</v>
      </c>
      <c r="D609" s="324"/>
      <c r="E609" s="325" t="s">
        <v>4409</v>
      </c>
      <c r="F609" s="326" t="s">
        <v>4082</v>
      </c>
      <c r="G609" s="327" t="s">
        <v>4083</v>
      </c>
      <c r="H609" s="328" t="s">
        <v>4084</v>
      </c>
    </row>
    <row r="610" customFormat="false" ht="64.5" hidden="false" customHeight="true" outlineLevel="0" collapsed="false">
      <c r="A610" s="323"/>
      <c r="B610" s="323"/>
      <c r="C610" s="323" t="s">
        <v>2635</v>
      </c>
      <c r="D610" s="324"/>
      <c r="E610" s="325" t="s">
        <v>4409</v>
      </c>
      <c r="F610" s="326" t="s">
        <v>4085</v>
      </c>
      <c r="G610" s="327" t="s">
        <v>4086</v>
      </c>
      <c r="H610" s="328" t="s">
        <v>4087</v>
      </c>
    </row>
    <row r="611" customFormat="false" ht="78" hidden="false" customHeight="true" outlineLevel="0" collapsed="false">
      <c r="A611" s="323"/>
      <c r="B611" s="323"/>
      <c r="C611" s="323" t="s">
        <v>2642</v>
      </c>
      <c r="D611" s="330" t="s">
        <v>1087</v>
      </c>
      <c r="E611" s="331" t="s">
        <v>4445</v>
      </c>
      <c r="F611" s="326" t="s">
        <v>4088</v>
      </c>
      <c r="G611" s="323"/>
      <c r="H611" s="328" t="s">
        <v>4089</v>
      </c>
    </row>
    <row r="612" customFormat="false" ht="103.5" hidden="false" customHeight="true" outlineLevel="0" collapsed="false">
      <c r="A612" s="323"/>
      <c r="B612" s="323"/>
      <c r="C612" s="323" t="s">
        <v>2642</v>
      </c>
      <c r="D612" s="324"/>
      <c r="E612" s="325" t="s">
        <v>4409</v>
      </c>
      <c r="F612" s="326" t="s">
        <v>4090</v>
      </c>
      <c r="G612" s="327" t="s">
        <v>4091</v>
      </c>
      <c r="H612" s="328" t="s">
        <v>4092</v>
      </c>
    </row>
    <row r="613" customFormat="false" ht="78" hidden="false" customHeight="true" outlineLevel="0" collapsed="false">
      <c r="A613" s="323"/>
      <c r="B613" s="323"/>
      <c r="C613" s="323" t="s">
        <v>3987</v>
      </c>
      <c r="D613" s="324"/>
      <c r="E613" s="329" t="s">
        <v>4693</v>
      </c>
      <c r="F613" s="323" t="s">
        <v>4093</v>
      </c>
      <c r="G613" s="323"/>
      <c r="H613" s="328"/>
    </row>
    <row r="614" customFormat="false" ht="78" hidden="false" customHeight="true" outlineLevel="0" collapsed="false">
      <c r="A614" s="321" t="n">
        <v>12</v>
      </c>
      <c r="B614" s="321" t="s">
        <v>1471</v>
      </c>
      <c r="C614" s="321" t="s">
        <v>4719</v>
      </c>
      <c r="D614" s="321"/>
      <c r="E614" s="321"/>
      <c r="F614" s="321" t="s">
        <v>4115</v>
      </c>
      <c r="G614" s="321"/>
      <c r="H614" s="322" t="s">
        <v>4408</v>
      </c>
    </row>
    <row r="615" customFormat="false" ht="78" hidden="false" customHeight="true" outlineLevel="0" collapsed="false">
      <c r="A615" s="323"/>
      <c r="B615" s="323"/>
      <c r="C615" s="323" t="s">
        <v>711</v>
      </c>
      <c r="D615" s="324"/>
      <c r="E615" s="329" t="s">
        <v>4411</v>
      </c>
      <c r="F615" s="323" t="s">
        <v>4096</v>
      </c>
      <c r="G615" s="323"/>
      <c r="H615" s="328"/>
    </row>
    <row r="616" customFormat="false" ht="15" hidden="false" customHeight="true" outlineLevel="0" collapsed="false">
      <c r="A616" s="323"/>
      <c r="B616" s="323"/>
      <c r="C616" s="323" t="s">
        <v>712</v>
      </c>
      <c r="D616" s="324"/>
      <c r="E616" s="329" t="s">
        <v>4411</v>
      </c>
      <c r="F616" s="323" t="s">
        <v>4097</v>
      </c>
      <c r="G616" s="323"/>
      <c r="H616" s="328"/>
    </row>
    <row r="617" customFormat="false" ht="90.75" hidden="false" customHeight="true" outlineLevel="0" collapsed="false">
      <c r="A617" s="323"/>
      <c r="B617" s="323"/>
      <c r="C617" s="323" t="s">
        <v>2635</v>
      </c>
      <c r="D617" s="324"/>
      <c r="E617" s="325" t="s">
        <v>4409</v>
      </c>
      <c r="F617" s="326" t="s">
        <v>4098</v>
      </c>
      <c r="G617" s="327" t="s">
        <v>4099</v>
      </c>
      <c r="H617" s="328" t="s">
        <v>4100</v>
      </c>
    </row>
    <row r="618" customFormat="false" ht="90.75" hidden="false" customHeight="true" outlineLevel="0" collapsed="false">
      <c r="A618" s="323"/>
      <c r="B618" s="323"/>
      <c r="C618" s="323" t="s">
        <v>2635</v>
      </c>
      <c r="D618" s="324"/>
      <c r="E618" s="325" t="s">
        <v>4409</v>
      </c>
      <c r="F618" s="326" t="s">
        <v>4101</v>
      </c>
      <c r="G618" s="327" t="s">
        <v>4102</v>
      </c>
      <c r="H618" s="328" t="s">
        <v>4103</v>
      </c>
    </row>
    <row r="619" customFormat="false" ht="64.5" hidden="false" customHeight="true" outlineLevel="0" collapsed="false">
      <c r="A619" s="323"/>
      <c r="B619" s="323"/>
      <c r="C619" s="323" t="s">
        <v>2635</v>
      </c>
      <c r="D619" s="324"/>
      <c r="E619" s="325" t="s">
        <v>4409</v>
      </c>
      <c r="F619" s="326" t="s">
        <v>4104</v>
      </c>
      <c r="G619" s="327" t="s">
        <v>4105</v>
      </c>
      <c r="H619" s="328" t="s">
        <v>4106</v>
      </c>
    </row>
    <row r="620" customFormat="false" ht="64.5" hidden="false" customHeight="true" outlineLevel="0" collapsed="false">
      <c r="A620" s="323"/>
      <c r="B620" s="323"/>
      <c r="C620" s="323" t="s">
        <v>2635</v>
      </c>
      <c r="D620" s="324"/>
      <c r="E620" s="325" t="s">
        <v>4409</v>
      </c>
      <c r="F620" s="326" t="s">
        <v>4107</v>
      </c>
      <c r="G620" s="327" t="s">
        <v>4108</v>
      </c>
      <c r="H620" s="328" t="s">
        <v>4109</v>
      </c>
    </row>
    <row r="621" customFormat="false" ht="64.5" hidden="false" customHeight="true" outlineLevel="0" collapsed="false">
      <c r="A621" s="323"/>
      <c r="B621" s="323"/>
      <c r="C621" s="323" t="s">
        <v>2635</v>
      </c>
      <c r="D621" s="324"/>
      <c r="E621" s="325" t="s">
        <v>4409</v>
      </c>
      <c r="F621" s="326" t="s">
        <v>4110</v>
      </c>
      <c r="G621" s="327" t="s">
        <v>4111</v>
      </c>
      <c r="H621" s="328" t="s">
        <v>4112</v>
      </c>
    </row>
    <row r="622" customFormat="false" ht="15" hidden="false" customHeight="true" outlineLevel="0" collapsed="false">
      <c r="A622" s="323"/>
      <c r="B622" s="323"/>
      <c r="C622" s="323" t="s">
        <v>2642</v>
      </c>
      <c r="D622" s="324"/>
      <c r="E622" s="329" t="s">
        <v>4411</v>
      </c>
      <c r="F622" s="323" t="s">
        <v>4113</v>
      </c>
      <c r="G622" s="323"/>
      <c r="H622" s="328"/>
    </row>
    <row r="623" customFormat="false" ht="90.75" hidden="false" customHeight="true" outlineLevel="0" collapsed="false">
      <c r="A623" s="323"/>
      <c r="B623" s="323"/>
      <c r="C623" s="323" t="s">
        <v>3987</v>
      </c>
      <c r="D623" s="324"/>
      <c r="E623" s="329" t="s">
        <v>4693</v>
      </c>
      <c r="F623" s="323" t="s">
        <v>4114</v>
      </c>
      <c r="G623" s="323"/>
      <c r="H623" s="328"/>
    </row>
    <row r="624" customFormat="false" ht="51.75" hidden="false" customHeight="true" outlineLevel="0" collapsed="false">
      <c r="A624" s="321" t="n">
        <v>13</v>
      </c>
      <c r="B624" s="321" t="s">
        <v>1488</v>
      </c>
      <c r="C624" s="321" t="s">
        <v>4720</v>
      </c>
      <c r="D624" s="321"/>
      <c r="E624" s="321"/>
      <c r="F624" s="321" t="s">
        <v>4137</v>
      </c>
      <c r="G624" s="321"/>
      <c r="H624" s="322" t="s">
        <v>4423</v>
      </c>
    </row>
    <row r="625" customFormat="false" ht="51.75" hidden="false" customHeight="true" outlineLevel="0" collapsed="false">
      <c r="A625" s="323"/>
      <c r="B625" s="323"/>
      <c r="C625" s="323" t="s">
        <v>711</v>
      </c>
      <c r="D625" s="324"/>
      <c r="E625" s="325" t="s">
        <v>4409</v>
      </c>
      <c r="F625" s="326" t="s">
        <v>4117</v>
      </c>
      <c r="G625" s="327" t="s">
        <v>4118</v>
      </c>
      <c r="H625" s="328" t="s">
        <v>4119</v>
      </c>
    </row>
    <row r="626" customFormat="false" ht="64.5" hidden="false" customHeight="true" outlineLevel="0" collapsed="false">
      <c r="A626" s="323"/>
      <c r="B626" s="323"/>
      <c r="C626" s="323" t="s">
        <v>711</v>
      </c>
      <c r="D626" s="324"/>
      <c r="E626" s="325" t="s">
        <v>4409</v>
      </c>
      <c r="F626" s="326" t="s">
        <v>4120</v>
      </c>
      <c r="G626" s="327" t="s">
        <v>4121</v>
      </c>
      <c r="H626" s="328" t="s">
        <v>4122</v>
      </c>
    </row>
    <row r="627" customFormat="false" ht="64.5" hidden="false" customHeight="true" outlineLevel="0" collapsed="false">
      <c r="A627" s="323"/>
      <c r="B627" s="323"/>
      <c r="C627" s="323" t="s">
        <v>711</v>
      </c>
      <c r="D627" s="324"/>
      <c r="E627" s="325" t="s">
        <v>4409</v>
      </c>
      <c r="F627" s="326" t="s">
        <v>4123</v>
      </c>
      <c r="G627" s="327" t="s">
        <v>4124</v>
      </c>
      <c r="H627" s="328" t="s">
        <v>4125</v>
      </c>
    </row>
    <row r="628" customFormat="false" ht="51.75" hidden="false" customHeight="true" outlineLevel="0" collapsed="false">
      <c r="A628" s="323"/>
      <c r="B628" s="323"/>
      <c r="C628" s="323" t="s">
        <v>712</v>
      </c>
      <c r="D628" s="324"/>
      <c r="E628" s="329" t="s">
        <v>4411</v>
      </c>
      <c r="F628" s="323" t="s">
        <v>4126</v>
      </c>
      <c r="G628" s="323"/>
      <c r="H628" s="328"/>
    </row>
    <row r="629" customFormat="false" ht="103.5" hidden="false" customHeight="true" outlineLevel="0" collapsed="false">
      <c r="A629" s="323"/>
      <c r="B629" s="323"/>
      <c r="C629" s="323" t="s">
        <v>2635</v>
      </c>
      <c r="D629" s="324"/>
      <c r="E629" s="325" t="s">
        <v>4409</v>
      </c>
      <c r="F629" s="326" t="s">
        <v>4127</v>
      </c>
      <c r="G629" s="327" t="s">
        <v>4128</v>
      </c>
      <c r="H629" s="328" t="s">
        <v>4129</v>
      </c>
    </row>
    <row r="630" customFormat="false" ht="39" hidden="false" customHeight="true" outlineLevel="0" collapsed="false">
      <c r="A630" s="323"/>
      <c r="B630" s="323"/>
      <c r="C630" s="323" t="s">
        <v>2635</v>
      </c>
      <c r="D630" s="324"/>
      <c r="E630" s="325" t="s">
        <v>4409</v>
      </c>
      <c r="F630" s="326" t="s">
        <v>4130</v>
      </c>
      <c r="G630" s="327" t="s">
        <v>4131</v>
      </c>
      <c r="H630" s="328" t="s">
        <v>4132</v>
      </c>
    </row>
    <row r="631" customFormat="false" ht="51.75" hidden="false" customHeight="true" outlineLevel="0" collapsed="false">
      <c r="A631" s="323"/>
      <c r="B631" s="323"/>
      <c r="C631" s="323" t="s">
        <v>2635</v>
      </c>
      <c r="D631" s="324"/>
      <c r="E631" s="325" t="s">
        <v>4409</v>
      </c>
      <c r="F631" s="326" t="s">
        <v>4133</v>
      </c>
      <c r="G631" s="327" t="s">
        <v>4124</v>
      </c>
      <c r="H631" s="328" t="s">
        <v>4134</v>
      </c>
    </row>
    <row r="632" customFormat="false" ht="15" hidden="false" customHeight="true" outlineLevel="0" collapsed="false">
      <c r="A632" s="323"/>
      <c r="B632" s="323"/>
      <c r="C632" s="323" t="s">
        <v>2642</v>
      </c>
      <c r="D632" s="324"/>
      <c r="E632" s="329" t="s">
        <v>4411</v>
      </c>
      <c r="F632" s="323" t="s">
        <v>4135</v>
      </c>
      <c r="G632" s="323"/>
      <c r="H632" s="328"/>
    </row>
    <row r="633" customFormat="false" ht="51.75" hidden="false" customHeight="true" outlineLevel="0" collapsed="false">
      <c r="A633" s="323"/>
      <c r="B633" s="323"/>
      <c r="C633" s="323" t="s">
        <v>3987</v>
      </c>
      <c r="D633" s="324"/>
      <c r="E633" s="329" t="s">
        <v>4693</v>
      </c>
      <c r="F633" s="323" t="s">
        <v>4136</v>
      </c>
      <c r="G633" s="323"/>
      <c r="H633" s="328"/>
    </row>
    <row r="634" customFormat="false" ht="64.5" hidden="false" customHeight="true" outlineLevel="0" collapsed="false">
      <c r="A634" s="321" t="n">
        <v>14</v>
      </c>
      <c r="B634" s="321" t="s">
        <v>1501</v>
      </c>
      <c r="C634" s="321" t="s">
        <v>4721</v>
      </c>
      <c r="D634" s="321"/>
      <c r="E634" s="321"/>
      <c r="F634" s="321" t="s">
        <v>4152</v>
      </c>
      <c r="G634" s="321"/>
      <c r="H634" s="322" t="s">
        <v>4423</v>
      </c>
    </row>
    <row r="635" customFormat="false" ht="90.75" hidden="false" customHeight="true" outlineLevel="0" collapsed="false">
      <c r="A635" s="323"/>
      <c r="B635" s="323"/>
      <c r="C635" s="323" t="s">
        <v>711</v>
      </c>
      <c r="D635" s="324"/>
      <c r="E635" s="325" t="s">
        <v>4409</v>
      </c>
      <c r="F635" s="326" t="s">
        <v>4139</v>
      </c>
      <c r="G635" s="327" t="s">
        <v>4140</v>
      </c>
      <c r="H635" s="328" t="s">
        <v>4141</v>
      </c>
    </row>
    <row r="636" customFormat="false" ht="64.5" hidden="false" customHeight="true" outlineLevel="0" collapsed="false">
      <c r="A636" s="323"/>
      <c r="B636" s="323"/>
      <c r="C636" s="323" t="s">
        <v>712</v>
      </c>
      <c r="D636" s="324"/>
      <c r="E636" s="329" t="s">
        <v>4411</v>
      </c>
      <c r="F636" s="323" t="s">
        <v>4142</v>
      </c>
      <c r="G636" s="323"/>
      <c r="H636" s="328"/>
    </row>
    <row r="637" customFormat="false" ht="90.75" hidden="false" customHeight="true" outlineLevel="0" collapsed="false">
      <c r="A637" s="323"/>
      <c r="B637" s="323"/>
      <c r="C637" s="323" t="s">
        <v>2635</v>
      </c>
      <c r="D637" s="324"/>
      <c r="E637" s="325" t="s">
        <v>4409</v>
      </c>
      <c r="F637" s="326" t="s">
        <v>4143</v>
      </c>
      <c r="G637" s="327" t="s">
        <v>4140</v>
      </c>
      <c r="H637" s="328" t="s">
        <v>4144</v>
      </c>
    </row>
    <row r="638" customFormat="false" ht="64.5" hidden="false" customHeight="true" outlineLevel="0" collapsed="false">
      <c r="A638" s="323"/>
      <c r="B638" s="323"/>
      <c r="C638" s="323" t="s">
        <v>2635</v>
      </c>
      <c r="D638" s="324"/>
      <c r="E638" s="325" t="s">
        <v>4409</v>
      </c>
      <c r="F638" s="326" t="s">
        <v>4145</v>
      </c>
      <c r="G638" s="327" t="s">
        <v>4146</v>
      </c>
      <c r="H638" s="328" t="s">
        <v>4147</v>
      </c>
    </row>
    <row r="639" customFormat="false" ht="78" hidden="false" customHeight="true" outlineLevel="0" collapsed="false">
      <c r="A639" s="323"/>
      <c r="B639" s="323"/>
      <c r="C639" s="323" t="s">
        <v>2635</v>
      </c>
      <c r="D639" s="324"/>
      <c r="E639" s="325" t="s">
        <v>4409</v>
      </c>
      <c r="F639" s="326" t="s">
        <v>4148</v>
      </c>
      <c r="G639" s="327" t="s">
        <v>4149</v>
      </c>
      <c r="H639" s="328" t="s">
        <v>4150</v>
      </c>
    </row>
    <row r="640" customFormat="false" ht="25.5" hidden="false" customHeight="true" outlineLevel="0" collapsed="false">
      <c r="A640" s="323"/>
      <c r="B640" s="323"/>
      <c r="C640" s="323" t="s">
        <v>2642</v>
      </c>
      <c r="D640" s="324"/>
      <c r="E640" s="329" t="s">
        <v>4411</v>
      </c>
      <c r="F640" s="323" t="s">
        <v>4151</v>
      </c>
      <c r="G640" s="323"/>
      <c r="H640" s="328"/>
    </row>
    <row r="641" customFormat="false" ht="64.5" hidden="false" customHeight="true" outlineLevel="0" collapsed="false">
      <c r="A641" s="321" t="n">
        <v>15</v>
      </c>
      <c r="B641" s="321" t="s">
        <v>4154</v>
      </c>
      <c r="C641" s="321" t="s">
        <v>4722</v>
      </c>
      <c r="D641" s="321"/>
      <c r="E641" s="321"/>
      <c r="F641" s="321" t="s">
        <v>4177</v>
      </c>
      <c r="G641" s="321"/>
      <c r="H641" s="322" t="s">
        <v>4423</v>
      </c>
    </row>
    <row r="642" customFormat="false" ht="64.5" hidden="false" customHeight="true" outlineLevel="0" collapsed="false">
      <c r="A642" s="323"/>
      <c r="B642" s="323"/>
      <c r="C642" s="323" t="s">
        <v>711</v>
      </c>
      <c r="D642" s="330" t="s">
        <v>4723</v>
      </c>
      <c r="E642" s="331" t="s">
        <v>4450</v>
      </c>
      <c r="F642" s="326" t="s">
        <v>4156</v>
      </c>
      <c r="G642" s="323"/>
      <c r="H642" s="328" t="s">
        <v>4158</v>
      </c>
    </row>
    <row r="643" customFormat="false" ht="78" hidden="false" customHeight="true" outlineLevel="0" collapsed="false">
      <c r="A643" s="323"/>
      <c r="B643" s="323"/>
      <c r="C643" s="323" t="s">
        <v>711</v>
      </c>
      <c r="D643" s="324"/>
      <c r="E643" s="329" t="s">
        <v>4411</v>
      </c>
      <c r="F643" s="323" t="s">
        <v>4724</v>
      </c>
      <c r="G643" s="323"/>
      <c r="H643" s="328"/>
    </row>
    <row r="644" customFormat="false" ht="64.5" hidden="false" customHeight="true" outlineLevel="0" collapsed="false">
      <c r="A644" s="323"/>
      <c r="B644" s="323"/>
      <c r="C644" s="323" t="s">
        <v>712</v>
      </c>
      <c r="D644" s="330" t="s">
        <v>4725</v>
      </c>
      <c r="E644" s="331" t="s">
        <v>4450</v>
      </c>
      <c r="F644" s="326" t="s">
        <v>4160</v>
      </c>
      <c r="G644" s="323"/>
      <c r="H644" s="328" t="s">
        <v>4162</v>
      </c>
    </row>
    <row r="645" customFormat="false" ht="39" hidden="false" customHeight="true" outlineLevel="0" collapsed="false">
      <c r="A645" s="323"/>
      <c r="B645" s="323"/>
      <c r="C645" s="323" t="s">
        <v>712</v>
      </c>
      <c r="D645" s="324"/>
      <c r="E645" s="329" t="s">
        <v>4411</v>
      </c>
      <c r="F645" s="323" t="s">
        <v>4726</v>
      </c>
      <c r="G645" s="323"/>
      <c r="H645" s="328"/>
    </row>
    <row r="646" customFormat="false" ht="64.5" hidden="false" customHeight="true" outlineLevel="0" collapsed="false">
      <c r="A646" s="323"/>
      <c r="B646" s="323"/>
      <c r="C646" s="323" t="s">
        <v>2635</v>
      </c>
      <c r="D646" s="323" t="s">
        <v>4727</v>
      </c>
      <c r="E646" s="332" t="s">
        <v>4431</v>
      </c>
      <c r="F646" s="323" t="s">
        <v>4432</v>
      </c>
      <c r="G646" s="323"/>
      <c r="H646" s="328" t="s">
        <v>4164</v>
      </c>
    </row>
    <row r="647" customFormat="false" ht="25.5" hidden="false" customHeight="true" outlineLevel="0" collapsed="false">
      <c r="A647" s="323"/>
      <c r="B647" s="323"/>
      <c r="C647" s="323" t="s">
        <v>2635</v>
      </c>
      <c r="D647" s="323" t="s">
        <v>4728</v>
      </c>
      <c r="E647" s="332" t="s">
        <v>4431</v>
      </c>
      <c r="F647" s="323" t="s">
        <v>4432</v>
      </c>
      <c r="G647" s="323"/>
      <c r="H647" s="328" t="s">
        <v>4166</v>
      </c>
    </row>
    <row r="648" customFormat="false" ht="64.5" hidden="false" customHeight="true" outlineLevel="0" collapsed="false">
      <c r="A648" s="323"/>
      <c r="B648" s="323"/>
      <c r="C648" s="323" t="s">
        <v>2635</v>
      </c>
      <c r="D648" s="323" t="s">
        <v>4729</v>
      </c>
      <c r="E648" s="332" t="s">
        <v>4431</v>
      </c>
      <c r="F648" s="323" t="s">
        <v>4432</v>
      </c>
      <c r="G648" s="323"/>
      <c r="H648" s="328" t="s">
        <v>4169</v>
      </c>
    </row>
    <row r="649" customFormat="false" ht="64.5" hidden="false" customHeight="true" outlineLevel="0" collapsed="false">
      <c r="A649" s="323"/>
      <c r="B649" s="323"/>
      <c r="C649" s="323" t="s">
        <v>2635</v>
      </c>
      <c r="D649" s="324"/>
      <c r="E649" s="325" t="s">
        <v>4409</v>
      </c>
      <c r="F649" s="326" t="s">
        <v>4170</v>
      </c>
      <c r="G649" s="327" t="s">
        <v>4171</v>
      </c>
      <c r="H649" s="328" t="s">
        <v>4172</v>
      </c>
    </row>
    <row r="650" customFormat="false" ht="78" hidden="false" customHeight="true" outlineLevel="0" collapsed="false">
      <c r="A650" s="323"/>
      <c r="B650" s="323"/>
      <c r="C650" s="323" t="s">
        <v>2635</v>
      </c>
      <c r="D650" s="324"/>
      <c r="E650" s="325" t="s">
        <v>4409</v>
      </c>
      <c r="F650" s="326" t="s">
        <v>4173</v>
      </c>
      <c r="G650" s="327" t="s">
        <v>4174</v>
      </c>
      <c r="H650" s="328" t="s">
        <v>4175</v>
      </c>
    </row>
    <row r="651" customFormat="false" ht="25.5" hidden="false" customHeight="true" outlineLevel="0" collapsed="false">
      <c r="A651" s="323"/>
      <c r="B651" s="323"/>
      <c r="C651" s="323" t="s">
        <v>2642</v>
      </c>
      <c r="D651" s="323" t="s">
        <v>1087</v>
      </c>
      <c r="E651" s="332" t="s">
        <v>4431</v>
      </c>
      <c r="F651" s="323" t="s">
        <v>4432</v>
      </c>
      <c r="G651" s="323"/>
      <c r="H651" s="328" t="s">
        <v>4176</v>
      </c>
    </row>
    <row r="652" customFormat="false" ht="25.5" hidden="false" customHeight="true" outlineLevel="0" collapsed="false">
      <c r="A652" s="323"/>
      <c r="B652" s="323"/>
      <c r="C652" s="323" t="s">
        <v>2642</v>
      </c>
      <c r="D652" s="324"/>
      <c r="E652" s="329" t="s">
        <v>4411</v>
      </c>
      <c r="F652" s="323" t="s">
        <v>4218</v>
      </c>
      <c r="G652" s="323"/>
      <c r="H652" s="328"/>
    </row>
    <row r="653" customFormat="false" ht="64.5" hidden="false" customHeight="true" outlineLevel="0" collapsed="false">
      <c r="A653" s="321" t="n">
        <v>16</v>
      </c>
      <c r="B653" s="321" t="s">
        <v>4179</v>
      </c>
      <c r="C653" s="321" t="s">
        <v>4730</v>
      </c>
      <c r="D653" s="321"/>
      <c r="E653" s="321"/>
      <c r="F653" s="321" t="s">
        <v>4193</v>
      </c>
      <c r="G653" s="321"/>
      <c r="H653" s="322" t="s">
        <v>4423</v>
      </c>
    </row>
    <row r="654" customFormat="false" ht="64.5" hidden="false" customHeight="true" outlineLevel="0" collapsed="false">
      <c r="A654" s="323"/>
      <c r="B654" s="323"/>
      <c r="C654" s="323" t="s">
        <v>711</v>
      </c>
      <c r="D654" s="324"/>
      <c r="E654" s="329" t="s">
        <v>4411</v>
      </c>
      <c r="F654" s="323" t="s">
        <v>4180</v>
      </c>
      <c r="G654" s="323"/>
      <c r="H654" s="328"/>
    </row>
    <row r="655" customFormat="false" ht="117" hidden="false" customHeight="true" outlineLevel="0" collapsed="false">
      <c r="A655" s="323"/>
      <c r="B655" s="323"/>
      <c r="C655" s="323" t="s">
        <v>712</v>
      </c>
      <c r="D655" s="324"/>
      <c r="E655" s="325" t="s">
        <v>4409</v>
      </c>
      <c r="F655" s="326" t="s">
        <v>4181</v>
      </c>
      <c r="G655" s="327" t="s">
        <v>4182</v>
      </c>
      <c r="H655" s="328" t="s">
        <v>4183</v>
      </c>
    </row>
    <row r="656" customFormat="false" ht="64.5" hidden="false" customHeight="true" outlineLevel="0" collapsed="false">
      <c r="A656" s="323"/>
      <c r="B656" s="323"/>
      <c r="C656" s="323" t="s">
        <v>2635</v>
      </c>
      <c r="D656" s="324"/>
      <c r="E656" s="325" t="s">
        <v>4409</v>
      </c>
      <c r="F656" s="326" t="s">
        <v>4184</v>
      </c>
      <c r="G656" s="327" t="s">
        <v>4185</v>
      </c>
      <c r="H656" s="328" t="s">
        <v>4186</v>
      </c>
    </row>
    <row r="657" customFormat="false" ht="90.75" hidden="false" customHeight="true" outlineLevel="0" collapsed="false">
      <c r="A657" s="323"/>
      <c r="B657" s="323"/>
      <c r="C657" s="323" t="s">
        <v>2635</v>
      </c>
      <c r="D657" s="324"/>
      <c r="E657" s="325" t="s">
        <v>4409</v>
      </c>
      <c r="F657" s="326" t="s">
        <v>4187</v>
      </c>
      <c r="G657" s="327" t="s">
        <v>4188</v>
      </c>
      <c r="H657" s="328" t="s">
        <v>4189</v>
      </c>
    </row>
    <row r="658" customFormat="false" ht="64.5" hidden="false" customHeight="true" outlineLevel="0" collapsed="false">
      <c r="A658" s="323"/>
      <c r="B658" s="323"/>
      <c r="C658" s="323" t="s">
        <v>2635</v>
      </c>
      <c r="D658" s="324"/>
      <c r="E658" s="325" t="s">
        <v>4409</v>
      </c>
      <c r="F658" s="326" t="s">
        <v>4190</v>
      </c>
      <c r="G658" s="327" t="s">
        <v>4182</v>
      </c>
      <c r="H658" s="328" t="s">
        <v>4191</v>
      </c>
    </row>
    <row r="659" customFormat="false" ht="64.5" hidden="false" customHeight="true" outlineLevel="0" collapsed="false">
      <c r="A659" s="323"/>
      <c r="B659" s="323"/>
      <c r="C659" s="323" t="s">
        <v>2642</v>
      </c>
      <c r="D659" s="324"/>
      <c r="E659" s="329" t="s">
        <v>4411</v>
      </c>
      <c r="F659" s="323" t="s">
        <v>4192</v>
      </c>
      <c r="G659" s="323"/>
      <c r="H659" s="328"/>
    </row>
    <row r="660" customFormat="false" ht="51.75" hidden="false" customHeight="true" outlineLevel="0" collapsed="false">
      <c r="A660" s="321" t="n">
        <v>17</v>
      </c>
      <c r="B660" s="321" t="s">
        <v>4195</v>
      </c>
      <c r="C660" s="321" t="s">
        <v>4731</v>
      </c>
      <c r="D660" s="321"/>
      <c r="E660" s="321"/>
      <c r="F660" s="321" t="s">
        <v>4205</v>
      </c>
      <c r="G660" s="321"/>
      <c r="H660" s="322" t="s">
        <v>4423</v>
      </c>
    </row>
    <row r="661" customFormat="false" ht="78" hidden="false" customHeight="true" outlineLevel="0" collapsed="false">
      <c r="A661" s="323"/>
      <c r="B661" s="323"/>
      <c r="C661" s="323" t="s">
        <v>711</v>
      </c>
      <c r="D661" s="324"/>
      <c r="E661" s="329" t="s">
        <v>4411</v>
      </c>
      <c r="F661" s="323" t="s">
        <v>4196</v>
      </c>
      <c r="G661" s="323"/>
      <c r="H661" s="328"/>
    </row>
    <row r="662" customFormat="false" ht="25.5" hidden="false" customHeight="true" outlineLevel="0" collapsed="false">
      <c r="A662" s="323"/>
      <c r="B662" s="323"/>
      <c r="C662" s="323" t="s">
        <v>712</v>
      </c>
      <c r="D662" s="324"/>
      <c r="E662" s="329" t="s">
        <v>4411</v>
      </c>
      <c r="F662" s="323" t="s">
        <v>4197</v>
      </c>
      <c r="G662" s="323"/>
      <c r="H662" s="328"/>
    </row>
    <row r="663" customFormat="false" ht="78" hidden="false" customHeight="true" outlineLevel="0" collapsed="false">
      <c r="A663" s="323"/>
      <c r="B663" s="323"/>
      <c r="C663" s="323" t="s">
        <v>2635</v>
      </c>
      <c r="D663" s="324"/>
      <c r="E663" s="325" t="s">
        <v>4409</v>
      </c>
      <c r="F663" s="326" t="s">
        <v>4198</v>
      </c>
      <c r="G663" s="327" t="s">
        <v>4199</v>
      </c>
      <c r="H663" s="328" t="s">
        <v>4200</v>
      </c>
    </row>
    <row r="664" customFormat="false" ht="51.75" hidden="false" customHeight="true" outlineLevel="0" collapsed="false">
      <c r="A664" s="323"/>
      <c r="B664" s="323"/>
      <c r="C664" s="323" t="s">
        <v>2635</v>
      </c>
      <c r="D664" s="324"/>
      <c r="E664" s="325" t="s">
        <v>4409</v>
      </c>
      <c r="F664" s="326" t="s">
        <v>4201</v>
      </c>
      <c r="G664" s="327" t="s">
        <v>4202</v>
      </c>
      <c r="H664" s="328" t="s">
        <v>4203</v>
      </c>
    </row>
    <row r="665" customFormat="false" ht="39" hidden="false" customHeight="true" outlineLevel="0" collapsed="false">
      <c r="A665" s="323"/>
      <c r="B665" s="323"/>
      <c r="C665" s="323" t="s">
        <v>2642</v>
      </c>
      <c r="D665" s="324"/>
      <c r="E665" s="329" t="s">
        <v>4411</v>
      </c>
      <c r="F665" s="323" t="s">
        <v>4204</v>
      </c>
      <c r="G665" s="323"/>
      <c r="H665" s="328"/>
    </row>
    <row r="666" customFormat="false" ht="78" hidden="false" customHeight="true" outlineLevel="0" collapsed="false">
      <c r="A666" s="321" t="n">
        <v>18</v>
      </c>
      <c r="B666" s="321" t="s">
        <v>4207</v>
      </c>
      <c r="C666" s="321" t="s">
        <v>4732</v>
      </c>
      <c r="D666" s="321"/>
      <c r="E666" s="321"/>
      <c r="F666" s="321" t="s">
        <v>4219</v>
      </c>
      <c r="G666" s="321"/>
      <c r="H666" s="322" t="s">
        <v>4408</v>
      </c>
    </row>
    <row r="667" customFormat="false" ht="78" hidden="false" customHeight="true" outlineLevel="0" collapsed="false">
      <c r="A667" s="323"/>
      <c r="B667" s="323"/>
      <c r="C667" s="323" t="s">
        <v>711</v>
      </c>
      <c r="D667" s="324"/>
      <c r="E667" s="329" t="s">
        <v>4411</v>
      </c>
      <c r="F667" s="323" t="s">
        <v>4208</v>
      </c>
      <c r="G667" s="323"/>
      <c r="H667" s="328"/>
    </row>
    <row r="668" customFormat="false" ht="90.75" hidden="false" customHeight="true" outlineLevel="0" collapsed="false">
      <c r="A668" s="323"/>
      <c r="B668" s="323"/>
      <c r="C668" s="323" t="s">
        <v>712</v>
      </c>
      <c r="D668" s="324"/>
      <c r="E668" s="325" t="s">
        <v>4409</v>
      </c>
      <c r="F668" s="326" t="s">
        <v>4209</v>
      </c>
      <c r="G668" s="327" t="s">
        <v>4210</v>
      </c>
      <c r="H668" s="328" t="s">
        <v>4211</v>
      </c>
    </row>
    <row r="669" customFormat="false" ht="90.75" hidden="false" customHeight="true" outlineLevel="0" collapsed="false">
      <c r="A669" s="323"/>
      <c r="B669" s="323"/>
      <c r="C669" s="323" t="s">
        <v>2635</v>
      </c>
      <c r="D669" s="324"/>
      <c r="E669" s="325" t="s">
        <v>4409</v>
      </c>
      <c r="F669" s="326" t="s">
        <v>4212</v>
      </c>
      <c r="G669" s="327" t="s">
        <v>4213</v>
      </c>
      <c r="H669" s="328" t="s">
        <v>4214</v>
      </c>
    </row>
    <row r="670" customFormat="false" ht="103.5" hidden="false" customHeight="true" outlineLevel="0" collapsed="false">
      <c r="A670" s="323"/>
      <c r="B670" s="323"/>
      <c r="C670" s="323" t="s">
        <v>2635</v>
      </c>
      <c r="D670" s="324"/>
      <c r="E670" s="325" t="s">
        <v>4409</v>
      </c>
      <c r="F670" s="326" t="s">
        <v>4215</v>
      </c>
      <c r="G670" s="327" t="s">
        <v>4216</v>
      </c>
      <c r="H670" s="328" t="s">
        <v>4217</v>
      </c>
    </row>
    <row r="671" customFormat="false" ht="25.5" hidden="false" customHeight="true" outlineLevel="0" collapsed="false">
      <c r="A671" s="323"/>
      <c r="B671" s="323"/>
      <c r="C671" s="323" t="s">
        <v>2642</v>
      </c>
      <c r="D671" s="324"/>
      <c r="E671" s="329" t="s">
        <v>4411</v>
      </c>
      <c r="F671" s="323" t="s">
        <v>4218</v>
      </c>
      <c r="G671" s="323"/>
      <c r="H671" s="328"/>
    </row>
    <row r="672" customFormat="false" ht="51.75" hidden="false" customHeight="true" outlineLevel="0" collapsed="false">
      <c r="A672" s="321" t="n">
        <v>19</v>
      </c>
      <c r="B672" s="321" t="s">
        <v>4221</v>
      </c>
      <c r="C672" s="321" t="s">
        <v>4733</v>
      </c>
      <c r="D672" s="321"/>
      <c r="E672" s="321"/>
      <c r="F672" s="321" t="s">
        <v>4229</v>
      </c>
      <c r="G672" s="321"/>
      <c r="H672" s="322" t="s">
        <v>4423</v>
      </c>
    </row>
    <row r="673" customFormat="false" ht="64.5" hidden="false" customHeight="true" outlineLevel="0" collapsed="false">
      <c r="A673" s="323"/>
      <c r="B673" s="323"/>
      <c r="C673" s="323" t="s">
        <v>711</v>
      </c>
      <c r="D673" s="324"/>
      <c r="E673" s="329" t="s">
        <v>4411</v>
      </c>
      <c r="F673" s="323" t="s">
        <v>4222</v>
      </c>
      <c r="G673" s="323"/>
      <c r="H673" s="328"/>
    </row>
    <row r="674" customFormat="false" ht="25.5" hidden="false" customHeight="true" outlineLevel="0" collapsed="false">
      <c r="A674" s="323"/>
      <c r="B674" s="323"/>
      <c r="C674" s="323" t="s">
        <v>712</v>
      </c>
      <c r="D674" s="324"/>
      <c r="E674" s="329" t="s">
        <v>4411</v>
      </c>
      <c r="F674" s="323" t="s">
        <v>4197</v>
      </c>
      <c r="G674" s="323"/>
      <c r="H674" s="328"/>
    </row>
    <row r="675" customFormat="false" ht="78" hidden="false" customHeight="true" outlineLevel="0" collapsed="false">
      <c r="A675" s="323"/>
      <c r="B675" s="323"/>
      <c r="C675" s="323" t="s">
        <v>2635</v>
      </c>
      <c r="D675" s="324"/>
      <c r="E675" s="325" t="s">
        <v>4409</v>
      </c>
      <c r="F675" s="326" t="s">
        <v>4223</v>
      </c>
      <c r="G675" s="327" t="s">
        <v>4224</v>
      </c>
      <c r="H675" s="328" t="s">
        <v>4225</v>
      </c>
    </row>
    <row r="676" customFormat="false" ht="90.75" hidden="false" customHeight="true" outlineLevel="0" collapsed="false">
      <c r="A676" s="323"/>
      <c r="B676" s="323"/>
      <c r="C676" s="323" t="s">
        <v>2635</v>
      </c>
      <c r="D676" s="324"/>
      <c r="E676" s="325" t="s">
        <v>4409</v>
      </c>
      <c r="F676" s="326" t="s">
        <v>4226</v>
      </c>
      <c r="G676" s="327" t="s">
        <v>4227</v>
      </c>
      <c r="H676" s="328" t="s">
        <v>4228</v>
      </c>
    </row>
    <row r="677" customFormat="false" ht="25.5" hidden="false" customHeight="true" outlineLevel="0" collapsed="false">
      <c r="A677" s="323"/>
      <c r="B677" s="323"/>
      <c r="C677" s="323" t="s">
        <v>2642</v>
      </c>
      <c r="D677" s="324"/>
      <c r="E677" s="329" t="s">
        <v>4411</v>
      </c>
      <c r="F677" s="323" t="s">
        <v>4218</v>
      </c>
      <c r="G677" s="323"/>
      <c r="H677" s="328"/>
    </row>
    <row r="678" customFormat="false" ht="51.75" hidden="false" customHeight="true" outlineLevel="0" collapsed="false">
      <c r="A678" s="321" t="n">
        <v>20</v>
      </c>
      <c r="B678" s="321" t="s">
        <v>4231</v>
      </c>
      <c r="C678" s="321" t="s">
        <v>4734</v>
      </c>
      <c r="D678" s="321"/>
      <c r="E678" s="321"/>
      <c r="F678" s="321" t="s">
        <v>4240</v>
      </c>
      <c r="G678" s="321"/>
      <c r="H678" s="322" t="s">
        <v>4423</v>
      </c>
    </row>
    <row r="679" customFormat="false" ht="51.75" hidden="false" customHeight="true" outlineLevel="0" collapsed="false">
      <c r="A679" s="323"/>
      <c r="B679" s="323"/>
      <c r="C679" s="323" t="s">
        <v>711</v>
      </c>
      <c r="D679" s="324"/>
      <c r="E679" s="329" t="s">
        <v>4411</v>
      </c>
      <c r="F679" s="323" t="s">
        <v>4232</v>
      </c>
      <c r="G679" s="323"/>
      <c r="H679" s="328"/>
    </row>
    <row r="680" customFormat="false" ht="25.5" hidden="false" customHeight="true" outlineLevel="0" collapsed="false">
      <c r="A680" s="323"/>
      <c r="B680" s="323"/>
      <c r="C680" s="323" t="s">
        <v>712</v>
      </c>
      <c r="D680" s="324"/>
      <c r="E680" s="329" t="s">
        <v>4411</v>
      </c>
      <c r="F680" s="323" t="s">
        <v>4197</v>
      </c>
      <c r="G680" s="323"/>
      <c r="H680" s="328"/>
    </row>
    <row r="681" customFormat="false" ht="51.75" hidden="false" customHeight="true" outlineLevel="0" collapsed="false">
      <c r="A681" s="323"/>
      <c r="B681" s="323"/>
      <c r="C681" s="323" t="s">
        <v>2635</v>
      </c>
      <c r="D681" s="324"/>
      <c r="E681" s="325" t="s">
        <v>4409</v>
      </c>
      <c r="F681" s="326" t="s">
        <v>4233</v>
      </c>
      <c r="G681" s="327" t="s">
        <v>4234</v>
      </c>
      <c r="H681" s="328" t="s">
        <v>4235</v>
      </c>
    </row>
    <row r="682" customFormat="false" ht="51.75" hidden="false" customHeight="true" outlineLevel="0" collapsed="false">
      <c r="A682" s="323"/>
      <c r="B682" s="323"/>
      <c r="C682" s="323" t="s">
        <v>2635</v>
      </c>
      <c r="D682" s="324"/>
      <c r="E682" s="325" t="s">
        <v>4409</v>
      </c>
      <c r="F682" s="326" t="s">
        <v>4236</v>
      </c>
      <c r="G682" s="327" t="s">
        <v>4237</v>
      </c>
      <c r="H682" s="328" t="s">
        <v>4238</v>
      </c>
    </row>
    <row r="683" customFormat="false" ht="25.5" hidden="false" customHeight="true" outlineLevel="0" collapsed="false">
      <c r="A683" s="323"/>
      <c r="B683" s="323"/>
      <c r="C683" s="323" t="s">
        <v>2642</v>
      </c>
      <c r="D683" s="324"/>
      <c r="E683" s="329" t="s">
        <v>4411</v>
      </c>
      <c r="F683" s="323" t="s">
        <v>4239</v>
      </c>
      <c r="G683" s="323"/>
      <c r="H683" s="328"/>
    </row>
    <row r="684" customFormat="false" ht="64.5" hidden="false" customHeight="true" outlineLevel="0" collapsed="false">
      <c r="A684" s="321" t="n">
        <v>21</v>
      </c>
      <c r="B684" s="321" t="s">
        <v>4242</v>
      </c>
      <c r="C684" s="321" t="s">
        <v>4735</v>
      </c>
      <c r="D684" s="321"/>
      <c r="E684" s="321"/>
      <c r="F684" s="321" t="s">
        <v>4251</v>
      </c>
      <c r="G684" s="321"/>
      <c r="H684" s="322" t="s">
        <v>4423</v>
      </c>
    </row>
    <row r="685" customFormat="false" ht="51.75" hidden="false" customHeight="true" outlineLevel="0" collapsed="false">
      <c r="A685" s="323"/>
      <c r="B685" s="323"/>
      <c r="C685" s="323" t="s">
        <v>711</v>
      </c>
      <c r="D685" s="324"/>
      <c r="E685" s="329" t="s">
        <v>4411</v>
      </c>
      <c r="F685" s="323" t="s">
        <v>4243</v>
      </c>
      <c r="G685" s="323"/>
      <c r="H685" s="328"/>
    </row>
    <row r="686" customFormat="false" ht="25.5" hidden="false" customHeight="true" outlineLevel="0" collapsed="false">
      <c r="A686" s="323"/>
      <c r="B686" s="323"/>
      <c r="C686" s="323" t="s">
        <v>712</v>
      </c>
      <c r="D686" s="324"/>
      <c r="E686" s="329" t="s">
        <v>4411</v>
      </c>
      <c r="F686" s="323" t="s">
        <v>4197</v>
      </c>
      <c r="G686" s="323"/>
      <c r="H686" s="328"/>
    </row>
    <row r="687" customFormat="false" ht="90.75" hidden="false" customHeight="true" outlineLevel="0" collapsed="false">
      <c r="A687" s="323"/>
      <c r="B687" s="323"/>
      <c r="C687" s="323" t="s">
        <v>2635</v>
      </c>
      <c r="D687" s="324"/>
      <c r="E687" s="325" t="s">
        <v>4409</v>
      </c>
      <c r="F687" s="326" t="s">
        <v>4244</v>
      </c>
      <c r="G687" s="327" t="s">
        <v>4245</v>
      </c>
      <c r="H687" s="328" t="s">
        <v>4246</v>
      </c>
    </row>
    <row r="688" customFormat="false" ht="78" hidden="false" customHeight="true" outlineLevel="0" collapsed="false">
      <c r="A688" s="323"/>
      <c r="B688" s="323"/>
      <c r="C688" s="323" t="s">
        <v>2635</v>
      </c>
      <c r="D688" s="324"/>
      <c r="E688" s="325" t="s">
        <v>4409</v>
      </c>
      <c r="F688" s="326" t="s">
        <v>4247</v>
      </c>
      <c r="G688" s="327" t="s">
        <v>4248</v>
      </c>
      <c r="H688" s="328" t="s">
        <v>4249</v>
      </c>
    </row>
    <row r="689" customFormat="false" ht="39" hidden="false" customHeight="true" outlineLevel="0" collapsed="false">
      <c r="A689" s="323"/>
      <c r="B689" s="323"/>
      <c r="C689" s="323" t="s">
        <v>2642</v>
      </c>
      <c r="D689" s="324"/>
      <c r="E689" s="329" t="s">
        <v>4411</v>
      </c>
      <c r="F689" s="323" t="s">
        <v>4250</v>
      </c>
      <c r="G689" s="323"/>
      <c r="H689" s="328"/>
    </row>
    <row r="690" customFormat="false" ht="78" hidden="false" customHeight="true" outlineLevel="0" collapsed="false">
      <c r="A690" s="321" t="n">
        <v>22</v>
      </c>
      <c r="B690" s="321" t="s">
        <v>4253</v>
      </c>
      <c r="C690" s="321" t="s">
        <v>4736</v>
      </c>
      <c r="D690" s="321"/>
      <c r="E690" s="321"/>
      <c r="F690" s="321" t="s">
        <v>4285</v>
      </c>
      <c r="G690" s="321"/>
      <c r="H690" s="322" t="s">
        <v>4423</v>
      </c>
    </row>
    <row r="691" customFormat="false" ht="90.75" hidden="false" customHeight="true" outlineLevel="0" collapsed="false">
      <c r="A691" s="323"/>
      <c r="B691" s="323"/>
      <c r="C691" s="323" t="s">
        <v>711</v>
      </c>
      <c r="D691" s="330" t="s">
        <v>4737</v>
      </c>
      <c r="E691" s="331" t="s">
        <v>4450</v>
      </c>
      <c r="F691" s="326" t="s">
        <v>4255</v>
      </c>
      <c r="G691" s="323"/>
      <c r="H691" s="328" t="s">
        <v>4257</v>
      </c>
    </row>
    <row r="692" customFormat="false" ht="103.5" hidden="false" customHeight="true" outlineLevel="0" collapsed="false">
      <c r="A692" s="323"/>
      <c r="B692" s="323"/>
      <c r="C692" s="323" t="s">
        <v>711</v>
      </c>
      <c r="D692" s="324"/>
      <c r="E692" s="329" t="s">
        <v>4411</v>
      </c>
      <c r="F692" s="323" t="s">
        <v>4738</v>
      </c>
      <c r="G692" s="323"/>
      <c r="H692" s="328"/>
    </row>
    <row r="693" customFormat="false" ht="103.5" hidden="false" customHeight="true" outlineLevel="0" collapsed="false">
      <c r="A693" s="323"/>
      <c r="B693" s="323"/>
      <c r="C693" s="323" t="s">
        <v>712</v>
      </c>
      <c r="D693" s="330" t="s">
        <v>4739</v>
      </c>
      <c r="E693" s="331" t="s">
        <v>4450</v>
      </c>
      <c r="F693" s="326" t="s">
        <v>4259</v>
      </c>
      <c r="G693" s="323"/>
      <c r="H693" s="328" t="s">
        <v>4261</v>
      </c>
    </row>
    <row r="694" customFormat="false" ht="64.5" hidden="false" customHeight="true" outlineLevel="0" collapsed="false">
      <c r="A694" s="323"/>
      <c r="B694" s="323"/>
      <c r="C694" s="323" t="s">
        <v>712</v>
      </c>
      <c r="D694" s="330" t="s">
        <v>4740</v>
      </c>
      <c r="E694" s="331" t="s">
        <v>4450</v>
      </c>
      <c r="F694" s="326" t="s">
        <v>4263</v>
      </c>
      <c r="G694" s="323"/>
      <c r="H694" s="328" t="s">
        <v>4265</v>
      </c>
    </row>
    <row r="695" customFormat="false" ht="25.5" hidden="false" customHeight="true" outlineLevel="0" collapsed="false">
      <c r="A695" s="323"/>
      <c r="B695" s="323"/>
      <c r="C695" s="323" t="s">
        <v>712</v>
      </c>
      <c r="D695" s="324"/>
      <c r="E695" s="329" t="s">
        <v>4411</v>
      </c>
      <c r="F695" s="323" t="s">
        <v>4741</v>
      </c>
      <c r="G695" s="323"/>
      <c r="H695" s="328"/>
    </row>
    <row r="696" customFormat="false" ht="39" hidden="false" customHeight="true" outlineLevel="0" collapsed="false">
      <c r="A696" s="323"/>
      <c r="B696" s="323"/>
      <c r="C696" s="323" t="s">
        <v>2635</v>
      </c>
      <c r="D696" s="323" t="s">
        <v>4742</v>
      </c>
      <c r="E696" s="332" t="s">
        <v>4431</v>
      </c>
      <c r="F696" s="323" t="s">
        <v>4432</v>
      </c>
      <c r="G696" s="323"/>
      <c r="H696" s="328" t="s">
        <v>4267</v>
      </c>
    </row>
    <row r="697" customFormat="false" ht="39" hidden="false" customHeight="true" outlineLevel="0" collapsed="false">
      <c r="A697" s="323"/>
      <c r="B697" s="323"/>
      <c r="C697" s="323" t="s">
        <v>2635</v>
      </c>
      <c r="D697" s="323" t="s">
        <v>4743</v>
      </c>
      <c r="E697" s="332" t="s">
        <v>4431</v>
      </c>
      <c r="F697" s="323" t="s">
        <v>4432</v>
      </c>
      <c r="G697" s="323"/>
      <c r="H697" s="328" t="s">
        <v>4269</v>
      </c>
    </row>
    <row r="698" customFormat="false" ht="25.5" hidden="false" customHeight="true" outlineLevel="0" collapsed="false">
      <c r="A698" s="323"/>
      <c r="B698" s="323"/>
      <c r="C698" s="323" t="s">
        <v>2635</v>
      </c>
      <c r="D698" s="323" t="s">
        <v>4744</v>
      </c>
      <c r="E698" s="332" t="s">
        <v>4431</v>
      </c>
      <c r="F698" s="323" t="s">
        <v>4432</v>
      </c>
      <c r="G698" s="323"/>
      <c r="H698" s="328" t="s">
        <v>4272</v>
      </c>
    </row>
    <row r="699" customFormat="false" ht="64.5" hidden="false" customHeight="true" outlineLevel="0" collapsed="false">
      <c r="A699" s="323"/>
      <c r="B699" s="323"/>
      <c r="C699" s="323" t="s">
        <v>2635</v>
      </c>
      <c r="D699" s="323" t="s">
        <v>4745</v>
      </c>
      <c r="E699" s="332" t="s">
        <v>4431</v>
      </c>
      <c r="F699" s="323" t="s">
        <v>4432</v>
      </c>
      <c r="G699" s="323"/>
      <c r="H699" s="328" t="s">
        <v>4275</v>
      </c>
    </row>
    <row r="700" customFormat="false" ht="78" hidden="false" customHeight="true" outlineLevel="0" collapsed="false">
      <c r="A700" s="323"/>
      <c r="B700" s="323"/>
      <c r="C700" s="323" t="s">
        <v>2635</v>
      </c>
      <c r="D700" s="324"/>
      <c r="E700" s="325" t="s">
        <v>4409</v>
      </c>
      <c r="F700" s="326" t="s">
        <v>4276</v>
      </c>
      <c r="G700" s="327" t="s">
        <v>4260</v>
      </c>
      <c r="H700" s="328" t="s">
        <v>4277</v>
      </c>
    </row>
    <row r="701" customFormat="false" ht="64.5" hidden="false" customHeight="true" outlineLevel="0" collapsed="false">
      <c r="A701" s="323"/>
      <c r="B701" s="323"/>
      <c r="C701" s="323" t="s">
        <v>2635</v>
      </c>
      <c r="D701" s="324"/>
      <c r="E701" s="325" t="s">
        <v>4409</v>
      </c>
      <c r="F701" s="326" t="s">
        <v>4278</v>
      </c>
      <c r="G701" s="327" t="s">
        <v>4279</v>
      </c>
      <c r="H701" s="328" t="s">
        <v>4280</v>
      </c>
    </row>
    <row r="702" customFormat="false" ht="103.5" hidden="false" customHeight="true" outlineLevel="0" collapsed="false">
      <c r="A702" s="323"/>
      <c r="B702" s="323"/>
      <c r="C702" s="323" t="s">
        <v>2635</v>
      </c>
      <c r="D702" s="324"/>
      <c r="E702" s="325" t="s">
        <v>4409</v>
      </c>
      <c r="F702" s="326" t="s">
        <v>4281</v>
      </c>
      <c r="G702" s="327" t="s">
        <v>4282</v>
      </c>
      <c r="H702" s="328" t="s">
        <v>4283</v>
      </c>
    </row>
    <row r="703" customFormat="false" ht="15" hidden="false" customHeight="true" outlineLevel="0" collapsed="false">
      <c r="A703" s="323"/>
      <c r="B703" s="323"/>
      <c r="C703" s="323" t="s">
        <v>2642</v>
      </c>
      <c r="D703" s="323" t="s">
        <v>1087</v>
      </c>
      <c r="E703" s="332" t="s">
        <v>4431</v>
      </c>
      <c r="F703" s="323" t="s">
        <v>4432</v>
      </c>
      <c r="G703" s="323"/>
      <c r="H703" s="328" t="s">
        <v>4284</v>
      </c>
    </row>
    <row r="704" customFormat="false" ht="64.5" hidden="false" customHeight="true" outlineLevel="0" collapsed="false">
      <c r="A704" s="321" t="n">
        <v>23</v>
      </c>
      <c r="B704" s="321" t="s">
        <v>4287</v>
      </c>
      <c r="C704" s="321" t="s">
        <v>4746</v>
      </c>
      <c r="D704" s="321"/>
      <c r="E704" s="321"/>
      <c r="F704" s="321" t="s">
        <v>4300</v>
      </c>
      <c r="G704" s="321"/>
      <c r="H704" s="322" t="s">
        <v>4423</v>
      </c>
    </row>
    <row r="705" customFormat="false" ht="39" hidden="false" customHeight="true" outlineLevel="0" collapsed="false">
      <c r="A705" s="323"/>
      <c r="B705" s="323"/>
      <c r="C705" s="323" t="s">
        <v>711</v>
      </c>
      <c r="D705" s="324"/>
      <c r="E705" s="329" t="s">
        <v>4411</v>
      </c>
      <c r="F705" s="323" t="s">
        <v>4288</v>
      </c>
      <c r="G705" s="323"/>
      <c r="H705" s="328"/>
    </row>
    <row r="706" customFormat="false" ht="25.5" hidden="false" customHeight="true" outlineLevel="0" collapsed="false">
      <c r="A706" s="323"/>
      <c r="B706" s="323"/>
      <c r="C706" s="323" t="s">
        <v>712</v>
      </c>
      <c r="D706" s="324"/>
      <c r="E706" s="329" t="s">
        <v>4411</v>
      </c>
      <c r="F706" s="323" t="s">
        <v>4289</v>
      </c>
      <c r="G706" s="323"/>
      <c r="H706" s="328"/>
    </row>
    <row r="707" customFormat="false" ht="78" hidden="false" customHeight="true" outlineLevel="0" collapsed="false">
      <c r="A707" s="323"/>
      <c r="B707" s="323"/>
      <c r="C707" s="323" t="s">
        <v>2635</v>
      </c>
      <c r="D707" s="324"/>
      <c r="E707" s="325" t="s">
        <v>4409</v>
      </c>
      <c r="F707" s="326" t="s">
        <v>4290</v>
      </c>
      <c r="G707" s="327" t="s">
        <v>4291</v>
      </c>
      <c r="H707" s="328" t="s">
        <v>4292</v>
      </c>
    </row>
    <row r="708" customFormat="false" ht="168.75" hidden="false" customHeight="true" outlineLevel="0" collapsed="false">
      <c r="A708" s="323"/>
      <c r="B708" s="323"/>
      <c r="C708" s="323" t="s">
        <v>2635</v>
      </c>
      <c r="D708" s="324"/>
      <c r="E708" s="325" t="s">
        <v>4409</v>
      </c>
      <c r="F708" s="326" t="s">
        <v>4293</v>
      </c>
      <c r="G708" s="327" t="s">
        <v>4294</v>
      </c>
      <c r="H708" s="328" t="s">
        <v>4295</v>
      </c>
    </row>
    <row r="709" customFormat="false" ht="90.75" hidden="false" customHeight="true" outlineLevel="0" collapsed="false">
      <c r="A709" s="323"/>
      <c r="B709" s="323"/>
      <c r="C709" s="323" t="s">
        <v>2635</v>
      </c>
      <c r="D709" s="324"/>
      <c r="E709" s="325" t="s">
        <v>4409</v>
      </c>
      <c r="F709" s="326" t="s">
        <v>4296</v>
      </c>
      <c r="G709" s="327" t="s">
        <v>4297</v>
      </c>
      <c r="H709" s="328" t="s">
        <v>4298</v>
      </c>
    </row>
    <row r="710" customFormat="false" ht="25.5" hidden="false" customHeight="true" outlineLevel="0" collapsed="false">
      <c r="A710" s="323"/>
      <c r="B710" s="323"/>
      <c r="C710" s="323" t="s">
        <v>2642</v>
      </c>
      <c r="D710" s="324"/>
      <c r="E710" s="329" t="s">
        <v>4411</v>
      </c>
      <c r="F710" s="323" t="s">
        <v>4299</v>
      </c>
      <c r="G710" s="323"/>
      <c r="H710" s="328"/>
    </row>
    <row r="711" customFormat="false" ht="51.75" hidden="false" customHeight="true" outlineLevel="0" collapsed="false">
      <c r="A711" s="321" t="n">
        <v>24</v>
      </c>
      <c r="B711" s="321" t="s">
        <v>4302</v>
      </c>
      <c r="C711" s="321" t="s">
        <v>4747</v>
      </c>
      <c r="D711" s="321"/>
      <c r="E711" s="321"/>
      <c r="F711" s="321" t="s">
        <v>4311</v>
      </c>
      <c r="G711" s="321"/>
      <c r="H711" s="322" t="s">
        <v>4408</v>
      </c>
    </row>
    <row r="712" customFormat="false" ht="39" hidden="false" customHeight="true" outlineLevel="0" collapsed="false">
      <c r="A712" s="323"/>
      <c r="B712" s="323"/>
      <c r="C712" s="323" t="s">
        <v>711</v>
      </c>
      <c r="D712" s="324"/>
      <c r="E712" s="329" t="s">
        <v>4411</v>
      </c>
      <c r="F712" s="323" t="s">
        <v>4303</v>
      </c>
      <c r="G712" s="323"/>
      <c r="H712" s="328"/>
    </row>
    <row r="713" customFormat="false" ht="15" hidden="false" customHeight="true" outlineLevel="0" collapsed="false">
      <c r="A713" s="323"/>
      <c r="B713" s="323"/>
      <c r="C713" s="323" t="s">
        <v>712</v>
      </c>
      <c r="D713" s="324"/>
      <c r="E713" s="329" t="s">
        <v>4411</v>
      </c>
      <c r="F713" s="323" t="s">
        <v>4304</v>
      </c>
      <c r="G713" s="323"/>
      <c r="H713" s="328"/>
    </row>
    <row r="714" customFormat="false" ht="142.5" hidden="false" customHeight="true" outlineLevel="0" collapsed="false">
      <c r="A714" s="323"/>
      <c r="B714" s="323"/>
      <c r="C714" s="323" t="s">
        <v>2635</v>
      </c>
      <c r="D714" s="324"/>
      <c r="E714" s="325" t="s">
        <v>4409</v>
      </c>
      <c r="F714" s="326" t="s">
        <v>4305</v>
      </c>
      <c r="G714" s="327" t="s">
        <v>4306</v>
      </c>
      <c r="H714" s="328" t="s">
        <v>4307</v>
      </c>
    </row>
    <row r="715" customFormat="false" ht="64.5" hidden="false" customHeight="true" outlineLevel="0" collapsed="false">
      <c r="A715" s="323"/>
      <c r="B715" s="323"/>
      <c r="C715" s="323" t="s">
        <v>2635</v>
      </c>
      <c r="D715" s="324"/>
      <c r="E715" s="325" t="s">
        <v>4409</v>
      </c>
      <c r="F715" s="326" t="s">
        <v>4308</v>
      </c>
      <c r="G715" s="327" t="s">
        <v>4309</v>
      </c>
      <c r="H715" s="328" t="s">
        <v>4310</v>
      </c>
    </row>
    <row r="716" customFormat="false" ht="15" hidden="false" customHeight="true" outlineLevel="0" collapsed="false">
      <c r="A716" s="323"/>
      <c r="B716" s="323"/>
      <c r="C716" s="323" t="s">
        <v>2642</v>
      </c>
      <c r="D716" s="324"/>
      <c r="E716" s="329" t="s">
        <v>4411</v>
      </c>
      <c r="F716" s="323" t="s">
        <v>4304</v>
      </c>
      <c r="G716" s="323"/>
      <c r="H716" s="328"/>
    </row>
    <row r="717" customFormat="false" ht="51.75" hidden="false" customHeight="true" outlineLevel="0" collapsed="false">
      <c r="A717" s="321" t="n">
        <v>25</v>
      </c>
      <c r="B717" s="321" t="s">
        <v>4313</v>
      </c>
      <c r="C717" s="321" t="s">
        <v>4748</v>
      </c>
      <c r="D717" s="321"/>
      <c r="E717" s="321"/>
      <c r="F717" s="321" t="s">
        <v>4322</v>
      </c>
      <c r="G717" s="321"/>
      <c r="H717" s="322" t="s">
        <v>4423</v>
      </c>
    </row>
    <row r="718" customFormat="false" ht="39" hidden="false" customHeight="true" outlineLevel="0" collapsed="false">
      <c r="A718" s="323"/>
      <c r="B718" s="323"/>
      <c r="C718" s="323" t="s">
        <v>711</v>
      </c>
      <c r="D718" s="324"/>
      <c r="E718" s="329" t="s">
        <v>4411</v>
      </c>
      <c r="F718" s="323" t="s">
        <v>4314</v>
      </c>
      <c r="G718" s="323"/>
      <c r="H718" s="328"/>
    </row>
    <row r="719" customFormat="false" ht="25.5" hidden="false" customHeight="true" outlineLevel="0" collapsed="false">
      <c r="A719" s="323"/>
      <c r="B719" s="323"/>
      <c r="C719" s="323" t="s">
        <v>712</v>
      </c>
      <c r="D719" s="324"/>
      <c r="E719" s="329" t="s">
        <v>4411</v>
      </c>
      <c r="F719" s="323" t="s">
        <v>4315</v>
      </c>
      <c r="G719" s="323"/>
      <c r="H719" s="328"/>
    </row>
    <row r="720" customFormat="false" ht="103.5" hidden="false" customHeight="true" outlineLevel="0" collapsed="false">
      <c r="A720" s="323"/>
      <c r="B720" s="323"/>
      <c r="C720" s="323" t="s">
        <v>2635</v>
      </c>
      <c r="D720" s="324"/>
      <c r="E720" s="325" t="s">
        <v>4409</v>
      </c>
      <c r="F720" s="326" t="s">
        <v>4316</v>
      </c>
      <c r="G720" s="327" t="s">
        <v>4317</v>
      </c>
      <c r="H720" s="328" t="s">
        <v>4318</v>
      </c>
    </row>
    <row r="721" customFormat="false" ht="64.5" hidden="false" customHeight="true" outlineLevel="0" collapsed="false">
      <c r="A721" s="323"/>
      <c r="B721" s="323"/>
      <c r="C721" s="323" t="s">
        <v>2635</v>
      </c>
      <c r="D721" s="324"/>
      <c r="E721" s="325" t="s">
        <v>4409</v>
      </c>
      <c r="F721" s="326" t="s">
        <v>4319</v>
      </c>
      <c r="G721" s="327" t="s">
        <v>4320</v>
      </c>
      <c r="H721" s="328" t="s">
        <v>4321</v>
      </c>
    </row>
    <row r="722" customFormat="false" ht="15" hidden="false" customHeight="true" outlineLevel="0" collapsed="false">
      <c r="A722" s="323"/>
      <c r="B722" s="323"/>
      <c r="C722" s="323" t="s">
        <v>2642</v>
      </c>
      <c r="D722" s="324"/>
      <c r="E722" s="329" t="s">
        <v>4411</v>
      </c>
      <c r="F722" s="323" t="s">
        <v>4304</v>
      </c>
      <c r="G722" s="323"/>
      <c r="H722" s="328"/>
    </row>
    <row r="723" customFormat="false" ht="51.75" hidden="false" customHeight="true" outlineLevel="0" collapsed="false">
      <c r="A723" s="321" t="n">
        <v>26</v>
      </c>
      <c r="B723" s="321" t="s">
        <v>4324</v>
      </c>
      <c r="C723" s="321" t="s">
        <v>4749</v>
      </c>
      <c r="D723" s="321"/>
      <c r="E723" s="321"/>
      <c r="F723" s="321" t="s">
        <v>4334</v>
      </c>
      <c r="G723" s="321"/>
      <c r="H723" s="322" t="s">
        <v>4423</v>
      </c>
    </row>
    <row r="724" customFormat="false" ht="39" hidden="false" customHeight="true" outlineLevel="0" collapsed="false">
      <c r="A724" s="323"/>
      <c r="B724" s="323"/>
      <c r="C724" s="323" t="s">
        <v>711</v>
      </c>
      <c r="D724" s="324"/>
      <c r="E724" s="329" t="s">
        <v>4411</v>
      </c>
      <c r="F724" s="323" t="s">
        <v>4325</v>
      </c>
      <c r="G724" s="323"/>
      <c r="H724" s="328"/>
    </row>
    <row r="725" customFormat="false" ht="51.75" hidden="false" customHeight="true" outlineLevel="0" collapsed="false">
      <c r="A725" s="323"/>
      <c r="B725" s="323"/>
      <c r="C725" s="323" t="s">
        <v>712</v>
      </c>
      <c r="D725" s="324"/>
      <c r="E725" s="325" t="s">
        <v>4409</v>
      </c>
      <c r="F725" s="326" t="s">
        <v>4326</v>
      </c>
      <c r="G725" s="327" t="s">
        <v>4327</v>
      </c>
      <c r="H725" s="328" t="s">
        <v>4328</v>
      </c>
    </row>
    <row r="726" customFormat="false" ht="64.5" hidden="false" customHeight="true" outlineLevel="0" collapsed="false">
      <c r="A726" s="323"/>
      <c r="B726" s="323"/>
      <c r="C726" s="323" t="s">
        <v>2635</v>
      </c>
      <c r="D726" s="324"/>
      <c r="E726" s="325" t="s">
        <v>4409</v>
      </c>
      <c r="F726" s="326" t="s">
        <v>4329</v>
      </c>
      <c r="G726" s="327" t="s">
        <v>4327</v>
      </c>
      <c r="H726" s="328" t="s">
        <v>4330</v>
      </c>
    </row>
    <row r="727" customFormat="false" ht="39" hidden="false" customHeight="true" outlineLevel="0" collapsed="false">
      <c r="A727" s="323"/>
      <c r="B727" s="323"/>
      <c r="C727" s="323" t="s">
        <v>2635</v>
      </c>
      <c r="D727" s="324"/>
      <c r="E727" s="325" t="s">
        <v>4409</v>
      </c>
      <c r="F727" s="326" t="s">
        <v>4331</v>
      </c>
      <c r="G727" s="327" t="s">
        <v>4332</v>
      </c>
      <c r="H727" s="328" t="s">
        <v>4333</v>
      </c>
    </row>
    <row r="728" customFormat="false" ht="15" hidden="false" customHeight="true" outlineLevel="0" collapsed="false">
      <c r="A728" s="323"/>
      <c r="B728" s="323"/>
      <c r="C728" s="323" t="s">
        <v>2642</v>
      </c>
      <c r="D728" s="324"/>
      <c r="E728" s="329" t="s">
        <v>4411</v>
      </c>
      <c r="F728" s="323" t="s">
        <v>4304</v>
      </c>
      <c r="G728" s="323"/>
      <c r="H728" s="328"/>
    </row>
    <row r="729" customFormat="false" ht="64.5" hidden="false" customHeight="true" outlineLevel="0" collapsed="false">
      <c r="A729" s="321" t="n">
        <v>27</v>
      </c>
      <c r="B729" s="321" t="s">
        <v>4336</v>
      </c>
      <c r="C729" s="321" t="s">
        <v>4750</v>
      </c>
      <c r="D729" s="321"/>
      <c r="E729" s="321"/>
      <c r="F729" s="321" t="s">
        <v>4352</v>
      </c>
      <c r="G729" s="321"/>
      <c r="H729" s="322" t="s">
        <v>4423</v>
      </c>
    </row>
    <row r="730" customFormat="false" ht="90.75" hidden="false" customHeight="true" outlineLevel="0" collapsed="false">
      <c r="A730" s="323"/>
      <c r="B730" s="323"/>
      <c r="C730" s="323" t="s">
        <v>711</v>
      </c>
      <c r="D730" s="324"/>
      <c r="E730" s="325" t="s">
        <v>4409</v>
      </c>
      <c r="F730" s="326" t="s">
        <v>4337</v>
      </c>
      <c r="G730" s="327" t="s">
        <v>4338</v>
      </c>
      <c r="H730" s="328" t="s">
        <v>4339</v>
      </c>
    </row>
    <row r="731" customFormat="false" ht="90.75" hidden="false" customHeight="true" outlineLevel="0" collapsed="false">
      <c r="A731" s="323"/>
      <c r="B731" s="323"/>
      <c r="C731" s="323" t="s">
        <v>711</v>
      </c>
      <c r="D731" s="324"/>
      <c r="E731" s="325" t="s">
        <v>4409</v>
      </c>
      <c r="F731" s="326" t="s">
        <v>4340</v>
      </c>
      <c r="G731" s="327" t="s">
        <v>4341</v>
      </c>
      <c r="H731" s="328" t="s">
        <v>4342</v>
      </c>
    </row>
    <row r="732" customFormat="false" ht="103.5" hidden="false" customHeight="true" outlineLevel="0" collapsed="false">
      <c r="A732" s="323"/>
      <c r="B732" s="323"/>
      <c r="C732" s="323" t="s">
        <v>712</v>
      </c>
      <c r="D732" s="324"/>
      <c r="E732" s="325" t="s">
        <v>4409</v>
      </c>
      <c r="F732" s="326" t="s">
        <v>4343</v>
      </c>
      <c r="G732" s="327" t="s">
        <v>4344</v>
      </c>
      <c r="H732" s="328" t="s">
        <v>4345</v>
      </c>
    </row>
    <row r="733" customFormat="false" ht="103.5" hidden="false" customHeight="true" outlineLevel="0" collapsed="false">
      <c r="A733" s="323"/>
      <c r="B733" s="323"/>
      <c r="C733" s="323" t="s">
        <v>2635</v>
      </c>
      <c r="D733" s="324"/>
      <c r="E733" s="325" t="s">
        <v>4409</v>
      </c>
      <c r="F733" s="326" t="s">
        <v>4346</v>
      </c>
      <c r="G733" s="327" t="s">
        <v>4347</v>
      </c>
      <c r="H733" s="328" t="s">
        <v>4348</v>
      </c>
    </row>
    <row r="734" customFormat="false" ht="64.5" hidden="false" customHeight="true" outlineLevel="0" collapsed="false">
      <c r="A734" s="323"/>
      <c r="B734" s="323"/>
      <c r="C734" s="323" t="s">
        <v>2635</v>
      </c>
      <c r="D734" s="324"/>
      <c r="E734" s="325" t="s">
        <v>4409</v>
      </c>
      <c r="F734" s="326" t="s">
        <v>4349</v>
      </c>
      <c r="G734" s="327" t="s">
        <v>4338</v>
      </c>
      <c r="H734" s="328" t="s">
        <v>4350</v>
      </c>
    </row>
    <row r="735" customFormat="false" ht="39" hidden="false" customHeight="true" outlineLevel="0" collapsed="false">
      <c r="A735" s="323"/>
      <c r="B735" s="323"/>
      <c r="C735" s="323" t="s">
        <v>2642</v>
      </c>
      <c r="D735" s="324"/>
      <c r="E735" s="329" t="s">
        <v>4411</v>
      </c>
      <c r="F735" s="323" t="s">
        <v>4351</v>
      </c>
      <c r="G735" s="323"/>
      <c r="H735" s="328"/>
    </row>
    <row r="736" customFormat="false" ht="51.75" hidden="false" customHeight="true" outlineLevel="0" collapsed="false">
      <c r="A736" s="321" t="n">
        <v>28</v>
      </c>
      <c r="B736" s="321" t="s">
        <v>4354</v>
      </c>
      <c r="C736" s="321" t="s">
        <v>4751</v>
      </c>
      <c r="D736" s="321"/>
      <c r="E736" s="321"/>
      <c r="F736" s="321" t="s">
        <v>4362</v>
      </c>
      <c r="G736" s="321"/>
      <c r="H736" s="322" t="s">
        <v>4408</v>
      </c>
    </row>
    <row r="737" customFormat="false" ht="64.5" hidden="false" customHeight="true" outlineLevel="0" collapsed="false">
      <c r="A737" s="323"/>
      <c r="B737" s="323"/>
      <c r="C737" s="323" t="s">
        <v>711</v>
      </c>
      <c r="D737" s="324"/>
      <c r="E737" s="329" t="s">
        <v>4411</v>
      </c>
      <c r="F737" s="323" t="s">
        <v>4355</v>
      </c>
      <c r="G737" s="323"/>
      <c r="H737" s="328"/>
    </row>
    <row r="738" customFormat="false" ht="15" hidden="false" customHeight="true" outlineLevel="0" collapsed="false">
      <c r="A738" s="323"/>
      <c r="B738" s="323"/>
      <c r="C738" s="323" t="s">
        <v>712</v>
      </c>
      <c r="D738" s="324"/>
      <c r="E738" s="329" t="s">
        <v>4411</v>
      </c>
      <c r="F738" s="323" t="s">
        <v>4304</v>
      </c>
      <c r="G738" s="323"/>
      <c r="H738" s="328"/>
    </row>
    <row r="739" customFormat="false" ht="64.5" hidden="false" customHeight="true" outlineLevel="0" collapsed="false">
      <c r="A739" s="323"/>
      <c r="B739" s="323"/>
      <c r="C739" s="323" t="s">
        <v>2635</v>
      </c>
      <c r="D739" s="324"/>
      <c r="E739" s="325" t="s">
        <v>4409</v>
      </c>
      <c r="F739" s="326" t="s">
        <v>4356</v>
      </c>
      <c r="G739" s="327" t="s">
        <v>4357</v>
      </c>
      <c r="H739" s="328" t="s">
        <v>4358</v>
      </c>
    </row>
    <row r="740" customFormat="false" ht="51.75" hidden="false" customHeight="true" outlineLevel="0" collapsed="false">
      <c r="A740" s="323"/>
      <c r="B740" s="323"/>
      <c r="C740" s="323" t="s">
        <v>2635</v>
      </c>
      <c r="D740" s="324"/>
      <c r="E740" s="325" t="s">
        <v>4409</v>
      </c>
      <c r="F740" s="326" t="s">
        <v>4359</v>
      </c>
      <c r="G740" s="327" t="s">
        <v>4360</v>
      </c>
      <c r="H740" s="328" t="s">
        <v>4361</v>
      </c>
    </row>
    <row r="741" customFormat="false" ht="15" hidden="false" customHeight="true" outlineLevel="0" collapsed="false">
      <c r="A741" s="323"/>
      <c r="B741" s="323"/>
      <c r="C741" s="323" t="s">
        <v>2642</v>
      </c>
      <c r="D741" s="324"/>
      <c r="E741" s="329" t="s">
        <v>4411</v>
      </c>
      <c r="F741" s="323" t="s">
        <v>4304</v>
      </c>
      <c r="G741" s="323"/>
      <c r="H741" s="328"/>
    </row>
    <row r="742" customFormat="false" ht="39" hidden="false" customHeight="true" outlineLevel="0" collapsed="false">
      <c r="A742" s="321" t="n">
        <v>29</v>
      </c>
      <c r="B742" s="321" t="s">
        <v>4364</v>
      </c>
      <c r="C742" s="321" t="s">
        <v>4752</v>
      </c>
      <c r="D742" s="321"/>
      <c r="E742" s="321"/>
      <c r="F742" s="321" t="s">
        <v>4372</v>
      </c>
      <c r="G742" s="321"/>
      <c r="H742" s="322" t="s">
        <v>4423</v>
      </c>
    </row>
    <row r="743" customFormat="false" ht="39" hidden="false" customHeight="true" outlineLevel="0" collapsed="false">
      <c r="A743" s="323"/>
      <c r="B743" s="323"/>
      <c r="C743" s="323" t="s">
        <v>711</v>
      </c>
      <c r="D743" s="324"/>
      <c r="E743" s="329" t="s">
        <v>4411</v>
      </c>
      <c r="F743" s="323" t="s">
        <v>4365</v>
      </c>
      <c r="G743" s="323"/>
      <c r="H743" s="328"/>
    </row>
    <row r="744" customFormat="false" ht="15" hidden="false" customHeight="true" outlineLevel="0" collapsed="false">
      <c r="A744" s="323"/>
      <c r="B744" s="323"/>
      <c r="C744" s="323" t="s">
        <v>712</v>
      </c>
      <c r="D744" s="324"/>
      <c r="E744" s="329" t="s">
        <v>4411</v>
      </c>
      <c r="F744" s="323" t="s">
        <v>4304</v>
      </c>
      <c r="G744" s="323"/>
      <c r="H744" s="328"/>
    </row>
    <row r="745" customFormat="false" ht="78" hidden="false" customHeight="true" outlineLevel="0" collapsed="false">
      <c r="A745" s="323"/>
      <c r="B745" s="323"/>
      <c r="C745" s="323" t="s">
        <v>2635</v>
      </c>
      <c r="D745" s="324"/>
      <c r="E745" s="325" t="s">
        <v>4409</v>
      </c>
      <c r="F745" s="326" t="s">
        <v>4366</v>
      </c>
      <c r="G745" s="327" t="s">
        <v>4367</v>
      </c>
      <c r="H745" s="328" t="s">
        <v>4368</v>
      </c>
    </row>
    <row r="746" customFormat="false" ht="51.75" hidden="false" customHeight="true" outlineLevel="0" collapsed="false">
      <c r="A746" s="323"/>
      <c r="B746" s="323"/>
      <c r="C746" s="323" t="s">
        <v>2635</v>
      </c>
      <c r="D746" s="324"/>
      <c r="E746" s="325" t="s">
        <v>4409</v>
      </c>
      <c r="F746" s="326" t="s">
        <v>4369</v>
      </c>
      <c r="G746" s="327" t="s">
        <v>4370</v>
      </c>
      <c r="H746" s="328" t="s">
        <v>4371</v>
      </c>
    </row>
    <row r="747" customFormat="false" ht="15" hidden="false" customHeight="true" outlineLevel="0" collapsed="false">
      <c r="A747" s="323"/>
      <c r="B747" s="323"/>
      <c r="C747" s="323" t="s">
        <v>2642</v>
      </c>
      <c r="D747" s="324"/>
      <c r="E747" s="329" t="s">
        <v>4411</v>
      </c>
      <c r="F747" s="323" t="s">
        <v>4304</v>
      </c>
      <c r="G747" s="323"/>
      <c r="H747" s="328"/>
    </row>
    <row r="748" customFormat="false" ht="39" hidden="false" customHeight="true" outlineLevel="0" collapsed="false">
      <c r="A748" s="321" t="n">
        <v>30</v>
      </c>
      <c r="B748" s="321" t="s">
        <v>4374</v>
      </c>
      <c r="C748" s="321" t="s">
        <v>4753</v>
      </c>
      <c r="D748" s="321"/>
      <c r="E748" s="321"/>
      <c r="F748" s="321" t="s">
        <v>4386</v>
      </c>
      <c r="G748" s="321"/>
      <c r="H748" s="322" t="s">
        <v>4423</v>
      </c>
    </row>
    <row r="749" customFormat="false" ht="25.5" hidden="false" customHeight="true" outlineLevel="0" collapsed="false">
      <c r="A749" s="323"/>
      <c r="B749" s="323"/>
      <c r="C749" s="323" t="s">
        <v>711</v>
      </c>
      <c r="D749" s="324"/>
      <c r="E749" s="329" t="s">
        <v>4411</v>
      </c>
      <c r="F749" s="323" t="s">
        <v>4375</v>
      </c>
      <c r="G749" s="323"/>
      <c r="H749" s="328"/>
    </row>
    <row r="750" customFormat="false" ht="15" hidden="false" customHeight="true" outlineLevel="0" collapsed="false">
      <c r="A750" s="323"/>
      <c r="B750" s="323"/>
      <c r="C750" s="323" t="s">
        <v>712</v>
      </c>
      <c r="D750" s="324"/>
      <c r="E750" s="329" t="s">
        <v>4411</v>
      </c>
      <c r="F750" s="323" t="s">
        <v>4376</v>
      </c>
      <c r="G750" s="323"/>
      <c r="H750" s="328"/>
    </row>
    <row r="751" customFormat="false" ht="51.75" hidden="false" customHeight="true" outlineLevel="0" collapsed="false">
      <c r="A751" s="323"/>
      <c r="B751" s="323"/>
      <c r="C751" s="323" t="s">
        <v>2635</v>
      </c>
      <c r="D751" s="324"/>
      <c r="E751" s="325" t="s">
        <v>4409</v>
      </c>
      <c r="F751" s="326" t="s">
        <v>4377</v>
      </c>
      <c r="G751" s="327" t="s">
        <v>4378</v>
      </c>
      <c r="H751" s="328" t="s">
        <v>4379</v>
      </c>
    </row>
    <row r="752" customFormat="false" ht="51.75" hidden="false" customHeight="true" outlineLevel="0" collapsed="false">
      <c r="A752" s="323"/>
      <c r="B752" s="323"/>
      <c r="C752" s="323" t="s">
        <v>2635</v>
      </c>
      <c r="D752" s="324"/>
      <c r="E752" s="325" t="s">
        <v>4409</v>
      </c>
      <c r="F752" s="326" t="s">
        <v>4380</v>
      </c>
      <c r="G752" s="327" t="s">
        <v>4381</v>
      </c>
      <c r="H752" s="328" t="s">
        <v>4382</v>
      </c>
    </row>
    <row r="753" customFormat="false" ht="90.75" hidden="false" customHeight="true" outlineLevel="0" collapsed="false">
      <c r="A753" s="323"/>
      <c r="B753" s="323"/>
      <c r="C753" s="323" t="s">
        <v>2635</v>
      </c>
      <c r="D753" s="324"/>
      <c r="E753" s="325" t="s">
        <v>4409</v>
      </c>
      <c r="F753" s="326" t="s">
        <v>4383</v>
      </c>
      <c r="G753" s="327" t="s">
        <v>4384</v>
      </c>
      <c r="H753" s="328" t="s">
        <v>4385</v>
      </c>
    </row>
    <row r="754" customFormat="false" ht="15" hidden="false" customHeight="true" outlineLevel="0" collapsed="false">
      <c r="A754" s="323"/>
      <c r="B754" s="323"/>
      <c r="C754" s="323" t="s">
        <v>2642</v>
      </c>
      <c r="D754" s="324"/>
      <c r="E754" s="329" t="s">
        <v>4411</v>
      </c>
      <c r="F754" s="323" t="s">
        <v>4376</v>
      </c>
      <c r="G754" s="323"/>
      <c r="H754" s="328"/>
    </row>
    <row r="755" customFormat="false" ht="39" hidden="false" customHeight="true" outlineLevel="0" collapsed="false">
      <c r="A755" s="321" t="n">
        <v>31</v>
      </c>
      <c r="B755" s="321" t="s">
        <v>4388</v>
      </c>
      <c r="C755" s="321" t="s">
        <v>4754</v>
      </c>
      <c r="D755" s="321"/>
      <c r="E755" s="321"/>
      <c r="F755" s="321" t="s">
        <v>4399</v>
      </c>
      <c r="G755" s="321"/>
      <c r="H755" s="322" t="s">
        <v>4423</v>
      </c>
    </row>
    <row r="756" customFormat="false" ht="39" hidden="false" customHeight="true" outlineLevel="0" collapsed="false">
      <c r="A756" s="323"/>
      <c r="B756" s="323"/>
      <c r="C756" s="323" t="s">
        <v>711</v>
      </c>
      <c r="D756" s="324"/>
      <c r="E756" s="329" t="s">
        <v>4411</v>
      </c>
      <c r="F756" s="323" t="s">
        <v>4389</v>
      </c>
      <c r="G756" s="323"/>
      <c r="H756" s="328"/>
    </row>
    <row r="757" customFormat="false" ht="15" hidden="false" customHeight="true" outlineLevel="0" collapsed="false">
      <c r="A757" s="323"/>
      <c r="B757" s="323"/>
      <c r="C757" s="323" t="s">
        <v>712</v>
      </c>
      <c r="D757" s="324"/>
      <c r="E757" s="329" t="s">
        <v>4411</v>
      </c>
      <c r="F757" s="323" t="s">
        <v>4304</v>
      </c>
      <c r="G757" s="323"/>
      <c r="H757" s="328"/>
    </row>
    <row r="758" customFormat="false" ht="90.75" hidden="false" customHeight="true" outlineLevel="0" collapsed="false">
      <c r="A758" s="323"/>
      <c r="B758" s="323"/>
      <c r="C758" s="323" t="s">
        <v>2635</v>
      </c>
      <c r="D758" s="324"/>
      <c r="E758" s="325" t="s">
        <v>4409</v>
      </c>
      <c r="F758" s="326" t="s">
        <v>4390</v>
      </c>
      <c r="G758" s="327" t="s">
        <v>4391</v>
      </c>
      <c r="H758" s="328" t="s">
        <v>4392</v>
      </c>
    </row>
    <row r="759" customFormat="false" ht="39" hidden="false" customHeight="true" outlineLevel="0" collapsed="false">
      <c r="A759" s="323"/>
      <c r="B759" s="323"/>
      <c r="C759" s="323" t="s">
        <v>2635</v>
      </c>
      <c r="D759" s="324"/>
      <c r="E759" s="325" t="s">
        <v>4409</v>
      </c>
      <c r="F759" s="326" t="s">
        <v>4393</v>
      </c>
      <c r="G759" s="327" t="s">
        <v>4394</v>
      </c>
      <c r="H759" s="328" t="s">
        <v>4395</v>
      </c>
    </row>
    <row r="760" customFormat="false" ht="90.75" hidden="false" customHeight="true" outlineLevel="0" collapsed="false">
      <c r="A760" s="323"/>
      <c r="B760" s="323"/>
      <c r="C760" s="323" t="s">
        <v>2635</v>
      </c>
      <c r="D760" s="324"/>
      <c r="E760" s="325" t="s">
        <v>4409</v>
      </c>
      <c r="F760" s="326" t="s">
        <v>4396</v>
      </c>
      <c r="G760" s="327" t="s">
        <v>4397</v>
      </c>
      <c r="H760" s="328" t="s">
        <v>4398</v>
      </c>
    </row>
    <row r="761" customFormat="false" ht="15" hidden="false" customHeight="true" outlineLevel="0" collapsed="false">
      <c r="A761" s="323"/>
      <c r="B761" s="323"/>
      <c r="C761" s="323" t="s">
        <v>2642</v>
      </c>
      <c r="D761" s="324"/>
      <c r="E761" s="329" t="s">
        <v>4411</v>
      </c>
      <c r="F761" s="323" t="s">
        <v>4304</v>
      </c>
      <c r="G761" s="323"/>
      <c r="H761" s="328"/>
    </row>
  </sheetData>
  <autoFilter ref="A1:H761"/>
  <hyperlinks>
    <hyperlink ref="G3" r:id="rId1" display="https://www.technoparktoday.com/allianz-services-india-hosts-innovation-marathon-2026-sree-chitra-thirunal-college-of-engineering-emerges-as-winner/"/>
    <hyperlink ref="G4" r:id="rId2" display="https://careers.allianz.com/global/en/allianz-services"/>
    <hyperlink ref="G5" r:id="rId3" display="https://www.linkedin.com/showcase/allianz-services-india/"/>
    <hyperlink ref="G6" r:id="rId4" display="https://www.thecompanycheck.com/company/allianz-services-private-limited/U72200KL2003PTC015907"/>
    <hyperlink ref="G7" r:id="rId5" display="https://www.technoparktoday.com/allianz-services-india-actuarial-edge-2025-iaqs-mumbai-wins/"/>
    <hyperlink ref="G8" r:id="rId6" display="https://www.linkedin.com/showcase/allianz-services-india/"/>
    <hyperlink ref="G16" r:id="rId7" display="https://www.insurancejournal.com/news/national/2026/08/07/880719.htm"/>
    <hyperlink ref="G17" r:id="rId8" display="https://www.business-standard.com/content/press-releases-ani/reimagining-the-role-of-insurance-gccs-allstate-india-s-journey-towards-a-global-talent-center-124082600741_1.html"/>
    <hyperlink ref="G18" r:id="rId9" display="https://tracxn.com/d/companies/allstateindia/__9hXgvLj6uzJEc20xuVzrjVJQxh1sjroMM9etIjj845E"/>
    <hyperlink ref="G19" r:id="rId10" display="https://hrtoday.in/shibu-mathew-zacharia-appointed-as-vice-president-and-managing-director-at-allstate-india/"/>
    <hyperlink ref="G20" r:id="rId11" display="https://www.prnewswire.com/in/news-releases/reimagining-the-role-of-insurance-gccs-allstate-indias-journey-towards-a-global-talent-center-302230355.html"/>
    <hyperlink ref="G29" r:id="rId12" display="https://www.zaubacorp.com/company/AIG-ANALYTICS-SERVICES-PRIVATE-LIMITED/U74990KA2009PTC076432"/>
    <hyperlink ref="G30" r:id="rId13" display="https://fortune.com/2022/07/21/aig-imploded-2008-recession-financial-crisis-turnaround-plan-6000-employees-accenture/"/>
    <hyperlink ref="G38" r:id="rId14" display="https://www.aon.com/apac/in-the-press/asia-newsroom/2026/aon-reinforces-india-as-key-global-hub"/>
    <hyperlink ref="G39" r:id="rId15" display="https://www.reinsurancene.ws/aon-expands-bengalurus-global-capability-centre-with-new-facility/"/>
    <hyperlink ref="G41" r:id="rId16" display="https://hrtoday.in/shiney-prasad-embarks-on-new-journey-with-aon-as-head-of-global-capability-centers/"/>
    <hyperlink ref="G42" r:id="rId17" display="https://reinasia.com/aon-taps-nayana-mitter-to-lead-global-capability-centres-strategy-and-programme-management/"/>
    <hyperlink ref="G49" r:id="rId18" display="https://www.admiralindia.com/"/>
    <hyperlink ref="G50" r:id="rId19" display="https://www.admiralindia.com/current-jobs/"/>
    <hyperlink ref="G52" r:id="rId20" display="https://career.admiralsolutions.in/vacancies/"/>
    <hyperlink ref="G53" r:id="rId21" display="https://www.admiralsolutions.in/"/>
    <hyperlink ref="G59" r:id="rId22" display="https://www.businesswire.com/news/home/20251027224074/en/Arch-Global-Services-India-Opens-Technology-Hub-in-Hyderabad-to-Accelerate-Innovation"/>
    <hyperlink ref="G60" r:id="rId23" display="https://www.reinsurancene.ws/arch-global-services-india-opens-technology-hub-in-hyderabad/"/>
    <hyperlink ref="G61" r:id="rId24" display="https://www.archgroup.com/arch-global-services-india-opens-new-office-in-trivandrum-to-drive-innovation/"/>
    <hyperlink ref="G62" r:id="rId25" display="https://www.businesswire.com/news/home/20251029203215/en/arch-global-services-india-opens-new-office-in-trivandrum-to-drive-innovation/"/>
    <hyperlink ref="G63" r:id="rId26" display="https://www.archgroup.com/arch-capital-group-opens-global-capabilities-centers-in-india/"/>
    <hyperlink ref="G69" r:id="rId27" display="https://www.business-standard.com/content/press-releases-ani/axa-global-business-services-embarks-on-a-new-era-of-transformation-as-it-celebrates-30-years-in-india-125021300860_1.html"/>
    <hyperlink ref="G70" r:id="rId28" display="https://cxotoday.com/press-release/axa-global-business-services-embarks-on-a-new-era-of-transformation-as-it-celebrates-30-years-in-india/"/>
    <hyperlink ref="G71" r:id="rId29" display="https://www.prnewswire.com/in/news-releases/axa-unveils-state-of-the-art-office-space-in-pune-expands-its-global-business-services-center-302271407.html"/>
    <hyperlink ref="G72" r:id="rId30" display="https://tracxn.com/d/legal-entities/india/axa-global-business-services-private-limited/__YU7KMI_cCEU4d_R8dX_1H3gmvZ32z1HhrCxNpWhXrV0"/>
    <hyperlink ref="G73" r:id="rId31" display="https://www.tribuneindia.com/news/business/axa-global-business-services-embarks-on-a-new-era-of-transformation-as-it-celebrates-30-years-in-india/"/>
    <hyperlink ref="G81" r:id="rId32" display="https://www.instafinancials.com/company/bupa-capability-centre-private-limited-U70200HR2025FTC131860"/>
    <hyperlink ref="G82" r:id="rId33" display="https://careers.bupa.co.uk/bupa-capability-centre-india"/>
    <hyperlink ref="G83" r:id="rId34" display="https://careers.bupa.co.uk/bupa-capability-centre"/>
    <hyperlink ref="G84" r:id="rId35" display="https://careers.bupa.co.uk/search-jobs/bupa-capability-centre-india/gurugram/finance-specialist-2/R1225113"/>
    <hyperlink ref="G85" r:id="rId36" display="https://careers.bupa.co.uk/bupa-capability-centre-india"/>
    <hyperlink ref="G88" r:id="rId37" display="https://www.projectstoday.com/News/Evernorth-Health-Services-expands-presence-in-Hyderabad-GCC-inaugurated"/>
    <hyperlink ref="G89" r:id="rId38" display="https://builtin.com/job/machine-learning-analyst-hih-evernorth/6849277"/>
    <hyperlink ref="G90" r:id="rId39" display="https://www.hrkatha.com/features/how-evernorth-is-building-a-workforce-for-the-future-at-its-hyderabad-gcc/"/>
    <hyperlink ref="G91" r:id="rId40" display="https://www.talentmate.com/jobs/india/greater-hyderabad-area/hih-financial-analysis-lead-analyst/2607-2340-174"/>
    <hyperlink ref="G92" r:id="rId41" display="https://www.digitalhealthnews.com/cigna-s-evernorth-launches-first-global-innovation-hub-in-hyderabad"/>
    <hyperlink ref="G93" r:id="rId42" display="https://www.linkedin.com/in/ashwani-agarwal-0214976/"/>
    <hyperlink ref="G96" r:id="rId43" display="https://www.capgemini.com/news/press-releases/dai-ichi-life-group-and-capgemini-sign-multi-year-agreement-to-establish-a-global-capability-center-in-india-to-drive-international-digital-transformation/"/>
    <hyperlink ref="G97" r:id="rId44" display="https://gccrise.com/dai-ichi-life-to-expand-india-gcc-to-600-employees-partners-with-capgemini-to-bridge-cultures/"/>
    <hyperlink ref="G98" r:id="rId45" display="https://www.insurancebusinessmag.com/asia/news/technology/daiichi-life-sets-up-global-tech-hub-in-india-538626.aspx"/>
    <hyperlink ref="G105" r:id="rId46" display="https://www.fm.com/newsroom/news/2026/fm-strengthens-india-commitment-with-opening-of-mumbai-office"/>
    <hyperlink ref="G106" r:id="rId47" display="https://constrofacilitator.com/fm-signs-2-2-lakh-sq-ft-office-lease-in-bengaluru/"/>
    <hyperlink ref="G107" r:id="rId48" display="https://www.fm.com/newsroom/news/2025/fm-expands-footprint-in-india-with-new-innovative-centre-in-bengaluru"/>
    <hyperlink ref="G112" r:id="rId49" display="https://www.fm.com/newsroom/news/2026/fm-strengthens-india-commitment-with-opening-of-mumbai-office"/>
    <hyperlink ref="G113" r:id="rId50" display="https://www.fm.com/newsroom/news/2026/fm-strengthens-india-commitment-with-opening-of-mumbai-office"/>
    <hyperlink ref="G118" r:id="rId51" display="https://www.cxodigitalpulse.com/first-american-india-appoints-gautam-mukherjee-as-chief-technology-officer/"/>
    <hyperlink ref="G119" r:id="rId52" display="https://in.linkedin.com/company/first-american-india-pvt-ltd"/>
    <hyperlink ref="G122" r:id="rId53" display="https://www.greatplacetowork.in/great/company/first-american-india-pvt-ltd"/>
    <hyperlink ref="G127" r:id="rId54" display="https://ajg.jibeapply.com/gcoe-home"/>
    <hyperlink ref="G129" r:id="rId55" display="https://www.ajg.com/in/about-us/gallagher-center-of-excellence/"/>
    <hyperlink ref="G133" r:id="rId56" display="https://www.ajg.com/in/about-us/gallagher-center-of-excellence/"/>
    <hyperlink ref="G134" r:id="rId57" display="https://hrtoday.in/meenu-agrawal-joins-gallagher-center-of-excellence-as-group-vice-president-talent-acquisition/"/>
    <hyperlink ref="G142" r:id="rId58" display="https://www.reinsurancene.ws/hannover-re-appoints-prateek-maheshwari-as-cfo-india-branch/"/>
    <hyperlink ref="G143" r:id="rId59" display="https://reinasia.com/hannover-re-appoints-prateek-maheshwari-as-cfo-for-india-branch/"/>
    <hyperlink ref="G145" r:id="rId60" display="https://www.captive.com/news/asia-india-reinsurance-renewals-show-continued-softening"/>
    <hyperlink ref="G146" r:id="rId61" display="https://jobs.hannover-re.com/job/Mumbai-Associate-Underwriter-P&amp;C-Base-MH-400-099/1165499555"/>
    <hyperlink ref="G147" r:id="rId62" display="https://www.hannover-re.com/en/local-offices/asia/india/life-and-health/"/>
    <hyperlink ref="G153" r:id="rId63" display="https://www.markel.com/international/news-and-insights/markel-international-launches-ai-centre-of-enablement-with-appointment-of-head-of-ai"/>
    <hyperlink ref="G154" r:id="rId64" display="https://www.markel.com/about-us/news-and-press/markel-announces-collaboration-with-insurate-to-advance-middle-market-workers-compensation-through-ai-and-innovative-safety-scoring-122847"/>
    <hyperlink ref="G160" r:id="rId65" display="https://www.insurancebusinessmag.com/asia/news/marine/markel-adds-local-marine-claims-expertise-in-india-582194.aspx"/>
    <hyperlink ref="G161" r:id="rId66" display="https://www.markel.com/international/news-and-insights/markel-launches-asia-pacific-warranty-and-indemnity-capability-in-hong-kong-and-india"/>
    <hyperlink ref="G162" r:id="rId67" display="https://www.markel.com/about-us/news-and-press/markel-announces-priyanka-gautama-as-chief-underwriting-officer-for-india"/>
    <hyperlink ref="G163" r:id="rId68" display="https://www.markel.com/international/news-and-insights/markel-appoints-ravi-jain-business-development-distribution-lead-india"/>
    <hyperlink ref="G168" r:id="rId69" display="https://www.marketbeat.com/earnings/reports/2026-4-16-marsh-mclennan-companies-inc-stock/"/>
    <hyperlink ref="G169" r:id="rId70" display="https://careers.marshmclennan.com/global/en/india"/>
    <hyperlink ref="G174" r:id="rId71" display="https://www.peoplematters.in/news/appointments/marsh-mclennan-appoints-andrea-bono-as-ceo-of-india-middle-east-and-africa-47072"/>
    <hyperlink ref="G176" r:id="rId72" display="https://scoutify.com/companies/marsh-mclennan/jobs/1102984/"/>
    <hyperlink ref="G177" r:id="rId73" display="https://apna.co/job/gurgaon/manager-risk-control-testing-pension-domain-1244513274"/>
    <hyperlink ref="G180" r:id="rId74" display="https://builtin.com/job/corptech-im-sr-python-ai-developer/6470821"/>
    <hyperlink ref="G181" r:id="rId75" display="https://telanganatoday.com/tag/global-capability-center-gcc"/>
    <hyperlink ref="G184" r:id="rId76" display="https://builtin.com/job/private-equity-fund-accounting-operations-assistant-manager/7869950"/>
    <hyperlink ref="G188" r:id="rId77" display="https://builtin.com/job/senior-analyst-operations-pension-risk-transfer/7013935"/>
    <hyperlink ref="G190" r:id="rId78" display="https://www.michaelpage.co.in/job-detail/compliance-gcc-4-6-yrs-hyderabad/ref/jn-042026-6997546"/>
    <hyperlink ref="G195" r:id="rId79" display="https://ssfglobal.in/?p=40139"/>
    <hyperlink ref="G196" r:id="rId80" display="https://yourstory.com/2026/04/tdelivery-hubs-decisions-centres-indias-gccs-reshape-global-enterprisehe-ys"/>
    <hyperlink ref="G198" r:id="rId81" display="https://builtinhyderabad.in/job/senior-manager-fp/4491047"/>
    <hyperlink ref="G200" r:id="rId82" display="https://builtinhyderabad.in/job/actuarial-services-emea/4238923"/>
    <hyperlink ref="G205" r:id="rId83" display="https://www.swissre.com/profile/Amit_Kalra/ip_f2cb75"/>
    <hyperlink ref="G209" r:id="rId84" display="https://reinasia.com/zurich-taps-amit-kalra-to-lead-new-global-capability-centre-in-india/"/>
    <hyperlink ref="G214" r:id="rId85" display="https://www.thepeoplesboard.com/?p=17616"/>
    <hyperlink ref="G215" r:id="rId86" display="https://www.peoplematters.in/news/business/the-standard-grows-india-gcc-to-400-positioning-bengaluru-at-the-centre-of-its-innovation-strategy-51594"/>
    <hyperlink ref="G216" r:id="rId87" display="https://www.peoplematters.in/news/leadership/the-standard-india-appoints-new-hr-talent-acquisition-and-technology-heads-51147"/>
    <hyperlink ref="G218" r:id="rId88" display="https://www.peoplematters.in/news/business/the-standard-grows-india-gcc-to-400-positioning-bengaluru-at-the-centre-of-its-innovation-strategy-51594"/>
    <hyperlink ref="G221" r:id="rId89" display="https://yourstory.com/enterprise-story/2025/11/us-financial-services-firm-the-standard-opens-new-gcc-in-india"/>
    <hyperlink ref="G227" r:id="rId90" display="https://www.efinancialcareers.com/jobs-India-Mumbai-Senior_Manager_Income_Accounting.id24535075"/>
    <hyperlink ref="G229" r:id="rId91" display="https://www.efinancialcareers.com/jobs-India-Mumbai-Senior_Manager_Income_Accounting.id24535075"/>
    <hyperlink ref="G232" r:id="rId92" display="https://www.efinancialcareers.com/jobs-India-Mumbai-Manager_Actuarial.id24464288"/>
    <hyperlink ref="G234" r:id="rId93" display="https://www.efinancialcareers.com/jobs-India-Mumbai-Senior_Manager_-_IA_Operations_Auditor_Ops__QA_Practices_Community.id24592434"/>
    <hyperlink ref="G238" r:id="rId94" display="https://ssfglobal.in/industry_action/chubb-launches-first-chennai-gcc-to-expand-global-analytics-and-engineering-capabilities/"/>
    <hyperlink ref="G239" r:id="rId95" display="https://www.hrkatha.com/news/chubb-and-nordex-to-drive-job-creation-with-chennai-gcc-and-rd-expansion/"/>
    <hyperlink ref="G240" r:id="rId96" display="https://about.chubb.com/careers/engineering-centers/india-engineering-center.html"/>
    <hyperlink ref="G241" r:id="rId97" display="https://www.businessofgcc.com/gcc-data/companies/chubb-india"/>
    <hyperlink ref="G246" r:id="rId98" display="https://jobs.anitab.org/companies/chubb/jobs/90305101-analyst-i-cat-modelling"/>
    <hyperlink ref="G247" r:id="rId99" display="https://www.businessofgcc.com/gcc-data/companies/chubb-india"/>
    <hyperlink ref="G249" r:id="rId100" display="https://jobs.anitab.org/companies/chubb/jobs/90305173-global-it-sox-compliance-lead"/>
    <hyperlink ref="G253" r:id="rId101" display="https://www.businesstoday.in/amp/technology/story/hcltech-to-acquire-guardian-india-nearly-2000-employees-to-join-the-it-giant-543486-2026-07-16"/>
    <hyperlink ref="G254" r:id="rId102" display="https://kyodonewsprwire.jp/release/202607162705"/>
    <hyperlink ref="G255" r:id="rId103" display="https://www.hrkatha.com/news/merger-acquisition/hcltech-brings-guardian-india-operations-staff-on-board/"/>
    <hyperlink ref="G261" r:id="rId104" display="https://www.outlookbusiness.com/corporate/hcltech-to-acquire-guardian-india-for-105-million-2000-employees-to-transition"/>
    <hyperlink ref="G267" r:id="rId105" display="https://www.constructionworld.in/policy-updates-and-economic-news/tiaa-global-capabilities-leases-255713-square-feet-in-pune/96764"/>
    <hyperlink ref="G268" r:id="rId106" display="https://hrtoday.in/deepak-gupta-appointed-as-head-of-tiaa-global-capabilities-and-member-of-the-tiaa-india-board-of-directors/"/>
    <hyperlink ref="G269" r:id="rId107" display="https://careers.tiaa.org/analyst-onboarding-client-assignment/job/CE18DAD11D2B59AA57CE07977DBB34B8"/>
    <hyperlink ref="G272" r:id="rId108" display="https://careers.tiaa.org/analyst-finance-control/job/31A93F863B6F1182CFCC849708C5E845"/>
    <hyperlink ref="G275" r:id="rId109" display="https://careers.tiaa.org/analyst-associate-onboarding-client-assignment/job/73A80F1434BAEF873D854491623A81A7"/>
    <hyperlink ref="G276" r:id="rId110" display="https://www.constructionworld.in/policy-updates-and-economic-news/tiaa-global-capabilities-leases-255713-square-feet-in-pune/96764"/>
    <hyperlink ref="G278" r:id="rId111" display="https://careers.tiaa.org/analyst-finance-control/job/31A93F863B6F1182CFCC849708C5E845"/>
    <hyperlink ref="G282" r:id="rId112" display="https://www.sunlife.com/slgs/en/newsroom/press-releases/2026/sun-life-global-solutions-india-at-20/"/>
    <hyperlink ref="G283" r:id="rId113" display="https://www.cxodigitalpulse.com/?p=45758"/>
    <hyperlink ref="G284" r:id="rId114" display="https://www.sunlife.com/slgs/en/newsroom/press-releases/2024/sun-life-global-solutions-partners-with-IIT-Indore-to-foster-innovation/"/>
    <hyperlink ref="G285" r:id="rId115" display="https://www.sunlife.com/slgs/en/newsroom/press-releases/2026/sun-life-appoints-bianca-ilibasic-as-managing-director-sun-life/"/>
    <hyperlink ref="G288" r:id="rId116" display="https://www.sunlife.com/slgs/en/newsroom/press-releases/2026/sun-life-appoints-bianca-ilibasic-as-managing-director-sun-life/"/>
    <hyperlink ref="G292" r:id="rId117" display="https://www.sunlife.com/slgs/en/newsroom/press-releases/2026/sun-life-appoints-bianca-ilibasic-as-managing-director-sun-life/"/>
    <hyperlink ref="G293" r:id="rId118" display="https://www.sunlife.com/slgs/en/newsroom/press-releases/2026/sun-life-global-solutions-india-at-20/"/>
    <hyperlink ref="G296" r:id="rId119" display="https://www.sunlife.com/slgs/en/newsroom/press-releases/2026/sun-life-appoints-bianca-ilibasic-as-managing-director-sun-life/"/>
    <hyperlink ref="G300" r:id="rId120" display="https://www.digitalhealthnews.com/ansr-launches-healthcare-gcc-accelerator-platform-to-drive-ai-enabled-enterprise-transformation"/>
    <hyperlink ref="G301" r:id="rId121" display="https://ansr.com/?p=67716"/>
    <hyperlink ref="G302" r:id="rId122" display="https://www.optum.in/about/news/uma-ratnam-krishnan-top-gcc-leader-2026.html"/>
    <hyperlink ref="G303" r:id="rId123" display="https://careers.unitedhealthgroup.com/job/bengaluru/director-ai-ml-engineering-gcc-sales-and-solution/50688/96482817536"/>
    <hyperlink ref="G310" r:id="rId124" display="https://www.digitalhealthnews.com/optum-expands-healthcare-gcc-network-with-chennai-office-lease"/>
    <hyperlink ref="G317" r:id="rId125" display="https://www.prudentialplc.com/en/newsroom/company-news/2025/prudential-launches-global-services-hub-in-bengaluru-india/"/>
    <hyperlink ref="G318" r:id="rId126" display="https://builtinbengaluru.in/job/manager-ethicalhacking-penetration-testing/7540087"/>
    <hyperlink ref="G321" r:id="rId127" display="https://builtinbengaluru.in/job/senior-executive-finance-contract/7563619"/>
    <hyperlink ref="G324" r:id="rId128" display="https://www.finews.asia/finance/42932-prudential-services-india-bengaluru-technology-data-ai-software-development-automated-testing-cybersecurity"/>
    <hyperlink ref="G325" r:id="rId129" display="https://www.prudentialplc.com/en/newsroom/company-news/2026/Prudential-plc-repositions-its-India-operations-through--a-controlling-stake-in-Bharti-Life-Insurance/"/>
    <hyperlink ref="G332" r:id="rId130" display="https://finance.yahoo.com/news/principal-financial-ceo-lifts-roe-210429080.html"/>
    <hyperlink ref="G333" r:id="rId131" display="https://priglobal.com/india-offices/"/>
    <hyperlink ref="G334" r:id="rId132" display="https://in.indeed.com/Principal-Global-Services-jobs"/>
    <hyperlink ref="G337" r:id="rId133" display="https://in.indeed.com/Principal-Global-Services-jobs"/>
    <hyperlink ref="G339" r:id="rId134" display="https://finance.yahoo.com/news/principal-financial-ceo-lifts-roe-210429080.html"/>
    <hyperlink ref="G341" r:id="rId135" display="https://in.indeed.com/Principal-Global-Services-jobs"/>
    <hyperlink ref="G345" r:id="rId136" display="https://www.barandbench.com/law-firms/dealstreet/tta-assists-n2g-insurance-on-setting-up-global-capability-center-in-india"/>
    <hyperlink ref="G346" r:id="rId137" display="https://tta.in/?p=12496"/>
    <hyperlink ref="G352" r:id="rId138" display="https://www.barandbench.com/law-firms/dealstreet/tta-assists-n2g-insurance-on-setting-up-global-capability-center-in-india"/>
    <hyperlink ref="G358" r:id="rId139" display="https://www.ergo.com/en/microsite/ergo-technology-services-india/about-ets-india"/>
    <hyperlink ref="G359" r:id="rId140" display="https://www.greatplacetowork.in/great/company/ergo-technology-services-limited"/>
    <hyperlink ref="G360" r:id="rId141" display="https://www.insurancebusinessmag.com/us/news/breaking-news/ergo-group-creates-a-chief-ai-officer-role-591322.aspx"/>
    <hyperlink ref="G373" r:id="rId142" display="https://www.theweek.in/wire-updates/business/2025/09/12/dcm46-the-hartford.html"/>
    <hyperlink ref="G374" r:id="rId143" display="https://www.siasat.com/us-insurance-major-the-hartford-opens-global-tech-centre-in-hyderabad-3374371/"/>
    <hyperlink ref="G375" r:id="rId144" display="https://hrtoday.in/pritam-banerjee-joins-the-hartford-india-as-senior-director-to-lead-ai-initiatives-across-business-lines/"/>
    <hyperlink ref="G381" r:id="rId145" display="https://themachinemaker.com/news/the-hartford-opens-technology-center-in-hyderabad-to-advance-innovation-and-ai-capabilities/"/>
    <hyperlink ref="G386" r:id="rId146" display="https://explorer.hub71.com/news/feed/zurich-insurance-launches-global-capability-center-in-hyderabad-to-advance-ai-and-tech-capabilities"/>
    <hyperlink ref="G387" r:id="rId147" display="https://reinsurancene.ws/zurich-appoints-amit-kalra-to-lead-new-global-capability-center-in-india/"/>
    <hyperlink ref="G389" r:id="rId148" display="https://www.cxodigitalpulse.com/?p=61973"/>
    <hyperlink ref="G392" r:id="rId149" display="https://digitalterminal.in/amp/story/tech-companies/zurich-insurance-group-launches-new-hyderabad-gcc-to-boost-ai-growth-appoints-amit-kalra-as-global-head"/>
    <hyperlink ref="G397" r:id="rId150" display="https://www.apna.co/job/bengaluru/gen-ai-tech-lead-gr-39784-71565-jr194894-1815241818"/>
    <hyperlink ref="G398" r:id="rId151" display="https://www.businessofgcc.com/gcc-data/companies/elevance-health-india"/>
    <hyperlink ref="G399" r:id="rId152" display="https://gcc.et-edge.com/2024-hyderabad/?p=11625"/>
    <hyperlink ref="G405" r:id="rId153" display="https://www.anthem.com/content/carelon/public-cgs/us/en/home-in/about-us.html"/>
    <hyperlink ref="G410" r:id="rId154" display="https://www.intactinsurance.co.uk/india-branch/leadership"/>
    <hyperlink ref="G412" r:id="rId155" display="https://hrtoday.in/sameer-madan-joins-intact-india-as-chief-of-finance-technology-and-operations-for-india-gcc/"/>
    <hyperlink ref="G415" r:id="rId156" display="https://www.intactinsurance.co.uk/india-branch/leadership"/>
    <hyperlink ref="G416" r:id="rId157" display="https://www.theinsurer.com/ti/news/rsa-officially-rebrands-to-intact-insurance-eyes-specialty-lines-growth-2025-10-06"/>
    <hyperlink ref="G423" r:id="rId158" display="https://www.uniindia.com/business-economy/business-haryana-pfi-innovation-centre/188639"/>
    <hyperlink ref="G424" r:id="rId159" display="https://jobs.weekday.works/wkdyw7sa88"/>
    <hyperlink ref="G435" r:id="rId160" display="https://jobs.assurant.com/locations/india/"/>
    <hyperlink ref="G436" r:id="rId161" display="https://jobs.weekday.works/data-engineer-at-assurant-4405571676"/>
    <hyperlink ref="G437" r:id="rId162" display="https://builtinbengaluru.in/job/associate-technical-scientist/4134740"/>
    <hyperlink ref="G439" r:id="rId163" display="https://jobs.assurant.com/locations/india/"/>
    <hyperlink ref="G443" r:id="rId164" display="https://jobs.assurant.com/en/india-build-your-future-in-a-technology-forward-workplace/"/>
    <hyperlink ref="G444" r:id="rId165" display="https://hrtoday.in/harini-kannan-appointed-as-country-head-india-at-assurant/"/>
    <hyperlink ref="G451" r:id="rId166" display="https://www.uniindia.com/nationwide-opens-first-international-campus-in-hyderabad-to-expand-global-operations/business-economy/news/3902972.html"/>
    <hyperlink ref="G452" r:id="rId167" display="https://telanganatoday.com/us-insurance-giant-nationwide-opens-global-services-centre-in-hyderabad"/>
    <hyperlink ref="G453" r:id="rId168" display="https://www.newsbytesapp.com/news/business/nationwide-opens-1st-international-campus-in-hyderabad-to-speed-innovation/tldr"/>
    <hyperlink ref="G454" r:id="rId169" display="https://ssfglobal.in/?p=41673"/>
    <hyperlink ref="G470" r:id="rId170" display="https://builtin.com/job/finance-lead/3082704"/>
    <hyperlink ref="G479" r:id="rId171" display="https://ssfglobal.in/?p=41624"/>
    <hyperlink ref="G480" r:id="rId172" display="https://www.instahyre.com/job-332378-gen-ai-app-developer-at-voya-india-bangalore/"/>
    <hyperlink ref="G481" r:id="rId173" display="https://www.greatplacetowork.in/great/company/vfi-slk-global-sevices"/>
    <hyperlink ref="G483" r:id="rId174" display="https://accajobs.quintedge.com/jobs/sox-compliance-analyst-voya-india-7qbke6"/>
    <hyperlink ref="G485" r:id="rId175" display="https://www.greatplacetowork.in/great/company/vfi-slk-global-sevices"/>
    <hyperlink ref="G487" r:id="rId176" display="https://joinsaarthi.com/jobs/voya-financial/senior-associate-36367-bengaluru/5d4252df-6baa-49ac-89c2-13d092fefa5e"/>
    <hyperlink ref="G488" r:id="rId177" display="https://accajobs.quintedge.com/jobs/sox-compliance-analyst-voya-india-7qbke6"/>
    <hyperlink ref="G492" r:id="rId178" display="https://www.greatplacetowork.in/great/company/fnf-india-private-limited"/>
    <hyperlink ref="G497" r:id="rId179" display="https://jobs.weekday.works/walk-ins-at-fnfi-full-search-current-owner-two-owner-searchers-at-fnf-india-private-limited-wkdye0djwi"/>
    <hyperlink ref="G498" r:id="rId180" display="https://www.greatplacetowork.in/great/company/fnf-india-private-limited"/>
    <hyperlink ref="G499" r:id="rId181" display="https://jobs.weekday.works/title-specialist-at-fnf-india-private-limited-wkdyqgm2s7"/>
    <hyperlink ref="G505" r:id="rId182" display="https://www.reinsurancene.ws/alok-shukla-named-ceo-of-xl-insurance-india-reinsurance-branch/"/>
    <hyperlink ref="G506" r:id="rId183" display="https://axaxl.com/press-releases/axa-xl-strengthens-team-in-india-with-key-appointments"/>
    <hyperlink ref="G507" r:id="rId184" display="https://www.reinsurancene.ws/axa-xl-bolsters-indian-team-with-several-senior-appointments/"/>
    <hyperlink ref="G510" r:id="rId185" display="https://jobs.empower.com/india"/>
    <hyperlink ref="G511" r:id="rId186" display="https://jobs.empower.com/india"/>
    <hyperlink ref="G512" r:id="rId187" display="https://jobs.haceonline.org/job/specialist-processing-participant-transaction/83839144/"/>
    <hyperlink ref="G513" r:id="rId188" display="https://www.thecompanycheck.com/company/empower-global-business-services-india-private-limited/U74900KA2014FTC077522"/>
    <hyperlink ref="G518" r:id="rId189" display="https://esi.in/finance/insurance/reinsurer-branches/general-reinsurance-ag-india-branch/"/>
    <hyperlink ref="G519" r:id="rId190" display="https://www.intelligentinsurer.com/aon-recruits-gen-re-actuary-to-strengthen-new-landh-practice-in-india"/>
    <hyperlink ref="G524" r:id="rId191" display="https://www.lloyds.com/insights/news/new-local-partner-in-India"/>
    <hyperlink ref="G525" r:id="rId192" display="https://www.insurancebusinessmag.com/asia/news/breaking-news/lloyds-follows-partnerre-into-india-reinsurance-hub-570097.aspx"/>
    <hyperlink ref="G526" r:id="rId193" display="https://www.insurancebusinessmag.com/asia/news/breaking-news/polo-backs-first-lloyds-syndicate-in-indias-gift-city-571939.aspx"/>
    <hyperlink ref="G527" r:id="rId194" display="https://www.reinsurancene.ws/lloyds-reported-to-have-applied-to-set-up-in-indias-gift-city/"/>
    <hyperlink ref="G532" r:id="rId195" display="https://www.reinsurancene.ws/gallagher-creates-india-parametric-pandemic-policy-reinsured-by-munich-re/"/>
    <hyperlink ref="G533" r:id="rId196" display="https://www.munichre.com/en/company/media-relations/media-information-and-corporate-news/media-information/2024/media-release-2024-04-18.html"/>
    <hyperlink ref="G534" r:id="rId197" display="https://www.intelligentinsurer.com/axa-xl-lands-munich-re-talent-for-new-india-reinsurance-ceo"/>
    <hyperlink ref="G543" r:id="rId198" display="https://www.rgare.com/our-company/people/detail/sunil-sharma"/>
    <hyperlink ref="G544" r:id="rId199" display="https://www.rgare.com/global-presence/asia-pacific/india"/>
    <hyperlink ref="G555" r:id="rId200" display="https://www.scor.com/en/scor-se-india-branch"/>
    <hyperlink ref="G556" r:id="rId201" display="https://www.scor.com/sites/default/files/2022-12/NL-42-BOD.pdf"/>
    <hyperlink ref="G560" r:id="rId202" display="https://www.business-standard.com/companies/interviews/india-to-soon-have-about-50-of-swiss-re-s-global-tech-talent-amit-kalra-125051100389_1.html"/>
    <hyperlink ref="G561" r:id="rId203" display="https://www.swissre.com/careers/india.html"/>
    <hyperlink ref="G562" r:id="rId204" display="https://www.swissre.com/careers/indiatech.html"/>
    <hyperlink ref="G563" r:id="rId205" display="https://reinasia.com/zurich-taps-amit-kalra-to-lead-new-global-capability-centre-in-india/"/>
    <hyperlink ref="G564" r:id="rId206" display="https://careers.swissre.com/job/Bangalore-Accountant-II-KA/1199902701"/>
    <hyperlink ref="G565" r:id="rId207" display="https://www.reinsurancene.ws/swiss-re-veteran-amitabha-ray-appointed-as-ceo-of-india-branch/"/>
    <hyperlink ref="G566" r:id="rId208" display="https://www.thecompanycheck.com/company/swiss-re-global-business-solutions-india-private-limited/U74140KA2000PTC027640"/>
    <hyperlink ref="G576" r:id="rId209" display="https://policyholder.gov.in/en/web/guest/orders1"/>
    <hyperlink ref="G577" r:id="rId210" display="https://www.reinsurancene.ws/africa-specialty-risks-appoints-laxmeekant-walikar-as-principal-officer-md-india/"/>
    <hyperlink ref="G578" r:id="rId211" display="https://insuranceasianews.com/lloyds-player-volante-global-launches-india-office/"/>
    <hyperlink ref="G591" r:id="rId212" display="https://www.reinsurancene.ws/alok-shukla-named-ceo-of-xl-insurance-india-reinsurance-branch/"/>
    <hyperlink ref="G592" r:id="rId213" display="https://axaxl.com/press-releases/axa-xl-strengthens-team-in-india-with-key-appointments"/>
    <hyperlink ref="G593" r:id="rId214" display="https://axaxl.com/reinsurance/our-companies/xl-insurance-company-se"/>
    <hyperlink ref="G600" r:id="rId215" display="https://careers.wtwco.com/blogs/our-stories/wtw-india-gdc-awards-2025"/>
    <hyperlink ref="G601" r:id="rId216" display="https://tracxn.com/d/legal-entities/india/wtw-global-delivery-and-solutions-india-private-limited/__c4hDJphJM88IL8sC-3ZHwyi1mCcbWCzqt21Akt8zuOE"/>
    <hyperlink ref="G604" r:id="rId217" display="https://careers.wtwco.com/jobs/business-analyst-mumbai-maharashtra-india-thane"/>
    <hyperlink ref="G608" r:id="rId218" display="https://www.wtwco.com/en-in/news/2025/07/willis-is-named-best-broker-in-india-indonesia-the-philippines-singapore-and-vietnam-at-the-2025"/>
    <hyperlink ref="G609" r:id="rId219" display="https://www.insurancebusinessmag.com/asia/news/travel/wtws-willis-taps-new-head-for-india-aviation-insurance-532935.aspx"/>
    <hyperlink ref="G610" r:id="rId220" display="https://www.wtwco.com/en-in/insights/2024/11/wtw-named-as-broker-of-the-year-in-asia"/>
    <hyperlink ref="G612" r:id="rId221" display="https://careers.wtwco.com/zh/jobs/senior-soc-sme-system-and-organization-controls-mumbai-maharashtra-india"/>
    <hyperlink ref="G617" r:id="rId222" display="https://www.insurancebusinessmag.com/reinsurance/news/breaking-news/lockton-taps-aons-renuka-nar-to-lead-life-and-health-reinsurance-in-india-566052.aspx"/>
    <hyperlink ref="G618" r:id="rId223" display="https://global.lockton.com/in/en/news-insights/lockton-indias-strategic-growth-navigating-insurance-markets-and-expanding"/>
    <hyperlink ref="G619" r:id="rId224" display="https://global.lockton.com/in/en/news-insights/lockton-india-strengthens-customer-confidence-in-ev-ownership-through-jsw-mg"/>
    <hyperlink ref="G620" r:id="rId225" display="https://global.lockton.com/apac/en/news-insights/lockton-recognized-for-brokerage-and-claims-excellence-across-asia"/>
    <hyperlink ref="G621" r:id="rId226" display="https://www.hrkatha.com/people/movement/sudip-indani-joins-lockton-as-md-people-solutions/"/>
    <hyperlink ref="G625" r:id="rId227" display="https://www.reinsurancene.ws/bms-establishes-global-capability-centre-in-mumbai-led-by-nipun-mapara/"/>
    <hyperlink ref="G626" r:id="rId228" display="https://www.insurancebusinessmag.com/reinsurance/news/breaking-news/bms-expands-ai-and-analytics-footprint-in-india-580123.aspx"/>
    <hyperlink ref="G627" r:id="rId229" display="https://www.bmsgroup.com/en/news/bms-opens-global-capability-centre-in-mumbai"/>
    <hyperlink ref="G629" r:id="rId230" display="https://asiainsurancepost.com/archives/81504"/>
    <hyperlink ref="G630" r:id="rId231" display="https://insurance-edge.net/2026/06/23/bms-opens-global-capability-centre-in-mumbai/"/>
    <hyperlink ref="G631" r:id="rId232" display="https://www.bmsgroup.com/en/news/bms-opens-global-capability-centre-in-mumbai"/>
    <hyperlink ref="G635" r:id="rId233" display="https://www.allianz.com/en/mediacenter/news/media-releases/financials/260326-allianz-jio-reinsurance-limited-commences-operations.html"/>
    <hyperlink ref="G637" r:id="rId234" display="https://www.allianz.com/en/mediacenter/news/media-releases/financials/260326-allianz-jio-reinsurance-limited-commences-operations.html"/>
    <hyperlink ref="G638" r:id="rId235" display="https://www.insurancebusinessmag.com/reinsurance/news/breaking-news/allianz-jio-re-starts-operations-in-india-reinsurance-sector-570048.aspx"/>
    <hyperlink ref="G639" r:id="rId236" display="https://reinasia.com/allianz-jio-re-receives-approval-to-begin-reinsurance-operations-in-india-names-sonia-rawal-as-ceo/"/>
    <hyperlink ref="G649" r:id="rId237" display="https://www.reinsurancene.ws/korean-re-approved-to-establish-branch-in-indias-gift-city"/>
    <hyperlink ref="G650" r:id="rId238" display="https://eng.koreanre.co.kr/webzine/Bulletin_198/bull3.html"/>
    <hyperlink ref="G655" r:id="rId239" display="https://reinasia.com/mapfre-re-adds-treaty-underwriting-and-finance-hires-in-india/"/>
    <hyperlink ref="G656" r:id="rId240" display="https://www.mapfre.com/en/communicate/corporate-communicate/mapfre-re-approval-opening-branch-office-india/"/>
    <hyperlink ref="G657" r:id="rId241" display="https://www.mapfre.com/en/communicate/corporate-communicate/mapfre-re-appointment-head-india-branch/"/>
    <hyperlink ref="G658" r:id="rId242" display="https://reinasia.com/mapfre-re-adds-treaty-underwriting-and-finance-hires-in-india/"/>
    <hyperlink ref="G663" r:id="rId243" display="https://www.everestglobal.com/bm-en/news-media/press-releases/2025/everest-reinsurance-expands-apac-footprint-with-new-office-in-indias-gift-city"/>
    <hyperlink ref="G664" r:id="rId244" display="https://www.scconline.com/blog/post/2025/10/28/cam-advises-everest-reinsurance-ifsc-insurance-office-gift-city/"/>
    <hyperlink ref="G668" r:id="rId245" display="https://reinasia.com/berkley-officially-begins-india-operations-becomes-first-pc-insurer-in-gift-city-with-dual-licences/"/>
    <hyperlink ref="G669" r:id="rId246" display="https://www.businesswire.com/news/home/20241219735973/en/W.-R.-Berkley-Corporation-Establishes-Branch-Office-of-Berkley-Insurance-Company-in-India"/>
    <hyperlink ref="G670" r:id="rId247" display="https://www.insurancebusinessmag.com/asia/news/breaking-news/berkley-gift-city-branch-first-pandc-with-dual-licences-559861.aspx"/>
    <hyperlink ref="G675" r:id="rId248" display="https://www.partnerre.com/news/partnerre-to-establish-a-branch-in-indias-gift-city-gujarat-international-finance-tec-city/"/>
    <hyperlink ref="G676" r:id="rId249" display="https://www.reinsurancene.ws/partnerre-names-ankur-gupta-as-ceo-india/"/>
    <hyperlink ref="G681" r:id="rId250" display="https://www.businesswire.com/news/home/20260608431690/en"/>
    <hyperlink ref="G682" r:id="rId251" display="https://www.reinsurancene.ws/igi-to-open-a-new-branch-in-indias-gift-city-as-it-secures-license/"/>
    <hyperlink ref="G687" r:id="rId252" display="https://www.reinsurancene.ws/santam-becomes-first-brics-based-insurer-to-set-up-presence-in-india-gift-city/"/>
    <hyperlink ref="G688" r:id="rId253" display="https://www.moonstone.co.za/santam-authorised-to-establish-ifsc-reinsurance-office-in-india/"/>
    <hyperlink ref="G700" r:id="rId254" display="https://www.insurancebusinessmag.com/reinsurance/news/breaking-news/echo-re-opens-first-branch-outside-zurich-in-indias-gift-city-568642.aspx"/>
    <hyperlink ref="G701" r:id="rId255" display="https://reinasia.com/rajil-khare-joins-echo-re-as-senior-underwriter-indian-subcontinent/"/>
    <hyperlink ref="G702" r:id="rId256" display="https://www.reinsurancene.ws/ankur-sharma-named-principal-officer-of-echo-res-india-branch/"/>
    <hyperlink ref="G707" r:id="rId257" display="https://www.saudiexchange.sa/wps/portal/saudiexchange/newsandreports/issuer-news/issuer-announcements/issuer-announcements-details/?anId=92665"/>
    <hyperlink ref="G708" r:id="rId258" display="https://www.insurancebusinessmag.com/reinsurance/news/breaking-news/indias-gift-city-scores-another-reinsurance-heavyweight-with-saudi-re-branch-launch-563231.aspx"/>
    <hyperlink ref="G709" r:id="rId259" display="https://www.reinsurancene.ws/ruchi-jain-named-principal-officer-of-saudi-res-iio-gift-city-india-branch/"/>
    <hyperlink ref="G714" r:id="rId260" display="https://qna.org.qa/en/News-Area/News/2026-8/26/qatar-islamic-insurance-group-obtains-license-to-open-branch-in-india"/>
    <hyperlink ref="G715" r:id="rId261" display="https://www.reinsurancene.ws/qatar-islamic-insurance-to-establish-its-reinsurance-branch-in-indias-gift-city/"/>
    <hyperlink ref="G720" r:id="rId262" display="https://www.wam.ae/en/article/bygeu7d-adnic-open-new-branch-india"/>
    <hyperlink ref="G721" r:id="rId263" display="https://meinsurancereview.com/News/ViewNewsLetterArticle/id/95245/type/MiddleEast/UAE-ADNIC-receives-licence-for-branch-in-India-s-GIFT-City"/>
    <hyperlink ref="G725" r:id="rId264" display="https://www.reinsurancene.ws/ms-first-capital-begins-reinsurance-operations-from-indias-gift-city/"/>
    <hyperlink ref="G726" r:id="rId265" display="https://www.reinsurancene.ws/ms-first-capital-begins-reinsurance-operations-from-indias-gift-city/"/>
    <hyperlink ref="G727" r:id="rId266" display="https://reinasia.com/ms-first-capital-kicks-off-reinsurance-operations-from-gift-city/"/>
    <hyperlink ref="G730" r:id="rId267" display="https://inc42.com/buzz/inrisk-labs-raises-27-mn-to-scale-ai-led-reinsurance-platform-earthre/"/>
    <hyperlink ref="G731" r:id="rId268" display="https://www.dealstreetasia.com/stories/bessemer-northpoint-inrisk-labs-491236"/>
    <hyperlink ref="G732" r:id="rId269" display="https://yourstory.com/2026/08/insurtech-startup-inrisk-labs-raises-27-million-in-series-a"/>
    <hyperlink ref="G733" r:id="rId270" display="https://www.reinsurancene.ws/earthre-gets-reinsurance-licence-for-gift-city-as-parent-inrisk-labs-closes-series-a/"/>
    <hyperlink ref="G734" r:id="rId271" display="https://inc42.com/buzz/inrisk-labs-raises-27-mn-to-scale-ai-led-reinsurance-platform-earthre/"/>
    <hyperlink ref="G739" r:id="rId272" display="https://www.allianz-partners.com/en_IN/in-the-news/press-releases/Allianz-Partners-becomes-the-First-Foreign-Reinsurer-to-launch-operations-in-GIFT-City.html"/>
    <hyperlink ref="G740" r:id="rId273" display="https://www.insurancebusinessmag.com/reinsurance/news/breaking-news/allianz-partners-marks-reinsurance-milestone-in-india-484363.aspx"/>
    <hyperlink ref="G745" r:id="rId274" display="https://www.insurancebusinessmag.com/reinsurance/news/breaking-news/sing-re-receives-ifsca-approval-to-open-branch-in-gift-city-540076.aspx"/>
    <hyperlink ref="G746" r:id="rId275" display="https://www.reinsurancene.ws/singapore-re-secures-reinsurance-branch-license-to-operate-as-iio-in-indias-gift-city/"/>
    <hyperlink ref="G751" r:id="rId276" display="https://peak-re.com/en/company/press/peak-re-secures-licence-to-operate-in-gift-ifsc-india/"/>
    <hyperlink ref="G752" r:id="rId277" display="https://www.reinsurancene.ws/peak-re-granted-licence-to-operate-in-gift-ifsc-india/"/>
    <hyperlink ref="G753" r:id="rId278" display="https://www.theinsurer.com/ti/viewpoint/peak-re-dedicated-to-growing-the-indian-market-2025-09-09"/>
    <hyperlink ref="G758" r:id="rId279" display="https://thegroup.com.qa/groupdownload/newsreport//NEWS202412250856025968.html"/>
    <hyperlink ref="G759" r:id="rId280" display="https://atlas-mag.net/en/articles/doha-insurance-group-expands-reinsurance-operations-india"/>
    <hyperlink ref="G760" r:id="rId281" display="https://www.businessinsurance.com/doha-insurance-expands-reinsurance-operation-to-india/"/>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8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12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24"/>
    <col collapsed="false" customWidth="true" hidden="false" outlineLevel="0" max="4" min="4" style="0" width="21"/>
    <col collapsed="false" customWidth="true" hidden="false" outlineLevel="0" max="5" min="5" style="0" width="22"/>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10"/>
    <col collapsed="false" customWidth="true" hidden="false" outlineLevel="0" max="10" min="10" style="0" width="92"/>
    <col collapsed="false" customWidth="true" hidden="false" outlineLevel="0" max="11" min="11" style="0" width="58"/>
  </cols>
  <sheetData>
    <row r="1" customFormat="false" ht="24" hidden="false" customHeight="true" outlineLevel="0" collapsed="false">
      <c r="A1" s="333" t="s">
        <v>4755</v>
      </c>
      <c r="B1" s="333"/>
      <c r="C1" s="333"/>
      <c r="D1" s="333"/>
      <c r="E1" s="333"/>
      <c r="F1" s="333"/>
      <c r="G1" s="333"/>
      <c r="H1" s="333"/>
      <c r="I1" s="333"/>
      <c r="J1" s="333"/>
      <c r="K1" s="333"/>
    </row>
    <row r="2" customFormat="false" ht="21.75" hidden="false" customHeight="true" outlineLevel="0" collapsed="false">
      <c r="A2" s="334" t="s">
        <v>4756</v>
      </c>
      <c r="B2" s="334" t="s">
        <v>4757</v>
      </c>
      <c r="C2" s="335" t="s">
        <v>4758</v>
      </c>
      <c r="D2" s="335" t="s">
        <v>4759</v>
      </c>
      <c r="E2" s="335" t="s">
        <v>4760</v>
      </c>
      <c r="F2" s="336" t="s">
        <v>4761</v>
      </c>
      <c r="G2" s="336"/>
      <c r="H2" s="336"/>
      <c r="I2" s="336"/>
      <c r="J2" s="336"/>
      <c r="K2" s="336"/>
    </row>
    <row r="3" customFormat="false" ht="25.5" hidden="false" customHeight="true" outlineLevel="0" collapsed="false">
      <c r="A3" s="334"/>
      <c r="B3" s="334"/>
      <c r="C3" s="335"/>
      <c r="D3" s="335"/>
      <c r="E3" s="335"/>
      <c r="F3" s="337" t="s">
        <v>711</v>
      </c>
      <c r="G3" s="337" t="s">
        <v>712</v>
      </c>
      <c r="H3" s="337" t="s">
        <v>4762</v>
      </c>
      <c r="I3" s="337" t="s">
        <v>4763</v>
      </c>
      <c r="J3" s="337" t="s">
        <v>4764</v>
      </c>
      <c r="K3" s="337" t="s">
        <v>171</v>
      </c>
    </row>
    <row r="4" customFormat="false" ht="18" hidden="false" customHeight="true" outlineLevel="0" collapsed="false">
      <c r="A4" s="338" t="s">
        <v>4765</v>
      </c>
      <c r="B4" s="338"/>
      <c r="C4" s="338"/>
      <c r="D4" s="338"/>
      <c r="E4" s="338"/>
      <c r="F4" s="338"/>
      <c r="G4" s="338"/>
      <c r="H4" s="338"/>
      <c r="I4" s="338"/>
      <c r="J4" s="338"/>
      <c r="K4" s="338"/>
    </row>
    <row r="5" customFormat="false" ht="119.25" hidden="false" customHeight="true" outlineLevel="0" collapsed="false">
      <c r="A5" s="339" t="s">
        <v>4766</v>
      </c>
      <c r="B5" s="340" t="s">
        <v>4767</v>
      </c>
      <c r="C5" s="341" t="s">
        <v>4768</v>
      </c>
      <c r="D5" s="341" t="s">
        <v>4769</v>
      </c>
      <c r="E5" s="341" t="s">
        <v>4770</v>
      </c>
      <c r="F5" s="342" t="s">
        <v>4771</v>
      </c>
      <c r="G5" s="342" t="s">
        <v>4771</v>
      </c>
      <c r="H5" s="342" t="s">
        <v>4771</v>
      </c>
      <c r="I5" s="342" t="s">
        <v>4772</v>
      </c>
      <c r="J5" s="343" t="s">
        <v>4773</v>
      </c>
      <c r="K5" s="344" t="s">
        <v>4774</v>
      </c>
    </row>
    <row r="6" customFormat="false" ht="109.5" hidden="false" customHeight="true" outlineLevel="0" collapsed="false">
      <c r="A6" s="345" t="s">
        <v>4775</v>
      </c>
      <c r="B6" s="346" t="s">
        <v>4776</v>
      </c>
      <c r="C6" s="347" t="s">
        <v>4777</v>
      </c>
      <c r="D6" s="347" t="s">
        <v>4769</v>
      </c>
      <c r="E6" s="347" t="s">
        <v>4778</v>
      </c>
      <c r="F6" s="348" t="s">
        <v>4771</v>
      </c>
      <c r="G6" s="348" t="s">
        <v>4772</v>
      </c>
      <c r="H6" s="348" t="s">
        <v>4771</v>
      </c>
      <c r="I6" s="348" t="s">
        <v>4772</v>
      </c>
      <c r="J6" s="349" t="s">
        <v>4779</v>
      </c>
      <c r="K6" s="350" t="s">
        <v>4780</v>
      </c>
    </row>
    <row r="7" customFormat="false" ht="28.5" hidden="false" customHeight="true" outlineLevel="0" collapsed="false">
      <c r="A7" s="339" t="s">
        <v>4781</v>
      </c>
      <c r="B7" s="340" t="s">
        <v>739</v>
      </c>
      <c r="C7" s="341" t="s">
        <v>4777</v>
      </c>
      <c r="D7" s="341" t="s">
        <v>4782</v>
      </c>
      <c r="E7" s="341" t="s">
        <v>760</v>
      </c>
      <c r="F7" s="342" t="s">
        <v>4772</v>
      </c>
      <c r="G7" s="342" t="s">
        <v>4772</v>
      </c>
      <c r="H7" s="342" t="s">
        <v>4772</v>
      </c>
      <c r="I7" s="342" t="s">
        <v>4772</v>
      </c>
      <c r="J7" s="343" t="s">
        <v>4783</v>
      </c>
      <c r="K7" s="343"/>
    </row>
    <row r="8" customFormat="false" ht="109.5" hidden="false" customHeight="true" outlineLevel="0" collapsed="false">
      <c r="A8" s="345" t="s">
        <v>4784</v>
      </c>
      <c r="B8" s="346" t="s">
        <v>739</v>
      </c>
      <c r="C8" s="347" t="s">
        <v>4785</v>
      </c>
      <c r="D8" s="347" t="s">
        <v>4769</v>
      </c>
      <c r="E8" s="347" t="s">
        <v>4786</v>
      </c>
      <c r="F8" s="348" t="s">
        <v>4771</v>
      </c>
      <c r="G8" s="348" t="s">
        <v>4772</v>
      </c>
      <c r="H8" s="348" t="s">
        <v>4771</v>
      </c>
      <c r="I8" s="348" t="s">
        <v>4772</v>
      </c>
      <c r="J8" s="349" t="s">
        <v>4787</v>
      </c>
      <c r="K8" s="350" t="s">
        <v>4788</v>
      </c>
    </row>
    <row r="9" customFormat="false" ht="75" hidden="false" customHeight="true" outlineLevel="0" collapsed="false">
      <c r="A9" s="339" t="s">
        <v>4789</v>
      </c>
      <c r="B9" s="340" t="s">
        <v>4790</v>
      </c>
      <c r="C9" s="341" t="s">
        <v>4791</v>
      </c>
      <c r="D9" s="341" t="s">
        <v>4769</v>
      </c>
      <c r="E9" s="341" t="s">
        <v>1240</v>
      </c>
      <c r="F9" s="342" t="s">
        <v>4771</v>
      </c>
      <c r="G9" s="342" t="s">
        <v>4772</v>
      </c>
      <c r="H9" s="342" t="s">
        <v>4771</v>
      </c>
      <c r="I9" s="342" t="s">
        <v>4772</v>
      </c>
      <c r="J9" s="343" t="s">
        <v>4792</v>
      </c>
      <c r="K9" s="344" t="s">
        <v>4793</v>
      </c>
    </row>
    <row r="10" customFormat="false" ht="140.25" hidden="false" customHeight="true" outlineLevel="0" collapsed="false">
      <c r="A10" s="345" t="s">
        <v>4794</v>
      </c>
      <c r="B10" s="346" t="s">
        <v>4795</v>
      </c>
      <c r="C10" s="347" t="s">
        <v>4796</v>
      </c>
      <c r="D10" s="347" t="s">
        <v>4797</v>
      </c>
      <c r="E10" s="347" t="s">
        <v>4798</v>
      </c>
      <c r="F10" s="348" t="s">
        <v>4771</v>
      </c>
      <c r="G10" s="348" t="s">
        <v>4771</v>
      </c>
      <c r="H10" s="348" t="s">
        <v>4771</v>
      </c>
      <c r="I10" s="348" t="s">
        <v>4772</v>
      </c>
      <c r="J10" s="349" t="s">
        <v>4799</v>
      </c>
      <c r="K10" s="350" t="s">
        <v>4800</v>
      </c>
    </row>
    <row r="11" customFormat="false" ht="119.25" hidden="false" customHeight="true" outlineLevel="0" collapsed="false">
      <c r="A11" s="339" t="s">
        <v>4801</v>
      </c>
      <c r="B11" s="340" t="s">
        <v>4802</v>
      </c>
      <c r="C11" s="341" t="s">
        <v>4803</v>
      </c>
      <c r="D11" s="341" t="s">
        <v>4769</v>
      </c>
      <c r="E11" s="341" t="s">
        <v>4804</v>
      </c>
      <c r="F11" s="342" t="s">
        <v>4771</v>
      </c>
      <c r="G11" s="342" t="s">
        <v>4772</v>
      </c>
      <c r="H11" s="342" t="s">
        <v>4771</v>
      </c>
      <c r="I11" s="342" t="s">
        <v>4772</v>
      </c>
      <c r="J11" s="343" t="s">
        <v>4805</v>
      </c>
      <c r="K11" s="344" t="s">
        <v>4806</v>
      </c>
    </row>
    <row r="12" customFormat="false" ht="97.5" hidden="false" customHeight="true" outlineLevel="0" collapsed="false">
      <c r="A12" s="345" t="s">
        <v>4807</v>
      </c>
      <c r="B12" s="346" t="s">
        <v>739</v>
      </c>
      <c r="C12" s="347" t="s">
        <v>4808</v>
      </c>
      <c r="D12" s="347" t="s">
        <v>4769</v>
      </c>
      <c r="E12" s="347" t="s">
        <v>4809</v>
      </c>
      <c r="F12" s="348" t="s">
        <v>4771</v>
      </c>
      <c r="G12" s="348" t="s">
        <v>4771</v>
      </c>
      <c r="H12" s="348" t="s">
        <v>4771</v>
      </c>
      <c r="I12" s="348" t="s">
        <v>4772</v>
      </c>
      <c r="J12" s="349" t="s">
        <v>4810</v>
      </c>
      <c r="K12" s="350" t="s">
        <v>4811</v>
      </c>
    </row>
    <row r="13" customFormat="false" ht="119.25" hidden="false" customHeight="true" outlineLevel="0" collapsed="false">
      <c r="A13" s="339" t="s">
        <v>4812</v>
      </c>
      <c r="B13" s="340" t="s">
        <v>4813</v>
      </c>
      <c r="C13" s="341" t="s">
        <v>4808</v>
      </c>
      <c r="D13" s="341" t="s">
        <v>4769</v>
      </c>
      <c r="E13" s="341" t="s">
        <v>4814</v>
      </c>
      <c r="F13" s="342" t="s">
        <v>4771</v>
      </c>
      <c r="G13" s="342" t="s">
        <v>4771</v>
      </c>
      <c r="H13" s="342" t="s">
        <v>4771</v>
      </c>
      <c r="I13" s="342" t="s">
        <v>4772</v>
      </c>
      <c r="J13" s="343" t="s">
        <v>4815</v>
      </c>
      <c r="K13" s="344" t="s">
        <v>4816</v>
      </c>
    </row>
    <row r="14" customFormat="false" ht="67.5" hidden="false" customHeight="true" outlineLevel="0" collapsed="false">
      <c r="A14" s="345" t="s">
        <v>4817</v>
      </c>
      <c r="B14" s="346" t="s">
        <v>4818</v>
      </c>
      <c r="C14" s="347" t="s">
        <v>4819</v>
      </c>
      <c r="D14" s="347" t="s">
        <v>4820</v>
      </c>
      <c r="E14" s="347" t="s">
        <v>4821</v>
      </c>
      <c r="F14" s="348" t="s">
        <v>4771</v>
      </c>
      <c r="G14" s="348" t="s">
        <v>4772</v>
      </c>
      <c r="H14" s="348" t="s">
        <v>4772</v>
      </c>
      <c r="I14" s="348" t="s">
        <v>4772</v>
      </c>
      <c r="J14" s="349" t="s">
        <v>4822</v>
      </c>
      <c r="K14" s="350" t="s">
        <v>4823</v>
      </c>
    </row>
    <row r="15" customFormat="false" ht="119.25" hidden="false" customHeight="true" outlineLevel="0" collapsed="false">
      <c r="A15" s="339" t="s">
        <v>4824</v>
      </c>
      <c r="B15" s="340" t="s">
        <v>739</v>
      </c>
      <c r="C15" s="341" t="s">
        <v>4825</v>
      </c>
      <c r="D15" s="341" t="s">
        <v>4769</v>
      </c>
      <c r="E15" s="341" t="s">
        <v>4826</v>
      </c>
      <c r="F15" s="342" t="s">
        <v>4771</v>
      </c>
      <c r="G15" s="342" t="s">
        <v>4772</v>
      </c>
      <c r="H15" s="342" t="s">
        <v>4771</v>
      </c>
      <c r="I15" s="342" t="s">
        <v>4772</v>
      </c>
      <c r="J15" s="343" t="s">
        <v>4827</v>
      </c>
      <c r="K15" s="344" t="s">
        <v>4828</v>
      </c>
    </row>
    <row r="16" customFormat="false" ht="109.5" hidden="false" customHeight="true" outlineLevel="0" collapsed="false">
      <c r="A16" s="345" t="s">
        <v>4829</v>
      </c>
      <c r="B16" s="346" t="s">
        <v>4830</v>
      </c>
      <c r="C16" s="347" t="s">
        <v>4831</v>
      </c>
      <c r="D16" s="347" t="s">
        <v>4769</v>
      </c>
      <c r="E16" s="347" t="s">
        <v>4832</v>
      </c>
      <c r="F16" s="348" t="s">
        <v>4771</v>
      </c>
      <c r="G16" s="348" t="s">
        <v>4772</v>
      </c>
      <c r="H16" s="348" t="s">
        <v>4771</v>
      </c>
      <c r="I16" s="348" t="s">
        <v>4772</v>
      </c>
      <c r="J16" s="349" t="s">
        <v>4833</v>
      </c>
      <c r="K16" s="350" t="s">
        <v>4834</v>
      </c>
    </row>
    <row r="17" customFormat="false" ht="97.5" hidden="false" customHeight="true" outlineLevel="0" collapsed="false">
      <c r="A17" s="339" t="s">
        <v>4835</v>
      </c>
      <c r="B17" s="340" t="s">
        <v>4836</v>
      </c>
      <c r="C17" s="341" t="s">
        <v>4837</v>
      </c>
      <c r="D17" s="341" t="s">
        <v>4769</v>
      </c>
      <c r="E17" s="341" t="s">
        <v>4838</v>
      </c>
      <c r="F17" s="342" t="s">
        <v>4771</v>
      </c>
      <c r="G17" s="342" t="s">
        <v>4771</v>
      </c>
      <c r="H17" s="342" t="s">
        <v>4771</v>
      </c>
      <c r="I17" s="342" t="s">
        <v>4772</v>
      </c>
      <c r="J17" s="343" t="s">
        <v>4839</v>
      </c>
      <c r="K17" s="344" t="s">
        <v>4840</v>
      </c>
    </row>
    <row r="18" customFormat="false" ht="99" hidden="false" customHeight="true" outlineLevel="0" collapsed="false">
      <c r="A18" s="345" t="s">
        <v>4841</v>
      </c>
      <c r="B18" s="346" t="s">
        <v>4842</v>
      </c>
      <c r="C18" s="347" t="s">
        <v>4843</v>
      </c>
      <c r="D18" s="347" t="s">
        <v>4844</v>
      </c>
      <c r="E18" s="347" t="s">
        <v>939</v>
      </c>
      <c r="F18" s="348" t="s">
        <v>4772</v>
      </c>
      <c r="G18" s="348" t="s">
        <v>4771</v>
      </c>
      <c r="H18" s="348" t="s">
        <v>4771</v>
      </c>
      <c r="I18" s="348" t="s">
        <v>4772</v>
      </c>
      <c r="J18" s="349" t="s">
        <v>4845</v>
      </c>
      <c r="K18" s="350" t="s">
        <v>4846</v>
      </c>
    </row>
    <row r="19" customFormat="false" ht="57.75" hidden="false" customHeight="true" outlineLevel="0" collapsed="false">
      <c r="A19" s="339" t="s">
        <v>4847</v>
      </c>
      <c r="B19" s="340" t="s">
        <v>4848</v>
      </c>
      <c r="C19" s="341" t="s">
        <v>4849</v>
      </c>
      <c r="D19" s="341" t="s">
        <v>4850</v>
      </c>
      <c r="E19" s="341" t="s">
        <v>939</v>
      </c>
      <c r="F19" s="342" t="s">
        <v>4772</v>
      </c>
      <c r="G19" s="342" t="s">
        <v>4772</v>
      </c>
      <c r="H19" s="342" t="s">
        <v>4771</v>
      </c>
      <c r="I19" s="342" t="s">
        <v>4772</v>
      </c>
      <c r="J19" s="343" t="s">
        <v>4851</v>
      </c>
      <c r="K19" s="344" t="s">
        <v>4852</v>
      </c>
    </row>
    <row r="20" customFormat="false" ht="75" hidden="false" customHeight="true" outlineLevel="0" collapsed="false">
      <c r="A20" s="345" t="s">
        <v>4853</v>
      </c>
      <c r="B20" s="346" t="s">
        <v>4854</v>
      </c>
      <c r="C20" s="347" t="s">
        <v>4855</v>
      </c>
      <c r="D20" s="347" t="s">
        <v>4769</v>
      </c>
      <c r="E20" s="347" t="s">
        <v>4856</v>
      </c>
      <c r="F20" s="348" t="s">
        <v>4771</v>
      </c>
      <c r="G20" s="348" t="s">
        <v>4772</v>
      </c>
      <c r="H20" s="348" t="s">
        <v>4771</v>
      </c>
      <c r="I20" s="348" t="s">
        <v>4772</v>
      </c>
      <c r="J20" s="349" t="s">
        <v>4857</v>
      </c>
      <c r="K20" s="350" t="s">
        <v>4858</v>
      </c>
    </row>
    <row r="21" customFormat="false" ht="109.5" hidden="false" customHeight="true" outlineLevel="0" collapsed="false">
      <c r="A21" s="339" t="s">
        <v>4859</v>
      </c>
      <c r="B21" s="340" t="s">
        <v>4860</v>
      </c>
      <c r="C21" s="341" t="s">
        <v>4861</v>
      </c>
      <c r="D21" s="341" t="s">
        <v>4769</v>
      </c>
      <c r="E21" s="341" t="s">
        <v>981</v>
      </c>
      <c r="F21" s="342" t="s">
        <v>4771</v>
      </c>
      <c r="G21" s="342" t="s">
        <v>4771</v>
      </c>
      <c r="H21" s="342" t="s">
        <v>4771</v>
      </c>
      <c r="I21" s="342" t="s">
        <v>4772</v>
      </c>
      <c r="J21" s="343" t="s">
        <v>4862</v>
      </c>
      <c r="K21" s="344" t="s">
        <v>4863</v>
      </c>
    </row>
    <row r="22" customFormat="false" ht="99" hidden="false" customHeight="true" outlineLevel="0" collapsed="false">
      <c r="A22" s="345" t="s">
        <v>4864</v>
      </c>
      <c r="B22" s="346" t="s">
        <v>4865</v>
      </c>
      <c r="C22" s="347" t="s">
        <v>4866</v>
      </c>
      <c r="D22" s="347" t="s">
        <v>4769</v>
      </c>
      <c r="E22" s="347" t="s">
        <v>4867</v>
      </c>
      <c r="F22" s="348" t="s">
        <v>4771</v>
      </c>
      <c r="G22" s="348" t="s">
        <v>4771</v>
      </c>
      <c r="H22" s="348" t="s">
        <v>4771</v>
      </c>
      <c r="I22" s="348" t="s">
        <v>4772</v>
      </c>
      <c r="J22" s="349" t="s">
        <v>4868</v>
      </c>
      <c r="K22" s="350" t="s">
        <v>4869</v>
      </c>
    </row>
    <row r="23" customFormat="false" ht="51.75" hidden="false" customHeight="true" outlineLevel="0" collapsed="false">
      <c r="A23" s="339" t="s">
        <v>4870</v>
      </c>
      <c r="B23" s="340" t="s">
        <v>4871</v>
      </c>
      <c r="C23" s="341" t="s">
        <v>2145</v>
      </c>
      <c r="D23" s="341" t="s">
        <v>4769</v>
      </c>
      <c r="E23" s="341" t="s">
        <v>4872</v>
      </c>
      <c r="F23" s="342" t="s">
        <v>4771</v>
      </c>
      <c r="G23" s="342" t="s">
        <v>4772</v>
      </c>
      <c r="H23" s="342" t="s">
        <v>4772</v>
      </c>
      <c r="I23" s="342" t="s">
        <v>4772</v>
      </c>
      <c r="J23" s="343" t="s">
        <v>4873</v>
      </c>
      <c r="K23" s="344" t="s">
        <v>4874</v>
      </c>
    </row>
    <row r="24" customFormat="false" ht="109.5" hidden="false" customHeight="true" outlineLevel="0" collapsed="false">
      <c r="A24" s="345" t="s">
        <v>4875</v>
      </c>
      <c r="B24" s="346" t="s">
        <v>4876</v>
      </c>
      <c r="C24" s="347" t="s">
        <v>4877</v>
      </c>
      <c r="D24" s="347" t="s">
        <v>4878</v>
      </c>
      <c r="E24" s="347" t="s">
        <v>4879</v>
      </c>
      <c r="F24" s="348" t="s">
        <v>4771</v>
      </c>
      <c r="G24" s="348" t="s">
        <v>4772</v>
      </c>
      <c r="H24" s="348" t="s">
        <v>4771</v>
      </c>
      <c r="I24" s="348" t="s">
        <v>4772</v>
      </c>
      <c r="J24" s="349" t="s">
        <v>4880</v>
      </c>
      <c r="K24" s="350" t="s">
        <v>4881</v>
      </c>
    </row>
    <row r="25" customFormat="false" ht="129.75" hidden="false" customHeight="true" outlineLevel="0" collapsed="false">
      <c r="A25" s="339" t="s">
        <v>4882</v>
      </c>
      <c r="B25" s="340" t="s">
        <v>4883</v>
      </c>
      <c r="C25" s="341" t="s">
        <v>4884</v>
      </c>
      <c r="D25" s="341" t="s">
        <v>4769</v>
      </c>
      <c r="E25" s="341" t="s">
        <v>4885</v>
      </c>
      <c r="F25" s="342" t="s">
        <v>4771</v>
      </c>
      <c r="G25" s="342" t="s">
        <v>4771</v>
      </c>
      <c r="H25" s="342" t="s">
        <v>4771</v>
      </c>
      <c r="I25" s="342" t="s">
        <v>4771</v>
      </c>
      <c r="J25" s="343" t="s">
        <v>4886</v>
      </c>
      <c r="K25" s="344" t="s">
        <v>4887</v>
      </c>
    </row>
    <row r="26" customFormat="false" ht="129.75" hidden="false" customHeight="true" outlineLevel="0" collapsed="false">
      <c r="A26" s="345" t="s">
        <v>4888</v>
      </c>
      <c r="B26" s="346" t="s">
        <v>4889</v>
      </c>
      <c r="C26" s="347" t="s">
        <v>4777</v>
      </c>
      <c r="D26" s="347" t="s">
        <v>4769</v>
      </c>
      <c r="E26" s="347" t="s">
        <v>4890</v>
      </c>
      <c r="F26" s="348" t="s">
        <v>4771</v>
      </c>
      <c r="G26" s="348" t="s">
        <v>4772</v>
      </c>
      <c r="H26" s="348" t="s">
        <v>4771</v>
      </c>
      <c r="I26" s="348" t="s">
        <v>4771</v>
      </c>
      <c r="J26" s="349" t="s">
        <v>4891</v>
      </c>
      <c r="K26" s="350" t="s">
        <v>4892</v>
      </c>
    </row>
    <row r="27" customFormat="false" ht="109.5" hidden="false" customHeight="true" outlineLevel="0" collapsed="false">
      <c r="A27" s="339" t="s">
        <v>4893</v>
      </c>
      <c r="B27" s="340" t="s">
        <v>4894</v>
      </c>
      <c r="C27" s="341" t="s">
        <v>4895</v>
      </c>
      <c r="D27" s="341" t="s">
        <v>4896</v>
      </c>
      <c r="E27" s="341" t="s">
        <v>4897</v>
      </c>
      <c r="F27" s="342" t="s">
        <v>4771</v>
      </c>
      <c r="G27" s="342" t="s">
        <v>4772</v>
      </c>
      <c r="H27" s="342" t="s">
        <v>4771</v>
      </c>
      <c r="I27" s="342" t="s">
        <v>4772</v>
      </c>
      <c r="J27" s="343" t="s">
        <v>4898</v>
      </c>
      <c r="K27" s="344" t="s">
        <v>4899</v>
      </c>
    </row>
    <row r="28" customFormat="false" ht="171" hidden="false" customHeight="true" outlineLevel="0" collapsed="false">
      <c r="A28" s="345" t="s">
        <v>4900</v>
      </c>
      <c r="B28" s="346" t="s">
        <v>4901</v>
      </c>
      <c r="C28" s="347" t="s">
        <v>4902</v>
      </c>
      <c r="D28" s="347" t="s">
        <v>4769</v>
      </c>
      <c r="E28" s="347" t="s">
        <v>4903</v>
      </c>
      <c r="F28" s="348" t="s">
        <v>4771</v>
      </c>
      <c r="G28" s="348" t="s">
        <v>4771</v>
      </c>
      <c r="H28" s="348" t="s">
        <v>4771</v>
      </c>
      <c r="I28" s="348" t="s">
        <v>4771</v>
      </c>
      <c r="J28" s="349" t="s">
        <v>4904</v>
      </c>
      <c r="K28" s="350" t="s">
        <v>4905</v>
      </c>
    </row>
    <row r="29" customFormat="false" ht="161.25" hidden="false" customHeight="true" outlineLevel="0" collapsed="false">
      <c r="A29" s="339" t="s">
        <v>4906</v>
      </c>
      <c r="B29" s="340" t="s">
        <v>4907</v>
      </c>
      <c r="C29" s="341" t="s">
        <v>4908</v>
      </c>
      <c r="D29" s="341" t="s">
        <v>4769</v>
      </c>
      <c r="E29" s="341" t="s">
        <v>4909</v>
      </c>
      <c r="F29" s="342" t="s">
        <v>4771</v>
      </c>
      <c r="G29" s="342" t="s">
        <v>4771</v>
      </c>
      <c r="H29" s="342" t="s">
        <v>4771</v>
      </c>
      <c r="I29" s="342" t="s">
        <v>4772</v>
      </c>
      <c r="J29" s="343" t="s">
        <v>4910</v>
      </c>
      <c r="K29" s="344" t="s">
        <v>4911</v>
      </c>
    </row>
    <row r="30" customFormat="false" ht="99" hidden="false" customHeight="true" outlineLevel="0" collapsed="false">
      <c r="A30" s="345" t="s">
        <v>4912</v>
      </c>
      <c r="B30" s="346" t="s">
        <v>4913</v>
      </c>
      <c r="C30" s="347" t="s">
        <v>4808</v>
      </c>
      <c r="D30" s="347" t="s">
        <v>4769</v>
      </c>
      <c r="E30" s="347" t="s">
        <v>4914</v>
      </c>
      <c r="F30" s="348" t="s">
        <v>4771</v>
      </c>
      <c r="G30" s="348" t="s">
        <v>4772</v>
      </c>
      <c r="H30" s="348" t="s">
        <v>4771</v>
      </c>
      <c r="I30" s="348" t="s">
        <v>4772</v>
      </c>
      <c r="J30" s="349" t="s">
        <v>4915</v>
      </c>
      <c r="K30" s="350" t="s">
        <v>4916</v>
      </c>
    </row>
    <row r="31" customFormat="false" ht="150.75" hidden="false" customHeight="true" outlineLevel="0" collapsed="false">
      <c r="A31" s="339" t="s">
        <v>4917</v>
      </c>
      <c r="B31" s="340" t="s">
        <v>4918</v>
      </c>
      <c r="C31" s="341" t="s">
        <v>4919</v>
      </c>
      <c r="D31" s="341" t="s">
        <v>4769</v>
      </c>
      <c r="E31" s="341" t="s">
        <v>4920</v>
      </c>
      <c r="F31" s="342" t="s">
        <v>4771</v>
      </c>
      <c r="G31" s="342" t="s">
        <v>4771</v>
      </c>
      <c r="H31" s="342" t="s">
        <v>4771</v>
      </c>
      <c r="I31" s="342" t="s">
        <v>4772</v>
      </c>
      <c r="J31" s="343" t="s">
        <v>4921</v>
      </c>
      <c r="K31" s="344" t="s">
        <v>4922</v>
      </c>
    </row>
    <row r="32" customFormat="false" ht="86.25" hidden="false" customHeight="true" outlineLevel="0" collapsed="false">
      <c r="A32" s="345" t="s">
        <v>4923</v>
      </c>
      <c r="B32" s="346" t="s">
        <v>4924</v>
      </c>
      <c r="C32" s="347" t="s">
        <v>4925</v>
      </c>
      <c r="D32" s="347" t="s">
        <v>4769</v>
      </c>
      <c r="E32" s="347" t="s">
        <v>4926</v>
      </c>
      <c r="F32" s="348" t="s">
        <v>4771</v>
      </c>
      <c r="G32" s="348" t="s">
        <v>4771</v>
      </c>
      <c r="H32" s="348" t="s">
        <v>4772</v>
      </c>
      <c r="I32" s="348" t="s">
        <v>4771</v>
      </c>
      <c r="J32" s="349" t="s">
        <v>4927</v>
      </c>
      <c r="K32" s="350" t="s">
        <v>4928</v>
      </c>
    </row>
    <row r="33" customFormat="false" ht="78" hidden="false" customHeight="true" outlineLevel="0" collapsed="false">
      <c r="A33" s="339" t="s">
        <v>4929</v>
      </c>
      <c r="B33" s="340" t="s">
        <v>739</v>
      </c>
      <c r="C33" s="341" t="s">
        <v>4930</v>
      </c>
      <c r="D33" s="341" t="s">
        <v>4769</v>
      </c>
      <c r="E33" s="341" t="s">
        <v>4931</v>
      </c>
      <c r="F33" s="342" t="s">
        <v>4771</v>
      </c>
      <c r="G33" s="342" t="s">
        <v>4772</v>
      </c>
      <c r="H33" s="342" t="s">
        <v>4771</v>
      </c>
      <c r="I33" s="342" t="s">
        <v>4772</v>
      </c>
      <c r="J33" s="343" t="s">
        <v>4932</v>
      </c>
      <c r="K33" s="344" t="s">
        <v>4933</v>
      </c>
    </row>
    <row r="34" customFormat="false" ht="57.75" hidden="false" customHeight="true" outlineLevel="0" collapsed="false">
      <c r="A34" s="345" t="s">
        <v>4934</v>
      </c>
      <c r="B34" s="346" t="s">
        <v>4935</v>
      </c>
      <c r="C34" s="347" t="s">
        <v>4936</v>
      </c>
      <c r="D34" s="347" t="s">
        <v>4769</v>
      </c>
      <c r="E34" s="347" t="s">
        <v>939</v>
      </c>
      <c r="F34" s="348" t="s">
        <v>4771</v>
      </c>
      <c r="G34" s="348" t="s">
        <v>4772</v>
      </c>
      <c r="H34" s="348" t="s">
        <v>4772</v>
      </c>
      <c r="I34" s="348" t="s">
        <v>4772</v>
      </c>
      <c r="J34" s="349" t="s">
        <v>4937</v>
      </c>
      <c r="K34" s="350" t="s">
        <v>4938</v>
      </c>
    </row>
    <row r="35" customFormat="false" ht="57.75" hidden="false" customHeight="true" outlineLevel="0" collapsed="false">
      <c r="A35" s="339" t="s">
        <v>4939</v>
      </c>
      <c r="B35" s="340" t="s">
        <v>4940</v>
      </c>
      <c r="C35" s="341" t="s">
        <v>4941</v>
      </c>
      <c r="D35" s="341" t="s">
        <v>4942</v>
      </c>
      <c r="E35" s="341" t="s">
        <v>4821</v>
      </c>
      <c r="F35" s="342" t="s">
        <v>4771</v>
      </c>
      <c r="G35" s="342" t="s">
        <v>4772</v>
      </c>
      <c r="H35" s="342" t="s">
        <v>4772</v>
      </c>
      <c r="I35" s="342" t="s">
        <v>4772</v>
      </c>
      <c r="J35" s="343" t="s">
        <v>4943</v>
      </c>
      <c r="K35" s="344" t="s">
        <v>4944</v>
      </c>
    </row>
    <row r="36" customFormat="false" ht="99" hidden="false" customHeight="true" outlineLevel="0" collapsed="false">
      <c r="A36" s="345" t="s">
        <v>4945</v>
      </c>
      <c r="B36" s="346" t="s">
        <v>4946</v>
      </c>
      <c r="C36" s="347" t="s">
        <v>4947</v>
      </c>
      <c r="D36" s="347" t="s">
        <v>4769</v>
      </c>
      <c r="E36" s="347" t="s">
        <v>4948</v>
      </c>
      <c r="F36" s="348" t="s">
        <v>4771</v>
      </c>
      <c r="G36" s="348" t="s">
        <v>4772</v>
      </c>
      <c r="H36" s="348" t="s">
        <v>4771</v>
      </c>
      <c r="I36" s="348" t="s">
        <v>4772</v>
      </c>
      <c r="J36" s="349" t="s">
        <v>4949</v>
      </c>
      <c r="K36" s="350" t="s">
        <v>4950</v>
      </c>
    </row>
    <row r="37" customFormat="false" ht="78" hidden="false" customHeight="true" outlineLevel="0" collapsed="false">
      <c r="A37" s="339" t="s">
        <v>4951</v>
      </c>
      <c r="B37" s="340" t="s">
        <v>4952</v>
      </c>
      <c r="C37" s="341" t="s">
        <v>4808</v>
      </c>
      <c r="D37" s="341" t="s">
        <v>4769</v>
      </c>
      <c r="E37" s="341" t="s">
        <v>4953</v>
      </c>
      <c r="F37" s="342" t="s">
        <v>4771</v>
      </c>
      <c r="G37" s="342" t="s">
        <v>4772</v>
      </c>
      <c r="H37" s="342" t="s">
        <v>4771</v>
      </c>
      <c r="I37" s="342" t="s">
        <v>4772</v>
      </c>
      <c r="J37" s="343" t="s">
        <v>4954</v>
      </c>
      <c r="K37" s="344" t="s">
        <v>4955</v>
      </c>
    </row>
    <row r="38" customFormat="false" ht="97.5" hidden="false" customHeight="true" outlineLevel="0" collapsed="false">
      <c r="A38" s="345" t="s">
        <v>4956</v>
      </c>
      <c r="B38" s="346" t="s">
        <v>739</v>
      </c>
      <c r="C38" s="347" t="s">
        <v>4777</v>
      </c>
      <c r="D38" s="347" t="s">
        <v>4957</v>
      </c>
      <c r="E38" s="347" t="s">
        <v>1240</v>
      </c>
      <c r="F38" s="348" t="s">
        <v>4771</v>
      </c>
      <c r="G38" s="348" t="s">
        <v>4771</v>
      </c>
      <c r="H38" s="348" t="s">
        <v>4771</v>
      </c>
      <c r="I38" s="348" t="s">
        <v>4772</v>
      </c>
      <c r="J38" s="349" t="s">
        <v>4958</v>
      </c>
      <c r="K38" s="350" t="s">
        <v>4959</v>
      </c>
    </row>
    <row r="39" customFormat="false" ht="51.75" hidden="false" customHeight="true" outlineLevel="0" collapsed="false">
      <c r="A39" s="339" t="s">
        <v>4960</v>
      </c>
      <c r="B39" s="340" t="s">
        <v>739</v>
      </c>
      <c r="C39" s="341" t="s">
        <v>4961</v>
      </c>
      <c r="D39" s="341" t="s">
        <v>4769</v>
      </c>
      <c r="E39" s="341" t="s">
        <v>4962</v>
      </c>
      <c r="F39" s="342" t="s">
        <v>4771</v>
      </c>
      <c r="G39" s="342" t="s">
        <v>4772</v>
      </c>
      <c r="H39" s="342" t="s">
        <v>4772</v>
      </c>
      <c r="I39" s="342" t="s">
        <v>4772</v>
      </c>
      <c r="J39" s="343" t="s">
        <v>4963</v>
      </c>
      <c r="K39" s="344" t="s">
        <v>4964</v>
      </c>
    </row>
    <row r="40" customFormat="false" ht="109.5" hidden="false" customHeight="true" outlineLevel="0" collapsed="false">
      <c r="A40" s="345" t="s">
        <v>4965</v>
      </c>
      <c r="B40" s="346" t="s">
        <v>4966</v>
      </c>
      <c r="C40" s="347" t="s">
        <v>4967</v>
      </c>
      <c r="D40" s="347" t="s">
        <v>4769</v>
      </c>
      <c r="E40" s="347" t="s">
        <v>4968</v>
      </c>
      <c r="F40" s="348" t="s">
        <v>4771</v>
      </c>
      <c r="G40" s="348" t="s">
        <v>4771</v>
      </c>
      <c r="H40" s="348" t="s">
        <v>4771</v>
      </c>
      <c r="I40" s="348" t="s">
        <v>4772</v>
      </c>
      <c r="J40" s="349" t="s">
        <v>4969</v>
      </c>
      <c r="K40" s="350" t="s">
        <v>4970</v>
      </c>
    </row>
    <row r="41" customFormat="false" ht="57.75" hidden="false" customHeight="true" outlineLevel="0" collapsed="false">
      <c r="A41" s="339" t="s">
        <v>4971</v>
      </c>
      <c r="B41" s="340" t="s">
        <v>4972</v>
      </c>
      <c r="C41" s="341" t="s">
        <v>4973</v>
      </c>
      <c r="D41" s="341" t="s">
        <v>4769</v>
      </c>
      <c r="E41" s="341" t="s">
        <v>4948</v>
      </c>
      <c r="F41" s="342" t="s">
        <v>4771</v>
      </c>
      <c r="G41" s="342" t="s">
        <v>4772</v>
      </c>
      <c r="H41" s="342" t="s">
        <v>4772</v>
      </c>
      <c r="I41" s="342" t="s">
        <v>4772</v>
      </c>
      <c r="J41" s="343" t="s">
        <v>4974</v>
      </c>
      <c r="K41" s="344" t="s">
        <v>4975</v>
      </c>
    </row>
    <row r="42" customFormat="false" ht="51.75" hidden="false" customHeight="true" outlineLevel="0" collapsed="false">
      <c r="A42" s="345" t="s">
        <v>4976</v>
      </c>
      <c r="B42" s="346" t="s">
        <v>739</v>
      </c>
      <c r="C42" s="347" t="s">
        <v>4977</v>
      </c>
      <c r="D42" s="347" t="s">
        <v>4769</v>
      </c>
      <c r="E42" s="347" t="s">
        <v>1240</v>
      </c>
      <c r="F42" s="348" t="s">
        <v>4772</v>
      </c>
      <c r="G42" s="348" t="s">
        <v>4771</v>
      </c>
      <c r="H42" s="348" t="s">
        <v>4772</v>
      </c>
      <c r="I42" s="348" t="s">
        <v>4772</v>
      </c>
      <c r="J42" s="349" t="s">
        <v>4978</v>
      </c>
      <c r="K42" s="350" t="s">
        <v>4979</v>
      </c>
    </row>
    <row r="43" customFormat="false" ht="140.25" hidden="false" customHeight="true" outlineLevel="0" collapsed="false">
      <c r="A43" s="339" t="s">
        <v>4980</v>
      </c>
      <c r="B43" s="340" t="s">
        <v>4981</v>
      </c>
      <c r="C43" s="341" t="s">
        <v>4982</v>
      </c>
      <c r="D43" s="341" t="s">
        <v>4983</v>
      </c>
      <c r="E43" s="341" t="s">
        <v>4984</v>
      </c>
      <c r="F43" s="342" t="s">
        <v>4771</v>
      </c>
      <c r="G43" s="342" t="s">
        <v>4772</v>
      </c>
      <c r="H43" s="342" t="s">
        <v>4771</v>
      </c>
      <c r="I43" s="342" t="s">
        <v>4771</v>
      </c>
      <c r="J43" s="343" t="s">
        <v>4985</v>
      </c>
      <c r="K43" s="344" t="s">
        <v>4986</v>
      </c>
    </row>
    <row r="44" customFormat="false" ht="75" hidden="false" customHeight="true" outlineLevel="0" collapsed="false">
      <c r="A44" s="345" t="s">
        <v>4987</v>
      </c>
      <c r="B44" s="346" t="s">
        <v>4802</v>
      </c>
      <c r="C44" s="347" t="s">
        <v>4831</v>
      </c>
      <c r="D44" s="347" t="s">
        <v>4769</v>
      </c>
      <c r="E44" s="347" t="s">
        <v>760</v>
      </c>
      <c r="F44" s="348" t="s">
        <v>4771</v>
      </c>
      <c r="G44" s="348" t="s">
        <v>4772</v>
      </c>
      <c r="H44" s="348" t="s">
        <v>4771</v>
      </c>
      <c r="I44" s="348" t="s">
        <v>4772</v>
      </c>
      <c r="J44" s="349" t="s">
        <v>4988</v>
      </c>
      <c r="K44" s="350" t="s">
        <v>4989</v>
      </c>
    </row>
    <row r="45" customFormat="false" ht="18" hidden="false" customHeight="true" outlineLevel="0" collapsed="false">
      <c r="A45" s="338" t="s">
        <v>4990</v>
      </c>
      <c r="B45" s="338"/>
      <c r="C45" s="338"/>
      <c r="D45" s="338"/>
      <c r="E45" s="338"/>
      <c r="F45" s="338"/>
      <c r="G45" s="338"/>
      <c r="H45" s="338"/>
      <c r="I45" s="338"/>
      <c r="J45" s="338"/>
      <c r="K45" s="338"/>
    </row>
    <row r="46" customFormat="false" ht="57.75" hidden="false" customHeight="true" outlineLevel="0" collapsed="false">
      <c r="A46" s="339" t="s">
        <v>4991</v>
      </c>
      <c r="B46" s="340" t="s">
        <v>4992</v>
      </c>
      <c r="C46" s="341" t="s">
        <v>4843</v>
      </c>
      <c r="D46" s="341" t="s">
        <v>4844</v>
      </c>
      <c r="E46" s="341" t="s">
        <v>939</v>
      </c>
      <c r="F46" s="342" t="s">
        <v>4772</v>
      </c>
      <c r="G46" s="342" t="s">
        <v>4772</v>
      </c>
      <c r="H46" s="342" t="s">
        <v>4771</v>
      </c>
      <c r="I46" s="342" t="s">
        <v>4772</v>
      </c>
      <c r="J46" s="343" t="s">
        <v>4993</v>
      </c>
      <c r="K46" s="344" t="s">
        <v>4994</v>
      </c>
    </row>
    <row r="47" customFormat="false" ht="97.5" hidden="false" customHeight="true" outlineLevel="0" collapsed="false">
      <c r="A47" s="345" t="s">
        <v>4995</v>
      </c>
      <c r="B47" s="346" t="s">
        <v>4996</v>
      </c>
      <c r="C47" s="347" t="s">
        <v>4997</v>
      </c>
      <c r="D47" s="347" t="s">
        <v>4769</v>
      </c>
      <c r="E47" s="347" t="s">
        <v>760</v>
      </c>
      <c r="F47" s="348" t="s">
        <v>4771</v>
      </c>
      <c r="G47" s="348" t="s">
        <v>4771</v>
      </c>
      <c r="H47" s="348" t="s">
        <v>4771</v>
      </c>
      <c r="I47" s="348" t="s">
        <v>4772</v>
      </c>
      <c r="J47" s="349" t="s">
        <v>4998</v>
      </c>
      <c r="K47" s="350" t="s">
        <v>4999</v>
      </c>
    </row>
    <row r="48" customFormat="false" ht="57.75" hidden="false" customHeight="true" outlineLevel="0" collapsed="false">
      <c r="A48" s="339" t="s">
        <v>5000</v>
      </c>
      <c r="B48" s="340" t="s">
        <v>739</v>
      </c>
      <c r="C48" s="341" t="s">
        <v>4843</v>
      </c>
      <c r="D48" s="341" t="s">
        <v>4844</v>
      </c>
      <c r="E48" s="341" t="s">
        <v>939</v>
      </c>
      <c r="F48" s="342" t="s">
        <v>4772</v>
      </c>
      <c r="G48" s="342" t="s">
        <v>4772</v>
      </c>
      <c r="H48" s="342" t="s">
        <v>4771</v>
      </c>
      <c r="I48" s="342" t="s">
        <v>4772</v>
      </c>
      <c r="J48" s="343" t="s">
        <v>5001</v>
      </c>
      <c r="K48" s="344" t="s">
        <v>5002</v>
      </c>
    </row>
    <row r="49" customFormat="false" ht="51.75" hidden="false" customHeight="true" outlineLevel="0" collapsed="false">
      <c r="A49" s="345" t="s">
        <v>5003</v>
      </c>
      <c r="B49" s="346" t="s">
        <v>739</v>
      </c>
      <c r="C49" s="347" t="s">
        <v>5004</v>
      </c>
      <c r="D49" s="347" t="s">
        <v>5005</v>
      </c>
      <c r="E49" s="347" t="s">
        <v>5006</v>
      </c>
      <c r="F49" s="348" t="s">
        <v>4772</v>
      </c>
      <c r="G49" s="348" t="s">
        <v>4772</v>
      </c>
      <c r="H49" s="348" t="s">
        <v>4771</v>
      </c>
      <c r="I49" s="348" t="s">
        <v>4772</v>
      </c>
      <c r="J49" s="349" t="s">
        <v>5007</v>
      </c>
      <c r="K49" s="350" t="s">
        <v>5008</v>
      </c>
    </row>
    <row r="50" customFormat="false" ht="57.75" hidden="false" customHeight="true" outlineLevel="0" collapsed="false">
      <c r="A50" s="339" t="s">
        <v>5009</v>
      </c>
      <c r="B50" s="340" t="s">
        <v>5010</v>
      </c>
      <c r="C50" s="341" t="s">
        <v>4843</v>
      </c>
      <c r="D50" s="341" t="s">
        <v>4844</v>
      </c>
      <c r="E50" s="341" t="s">
        <v>939</v>
      </c>
      <c r="F50" s="342" t="s">
        <v>4772</v>
      </c>
      <c r="G50" s="342" t="s">
        <v>4772</v>
      </c>
      <c r="H50" s="342" t="s">
        <v>4771</v>
      </c>
      <c r="I50" s="342" t="s">
        <v>4772</v>
      </c>
      <c r="J50" s="343" t="s">
        <v>5011</v>
      </c>
      <c r="K50" s="344" t="s">
        <v>5012</v>
      </c>
    </row>
    <row r="51" customFormat="false" ht="51.75" hidden="false" customHeight="true" outlineLevel="0" collapsed="false">
      <c r="A51" s="345" t="s">
        <v>5013</v>
      </c>
      <c r="B51" s="346" t="s">
        <v>739</v>
      </c>
      <c r="C51" s="347" t="s">
        <v>5014</v>
      </c>
      <c r="D51" s="347" t="s">
        <v>4844</v>
      </c>
      <c r="E51" s="347" t="s">
        <v>939</v>
      </c>
      <c r="F51" s="348" t="s">
        <v>4772</v>
      </c>
      <c r="G51" s="348" t="s">
        <v>4772</v>
      </c>
      <c r="H51" s="348" t="s">
        <v>4771</v>
      </c>
      <c r="I51" s="348" t="s">
        <v>4772</v>
      </c>
      <c r="J51" s="349" t="s">
        <v>5015</v>
      </c>
      <c r="K51" s="350" t="s">
        <v>5016</v>
      </c>
    </row>
    <row r="52" customFormat="false" ht="99" hidden="false" customHeight="true" outlineLevel="0" collapsed="false">
      <c r="A52" s="339" t="s">
        <v>5017</v>
      </c>
      <c r="B52" s="340" t="s">
        <v>5018</v>
      </c>
      <c r="C52" s="341" t="s">
        <v>4843</v>
      </c>
      <c r="D52" s="341" t="s">
        <v>4844</v>
      </c>
      <c r="E52" s="341" t="s">
        <v>939</v>
      </c>
      <c r="F52" s="342" t="s">
        <v>4772</v>
      </c>
      <c r="G52" s="342" t="s">
        <v>4771</v>
      </c>
      <c r="H52" s="342" t="s">
        <v>4771</v>
      </c>
      <c r="I52" s="342" t="s">
        <v>4772</v>
      </c>
      <c r="J52" s="343" t="s">
        <v>5019</v>
      </c>
      <c r="K52" s="344" t="s">
        <v>5020</v>
      </c>
    </row>
    <row r="53" customFormat="false" ht="109.5" hidden="false" customHeight="true" outlineLevel="0" collapsed="false">
      <c r="A53" s="345" t="s">
        <v>5021</v>
      </c>
      <c r="B53" s="346" t="s">
        <v>5022</v>
      </c>
      <c r="C53" s="347" t="s">
        <v>5023</v>
      </c>
      <c r="D53" s="347" t="s">
        <v>5024</v>
      </c>
      <c r="E53" s="347" t="s">
        <v>5025</v>
      </c>
      <c r="F53" s="348" t="s">
        <v>4771</v>
      </c>
      <c r="G53" s="348" t="s">
        <v>4771</v>
      </c>
      <c r="H53" s="348" t="s">
        <v>4771</v>
      </c>
      <c r="I53" s="348" t="s">
        <v>4772</v>
      </c>
      <c r="J53" s="349" t="s">
        <v>5026</v>
      </c>
      <c r="K53" s="350" t="s">
        <v>5027</v>
      </c>
    </row>
    <row r="54" customFormat="false" ht="28.5" hidden="false" customHeight="true" outlineLevel="0" collapsed="false">
      <c r="A54" s="339" t="s">
        <v>5028</v>
      </c>
      <c r="B54" s="340" t="s">
        <v>5029</v>
      </c>
      <c r="C54" s="341" t="s">
        <v>5030</v>
      </c>
      <c r="D54" s="341" t="s">
        <v>5031</v>
      </c>
      <c r="E54" s="341" t="s">
        <v>939</v>
      </c>
      <c r="F54" s="342" t="s">
        <v>4772</v>
      </c>
      <c r="G54" s="342" t="s">
        <v>4772</v>
      </c>
      <c r="H54" s="342" t="s">
        <v>4772</v>
      </c>
      <c r="I54" s="342" t="s">
        <v>4772</v>
      </c>
      <c r="J54" s="343" t="s">
        <v>5032</v>
      </c>
      <c r="K54" s="343"/>
    </row>
    <row r="55" customFormat="false" ht="51.75" hidden="false" customHeight="true" outlineLevel="0" collapsed="false">
      <c r="A55" s="345" t="s">
        <v>4991</v>
      </c>
      <c r="B55" s="346" t="s">
        <v>4992</v>
      </c>
      <c r="C55" s="347" t="s">
        <v>4843</v>
      </c>
      <c r="D55" s="347" t="s">
        <v>4844</v>
      </c>
      <c r="E55" s="347" t="s">
        <v>939</v>
      </c>
      <c r="F55" s="348" t="s">
        <v>4772</v>
      </c>
      <c r="G55" s="348" t="s">
        <v>4772</v>
      </c>
      <c r="H55" s="348" t="s">
        <v>4771</v>
      </c>
      <c r="I55" s="348" t="s">
        <v>4772</v>
      </c>
      <c r="J55" s="349" t="s">
        <v>5033</v>
      </c>
      <c r="K55" s="350" t="s">
        <v>5034</v>
      </c>
    </row>
    <row r="56" customFormat="false" ht="119.25" hidden="false" customHeight="true" outlineLevel="0" collapsed="false">
      <c r="A56" s="339" t="s">
        <v>5035</v>
      </c>
      <c r="B56" s="340" t="s">
        <v>5036</v>
      </c>
      <c r="C56" s="341" t="s">
        <v>5037</v>
      </c>
      <c r="D56" s="341" t="s">
        <v>4769</v>
      </c>
      <c r="E56" s="341" t="s">
        <v>5038</v>
      </c>
      <c r="F56" s="342" t="s">
        <v>4772</v>
      </c>
      <c r="G56" s="342" t="s">
        <v>4771</v>
      </c>
      <c r="H56" s="342" t="s">
        <v>4771</v>
      </c>
      <c r="I56" s="342" t="s">
        <v>4771</v>
      </c>
      <c r="J56" s="343" t="s">
        <v>5039</v>
      </c>
      <c r="K56" s="344" t="s">
        <v>5040</v>
      </c>
    </row>
    <row r="57" customFormat="false" ht="67.5" hidden="false" customHeight="true" outlineLevel="0" collapsed="false">
      <c r="A57" s="345" t="s">
        <v>5041</v>
      </c>
      <c r="B57" s="346" t="s">
        <v>5042</v>
      </c>
      <c r="C57" s="347" t="s">
        <v>5043</v>
      </c>
      <c r="D57" s="347" t="s">
        <v>5044</v>
      </c>
      <c r="E57" s="347" t="s">
        <v>5045</v>
      </c>
      <c r="F57" s="348" t="s">
        <v>4772</v>
      </c>
      <c r="G57" s="348" t="s">
        <v>4772</v>
      </c>
      <c r="H57" s="348" t="s">
        <v>4771</v>
      </c>
      <c r="I57" s="348" t="s">
        <v>4772</v>
      </c>
      <c r="J57" s="349" t="s">
        <v>5046</v>
      </c>
      <c r="K57" s="350" t="s">
        <v>5047</v>
      </c>
    </row>
    <row r="58" customFormat="false" ht="99" hidden="false" customHeight="true" outlineLevel="0" collapsed="false">
      <c r="A58" s="339" t="s">
        <v>5048</v>
      </c>
      <c r="B58" s="340" t="s">
        <v>739</v>
      </c>
      <c r="C58" s="341" t="s">
        <v>5049</v>
      </c>
      <c r="D58" s="341" t="s">
        <v>5050</v>
      </c>
      <c r="E58" s="341" t="s">
        <v>5051</v>
      </c>
      <c r="F58" s="342" t="s">
        <v>4771</v>
      </c>
      <c r="G58" s="342" t="s">
        <v>4772</v>
      </c>
      <c r="H58" s="342" t="s">
        <v>4771</v>
      </c>
      <c r="I58" s="342" t="s">
        <v>4772</v>
      </c>
      <c r="J58" s="343" t="s">
        <v>5052</v>
      </c>
      <c r="K58" s="344" t="s">
        <v>5053</v>
      </c>
    </row>
    <row r="59" customFormat="false" ht="18" hidden="false" customHeight="true" outlineLevel="0" collapsed="false">
      <c r="A59" s="338" t="s">
        <v>5054</v>
      </c>
      <c r="B59" s="338"/>
      <c r="C59" s="338"/>
      <c r="D59" s="338"/>
      <c r="E59" s="338"/>
      <c r="F59" s="338"/>
      <c r="G59" s="338"/>
      <c r="H59" s="338"/>
      <c r="I59" s="338"/>
      <c r="J59" s="338"/>
      <c r="K59" s="338"/>
    </row>
    <row r="60" customFormat="false" ht="57.75" hidden="false" customHeight="true" outlineLevel="0" collapsed="false">
      <c r="A60" s="345" t="s">
        <v>5055</v>
      </c>
      <c r="B60" s="346" t="s">
        <v>739</v>
      </c>
      <c r="C60" s="347" t="s">
        <v>5056</v>
      </c>
      <c r="D60" s="347" t="s">
        <v>5057</v>
      </c>
      <c r="E60" s="347" t="s">
        <v>5051</v>
      </c>
      <c r="F60" s="348" t="s">
        <v>4772</v>
      </c>
      <c r="G60" s="348" t="s">
        <v>4772</v>
      </c>
      <c r="H60" s="348" t="s">
        <v>4771</v>
      </c>
      <c r="I60" s="348" t="s">
        <v>4772</v>
      </c>
      <c r="J60" s="349" t="s">
        <v>5058</v>
      </c>
      <c r="K60" s="350" t="s">
        <v>5059</v>
      </c>
    </row>
    <row r="61" customFormat="false" ht="51.75" hidden="false" customHeight="true" outlineLevel="0" collapsed="false">
      <c r="A61" s="339" t="s">
        <v>5060</v>
      </c>
      <c r="B61" s="340" t="s">
        <v>739</v>
      </c>
      <c r="C61" s="341" t="s">
        <v>5061</v>
      </c>
      <c r="D61" s="341" t="s">
        <v>5062</v>
      </c>
      <c r="E61" s="341" t="s">
        <v>5063</v>
      </c>
      <c r="F61" s="342" t="s">
        <v>4772</v>
      </c>
      <c r="G61" s="342" t="s">
        <v>4772</v>
      </c>
      <c r="H61" s="342" t="s">
        <v>4771</v>
      </c>
      <c r="I61" s="342" t="s">
        <v>4772</v>
      </c>
      <c r="J61" s="343" t="s">
        <v>5064</v>
      </c>
      <c r="K61" s="344" t="s">
        <v>5065</v>
      </c>
    </row>
    <row r="62" customFormat="false" ht="88.5" hidden="false" customHeight="true" outlineLevel="0" collapsed="false">
      <c r="A62" s="345" t="s">
        <v>5066</v>
      </c>
      <c r="B62" s="346" t="s">
        <v>739</v>
      </c>
      <c r="C62" s="347" t="s">
        <v>5061</v>
      </c>
      <c r="D62" s="347" t="s">
        <v>5062</v>
      </c>
      <c r="E62" s="347" t="s">
        <v>5063</v>
      </c>
      <c r="F62" s="348" t="s">
        <v>4772</v>
      </c>
      <c r="G62" s="348" t="s">
        <v>4771</v>
      </c>
      <c r="H62" s="348" t="s">
        <v>4771</v>
      </c>
      <c r="I62" s="348" t="s">
        <v>4772</v>
      </c>
      <c r="J62" s="349" t="s">
        <v>5067</v>
      </c>
      <c r="K62" s="350" t="s">
        <v>5068</v>
      </c>
    </row>
    <row r="63" customFormat="false" ht="67.5" hidden="false" customHeight="true" outlineLevel="0" collapsed="false">
      <c r="A63" s="339" t="s">
        <v>5069</v>
      </c>
      <c r="B63" s="340" t="s">
        <v>739</v>
      </c>
      <c r="C63" s="341" t="s">
        <v>5061</v>
      </c>
      <c r="D63" s="341" t="s">
        <v>5062</v>
      </c>
      <c r="E63" s="341" t="s">
        <v>5070</v>
      </c>
      <c r="F63" s="342" t="s">
        <v>4772</v>
      </c>
      <c r="G63" s="342" t="s">
        <v>4772</v>
      </c>
      <c r="H63" s="342" t="s">
        <v>4771</v>
      </c>
      <c r="I63" s="342" t="s">
        <v>4772</v>
      </c>
      <c r="J63" s="343" t="s">
        <v>5071</v>
      </c>
      <c r="K63" s="344" t="s">
        <v>5072</v>
      </c>
    </row>
    <row r="64" customFormat="false" ht="99" hidden="false" customHeight="true" outlineLevel="0" collapsed="false">
      <c r="A64" s="345" t="s">
        <v>5073</v>
      </c>
      <c r="B64" s="346" t="s">
        <v>739</v>
      </c>
      <c r="C64" s="347" t="s">
        <v>5074</v>
      </c>
      <c r="D64" s="347" t="s">
        <v>5062</v>
      </c>
      <c r="E64" s="347" t="s">
        <v>5070</v>
      </c>
      <c r="F64" s="348" t="s">
        <v>4772</v>
      </c>
      <c r="G64" s="348" t="s">
        <v>4771</v>
      </c>
      <c r="H64" s="348" t="s">
        <v>4771</v>
      </c>
      <c r="I64" s="348" t="s">
        <v>4772</v>
      </c>
      <c r="J64" s="349" t="s">
        <v>5075</v>
      </c>
      <c r="K64" s="350" t="s">
        <v>5076</v>
      </c>
    </row>
    <row r="65" customFormat="false" ht="51.75" hidden="false" customHeight="true" outlineLevel="0" collapsed="false">
      <c r="A65" s="339" t="s">
        <v>5077</v>
      </c>
      <c r="B65" s="340" t="s">
        <v>739</v>
      </c>
      <c r="C65" s="341" t="s">
        <v>5061</v>
      </c>
      <c r="D65" s="341" t="s">
        <v>5062</v>
      </c>
      <c r="E65" s="341" t="s">
        <v>5063</v>
      </c>
      <c r="F65" s="342" t="s">
        <v>4772</v>
      </c>
      <c r="G65" s="342" t="s">
        <v>4772</v>
      </c>
      <c r="H65" s="342" t="s">
        <v>4771</v>
      </c>
      <c r="I65" s="342" t="s">
        <v>4772</v>
      </c>
      <c r="J65" s="343" t="s">
        <v>5078</v>
      </c>
      <c r="K65" s="344" t="s">
        <v>5079</v>
      </c>
    </row>
    <row r="66" customFormat="false" ht="51.75" hidden="false" customHeight="true" outlineLevel="0" collapsed="false">
      <c r="A66" s="345" t="s">
        <v>5080</v>
      </c>
      <c r="B66" s="346" t="s">
        <v>739</v>
      </c>
      <c r="C66" s="347" t="s">
        <v>5061</v>
      </c>
      <c r="D66" s="347" t="s">
        <v>5062</v>
      </c>
      <c r="E66" s="347" t="s">
        <v>5063</v>
      </c>
      <c r="F66" s="348" t="s">
        <v>4772</v>
      </c>
      <c r="G66" s="348" t="s">
        <v>4772</v>
      </c>
      <c r="H66" s="348" t="s">
        <v>4771</v>
      </c>
      <c r="I66" s="348" t="s">
        <v>4772</v>
      </c>
      <c r="J66" s="349" t="s">
        <v>5081</v>
      </c>
      <c r="K66" s="350" t="s">
        <v>5082</v>
      </c>
    </row>
    <row r="67" customFormat="false" ht="57.75" hidden="false" customHeight="true" outlineLevel="0" collapsed="false">
      <c r="A67" s="339" t="s">
        <v>5083</v>
      </c>
      <c r="B67" s="340" t="s">
        <v>739</v>
      </c>
      <c r="C67" s="341" t="s">
        <v>5061</v>
      </c>
      <c r="D67" s="341" t="s">
        <v>5062</v>
      </c>
      <c r="E67" s="341" t="s">
        <v>5063</v>
      </c>
      <c r="F67" s="342" t="s">
        <v>4772</v>
      </c>
      <c r="G67" s="342" t="s">
        <v>4772</v>
      </c>
      <c r="H67" s="342" t="s">
        <v>4771</v>
      </c>
      <c r="I67" s="342" t="s">
        <v>4772</v>
      </c>
      <c r="J67" s="343" t="s">
        <v>5084</v>
      </c>
      <c r="K67" s="344" t="s">
        <v>5085</v>
      </c>
    </row>
    <row r="68" customFormat="false" ht="47.25" hidden="false" customHeight="true" outlineLevel="0" collapsed="false">
      <c r="A68" s="345" t="s">
        <v>5086</v>
      </c>
      <c r="B68" s="346" t="s">
        <v>739</v>
      </c>
      <c r="C68" s="347" t="s">
        <v>5061</v>
      </c>
      <c r="D68" s="347" t="s">
        <v>5062</v>
      </c>
      <c r="E68" s="347" t="s">
        <v>5063</v>
      </c>
      <c r="F68" s="348" t="s">
        <v>4772</v>
      </c>
      <c r="G68" s="348" t="s">
        <v>4772</v>
      </c>
      <c r="H68" s="348" t="s">
        <v>4771</v>
      </c>
      <c r="I68" s="348" t="s">
        <v>4772</v>
      </c>
      <c r="J68" s="349" t="s">
        <v>5087</v>
      </c>
      <c r="K68" s="350" t="s">
        <v>5088</v>
      </c>
    </row>
    <row r="69" customFormat="false" ht="57.75" hidden="false" customHeight="true" outlineLevel="0" collapsed="false">
      <c r="A69" s="339" t="s">
        <v>5089</v>
      </c>
      <c r="B69" s="340" t="s">
        <v>739</v>
      </c>
      <c r="C69" s="341" t="s">
        <v>5061</v>
      </c>
      <c r="D69" s="341" t="s">
        <v>5062</v>
      </c>
      <c r="E69" s="341" t="s">
        <v>5063</v>
      </c>
      <c r="F69" s="342" t="s">
        <v>4772</v>
      </c>
      <c r="G69" s="342" t="s">
        <v>4772</v>
      </c>
      <c r="H69" s="342" t="s">
        <v>4771</v>
      </c>
      <c r="I69" s="342" t="s">
        <v>4772</v>
      </c>
      <c r="J69" s="343" t="s">
        <v>5090</v>
      </c>
      <c r="K69" s="344" t="s">
        <v>5091</v>
      </c>
    </row>
    <row r="70" customFormat="false" ht="57.75" hidden="false" customHeight="true" outlineLevel="0" collapsed="false">
      <c r="A70" s="345" t="s">
        <v>5092</v>
      </c>
      <c r="B70" s="346" t="s">
        <v>739</v>
      </c>
      <c r="C70" s="347" t="s">
        <v>5061</v>
      </c>
      <c r="D70" s="347" t="s">
        <v>5062</v>
      </c>
      <c r="E70" s="347" t="s">
        <v>5063</v>
      </c>
      <c r="F70" s="348" t="s">
        <v>4772</v>
      </c>
      <c r="G70" s="348" t="s">
        <v>4772</v>
      </c>
      <c r="H70" s="348" t="s">
        <v>4771</v>
      </c>
      <c r="I70" s="348" t="s">
        <v>4772</v>
      </c>
      <c r="J70" s="349" t="s">
        <v>5093</v>
      </c>
      <c r="K70" s="350" t="s">
        <v>5094</v>
      </c>
    </row>
    <row r="71" customFormat="false" ht="51.75" hidden="false" customHeight="true" outlineLevel="0" collapsed="false">
      <c r="A71" s="339" t="s">
        <v>5095</v>
      </c>
      <c r="B71" s="340" t="s">
        <v>739</v>
      </c>
      <c r="C71" s="341" t="s">
        <v>5061</v>
      </c>
      <c r="D71" s="341" t="s">
        <v>5062</v>
      </c>
      <c r="E71" s="341" t="s">
        <v>5063</v>
      </c>
      <c r="F71" s="342" t="s">
        <v>4772</v>
      </c>
      <c r="G71" s="342" t="s">
        <v>4772</v>
      </c>
      <c r="H71" s="342" t="s">
        <v>4771</v>
      </c>
      <c r="I71" s="342" t="s">
        <v>4772</v>
      </c>
      <c r="J71" s="343" t="s">
        <v>5096</v>
      </c>
      <c r="K71" s="344" t="s">
        <v>5097</v>
      </c>
    </row>
    <row r="72" customFormat="false" ht="88.5" hidden="false" customHeight="true" outlineLevel="0" collapsed="false">
      <c r="A72" s="345" t="s">
        <v>5098</v>
      </c>
      <c r="B72" s="346" t="s">
        <v>739</v>
      </c>
      <c r="C72" s="347" t="s">
        <v>5061</v>
      </c>
      <c r="D72" s="347" t="s">
        <v>5062</v>
      </c>
      <c r="E72" s="347" t="s">
        <v>5063</v>
      </c>
      <c r="F72" s="348" t="s">
        <v>4772</v>
      </c>
      <c r="G72" s="348" t="s">
        <v>4771</v>
      </c>
      <c r="H72" s="348" t="s">
        <v>4771</v>
      </c>
      <c r="I72" s="348" t="s">
        <v>4772</v>
      </c>
      <c r="J72" s="349" t="s">
        <v>5099</v>
      </c>
      <c r="K72" s="350" t="s">
        <v>5100</v>
      </c>
    </row>
    <row r="73" customFormat="false" ht="109.5" hidden="false" customHeight="true" outlineLevel="0" collapsed="false">
      <c r="A73" s="339" t="s">
        <v>5101</v>
      </c>
      <c r="B73" s="340" t="s">
        <v>739</v>
      </c>
      <c r="C73" s="341" t="s">
        <v>5102</v>
      </c>
      <c r="D73" s="341" t="s">
        <v>5062</v>
      </c>
      <c r="E73" s="341" t="s">
        <v>5063</v>
      </c>
      <c r="F73" s="342" t="s">
        <v>4771</v>
      </c>
      <c r="G73" s="342" t="s">
        <v>4772</v>
      </c>
      <c r="H73" s="342" t="s">
        <v>4771</v>
      </c>
      <c r="I73" s="342" t="s">
        <v>4772</v>
      </c>
      <c r="J73" s="343" t="s">
        <v>5103</v>
      </c>
      <c r="K73" s="344" t="s">
        <v>5104</v>
      </c>
    </row>
    <row r="74" customFormat="false" ht="67.5" hidden="false" customHeight="true" outlineLevel="0" collapsed="false">
      <c r="A74" s="345" t="s">
        <v>5105</v>
      </c>
      <c r="B74" s="346" t="s">
        <v>739</v>
      </c>
      <c r="C74" s="347" t="s">
        <v>5061</v>
      </c>
      <c r="D74" s="347" t="s">
        <v>5062</v>
      </c>
      <c r="E74" s="347" t="s">
        <v>5106</v>
      </c>
      <c r="F74" s="348" t="s">
        <v>4772</v>
      </c>
      <c r="G74" s="348" t="s">
        <v>4772</v>
      </c>
      <c r="H74" s="348" t="s">
        <v>4771</v>
      </c>
      <c r="I74" s="348" t="s">
        <v>4772</v>
      </c>
      <c r="J74" s="349" t="s">
        <v>5107</v>
      </c>
      <c r="K74" s="350" t="s">
        <v>5108</v>
      </c>
    </row>
    <row r="75" customFormat="false" ht="57.75" hidden="false" customHeight="true" outlineLevel="0" collapsed="false">
      <c r="A75" s="339" t="s">
        <v>5109</v>
      </c>
      <c r="B75" s="340" t="s">
        <v>739</v>
      </c>
      <c r="C75" s="341" t="s">
        <v>5061</v>
      </c>
      <c r="D75" s="341" t="s">
        <v>5062</v>
      </c>
      <c r="E75" s="341" t="s">
        <v>5070</v>
      </c>
      <c r="F75" s="342" t="s">
        <v>4772</v>
      </c>
      <c r="G75" s="342" t="s">
        <v>4772</v>
      </c>
      <c r="H75" s="342" t="s">
        <v>4771</v>
      </c>
      <c r="I75" s="342" t="s">
        <v>4772</v>
      </c>
      <c r="J75" s="343" t="s">
        <v>5110</v>
      </c>
      <c r="K75" s="344" t="s">
        <v>5111</v>
      </c>
    </row>
    <row r="76" customFormat="false" ht="57.75" hidden="false" customHeight="true" outlineLevel="0" collapsed="false">
      <c r="A76" s="345" t="s">
        <v>5112</v>
      </c>
      <c r="B76" s="346" t="s">
        <v>739</v>
      </c>
      <c r="C76" s="347" t="s">
        <v>5061</v>
      </c>
      <c r="D76" s="347" t="s">
        <v>5062</v>
      </c>
      <c r="E76" s="347" t="s">
        <v>5070</v>
      </c>
      <c r="F76" s="348" t="s">
        <v>4772</v>
      </c>
      <c r="G76" s="348" t="s">
        <v>4772</v>
      </c>
      <c r="H76" s="348" t="s">
        <v>4771</v>
      </c>
      <c r="I76" s="348" t="s">
        <v>4772</v>
      </c>
      <c r="J76" s="349" t="s">
        <v>5113</v>
      </c>
      <c r="K76" s="350" t="s">
        <v>5114</v>
      </c>
    </row>
    <row r="77" customFormat="false" ht="57.75" hidden="false" customHeight="true" outlineLevel="0" collapsed="false">
      <c r="A77" s="339" t="s">
        <v>5115</v>
      </c>
      <c r="B77" s="340" t="s">
        <v>739</v>
      </c>
      <c r="C77" s="341" t="s">
        <v>5061</v>
      </c>
      <c r="D77" s="341" t="s">
        <v>5062</v>
      </c>
      <c r="E77" s="341" t="s">
        <v>5070</v>
      </c>
      <c r="F77" s="342" t="s">
        <v>4772</v>
      </c>
      <c r="G77" s="342" t="s">
        <v>4772</v>
      </c>
      <c r="H77" s="342" t="s">
        <v>4771</v>
      </c>
      <c r="I77" s="342" t="s">
        <v>4772</v>
      </c>
      <c r="J77" s="343" t="s">
        <v>5116</v>
      </c>
      <c r="K77" s="344" t="s">
        <v>5117</v>
      </c>
    </row>
    <row r="79" customFormat="false" ht="39.75" hidden="false" customHeight="true" outlineLevel="0" collapsed="false">
      <c r="A79" s="351" t="s">
        <v>5118</v>
      </c>
      <c r="B79" s="351"/>
      <c r="C79" s="351"/>
      <c r="D79" s="351"/>
      <c r="E79" s="351"/>
      <c r="F79" s="351"/>
      <c r="G79" s="351"/>
      <c r="H79" s="351"/>
      <c r="I79" s="351"/>
      <c r="J79" s="351"/>
      <c r="K79" s="351"/>
    </row>
  </sheetData>
  <mergeCells count="11">
    <mergeCell ref="A1:K1"/>
    <mergeCell ref="A2:A3"/>
    <mergeCell ref="B2:B3"/>
    <mergeCell ref="C2:C3"/>
    <mergeCell ref="D2:D3"/>
    <mergeCell ref="E2:E3"/>
    <mergeCell ref="F2:K2"/>
    <mergeCell ref="A4:K4"/>
    <mergeCell ref="A45:K45"/>
    <mergeCell ref="A59:K59"/>
    <mergeCell ref="A79:K7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2024-07-01T04:25:11Z</dcterms:created>
  <dc:creator>Piyush Somani</dc:creator>
  <dc:description/>
  <dc:language>en-US</dc:language>
  <cp:lastModifiedBy>Himanshu Gupta</cp:lastModifiedBy>
  <dcterms:modified xsi:type="dcterms:W3CDTF">2026-10-07T17:46:45Z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0x0101008E2338A12AAD94469BB5DB6ACDB6BC76</vt:lpwstr>
  </property>
</Properties>
</file>